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rdware\Desktop\Z_Task\"/>
    </mc:Choice>
  </mc:AlternateContent>
  <xr:revisionPtr revIDLastSave="0" documentId="13_ncr:1_{6F17DD6D-EEA8-4BE5-9B3B-16CE5807A101}" xr6:coauthVersionLast="47" xr6:coauthVersionMax="47" xr10:uidLastSave="{00000000-0000-0000-0000-000000000000}"/>
  <bookViews>
    <workbookView xWindow="-120" yWindow="-120" windowWidth="20730" windowHeight="11160" firstSheet="1" activeTab="3" xr2:uid="{C108C2F0-516B-4100-80D5-A2F7391EE9CC}"/>
  </bookViews>
  <sheets>
    <sheet name="Ecommerce_Consumer_Behavior_Ana" sheetId="1" r:id="rId1"/>
    <sheet name="Customers" sheetId="5" r:id="rId2"/>
    <sheet name="Data Dictionary" sheetId="2" r:id="rId3"/>
    <sheet name="Cusromer_Dashboard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H14" i="5"/>
  <c r="H13" i="5"/>
  <c r="H12" i="5"/>
  <c r="H11" i="5"/>
  <c r="A2" i="5" l="1"/>
  <c r="C4" i="5" s="1"/>
  <c r="C5" i="5"/>
  <c r="C6" i="5"/>
  <c r="C7" i="5"/>
  <c r="C9" i="5"/>
  <c r="C10" i="5"/>
  <c r="C11" i="5"/>
  <c r="C13" i="5"/>
  <c r="C14" i="5"/>
  <c r="C15" i="5"/>
  <c r="C17" i="5"/>
  <c r="C18" i="5"/>
  <c r="C19" i="5"/>
  <c r="C21" i="5"/>
  <c r="C22" i="5"/>
  <c r="C23" i="5"/>
  <c r="C25" i="5"/>
  <c r="C26" i="5"/>
  <c r="C27" i="5"/>
  <c r="C29" i="5"/>
  <c r="C30" i="5"/>
  <c r="C31" i="5"/>
  <c r="C33" i="5"/>
  <c r="C34" i="5"/>
  <c r="C35" i="5"/>
  <c r="C37" i="5"/>
  <c r="C38" i="5"/>
  <c r="C39" i="5"/>
  <c r="C41" i="5"/>
  <c r="C42" i="5"/>
  <c r="C43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D1" i="5"/>
  <c r="B1" i="5"/>
  <c r="C44" i="5" l="1"/>
  <c r="C40" i="5"/>
  <c r="C36" i="5"/>
  <c r="C32" i="5"/>
  <c r="C28" i="5"/>
  <c r="C24" i="5"/>
  <c r="C20" i="5"/>
  <c r="C16" i="5"/>
  <c r="C12" i="5"/>
  <c r="C8" i="5"/>
  <c r="B6" i="5"/>
  <c r="B10" i="5"/>
  <c r="B14" i="5"/>
  <c r="B18" i="5"/>
  <c r="B22" i="5"/>
  <c r="B26" i="5"/>
  <c r="B30" i="5"/>
  <c r="B34" i="5"/>
  <c r="B38" i="5"/>
  <c r="B42" i="5"/>
  <c r="B46" i="5"/>
  <c r="B50" i="5"/>
  <c r="B54" i="5"/>
  <c r="B58" i="5"/>
  <c r="B62" i="5"/>
  <c r="B66" i="5"/>
  <c r="B70" i="5"/>
  <c r="B74" i="5"/>
  <c r="B78" i="5"/>
  <c r="B82" i="5"/>
  <c r="B86" i="5"/>
  <c r="B90" i="5"/>
  <c r="B94" i="5"/>
  <c r="B98" i="5"/>
  <c r="B102" i="5"/>
  <c r="B106" i="5"/>
  <c r="B110" i="5"/>
  <c r="B114" i="5"/>
  <c r="B118" i="5"/>
  <c r="B122" i="5"/>
  <c r="B126" i="5"/>
  <c r="B130" i="5"/>
  <c r="B134" i="5"/>
  <c r="B138" i="5"/>
  <c r="B142" i="5"/>
  <c r="B146" i="5"/>
  <c r="B150" i="5"/>
  <c r="B154" i="5"/>
  <c r="B158" i="5"/>
  <c r="B162" i="5"/>
  <c r="B166" i="5"/>
  <c r="B170" i="5"/>
  <c r="B174" i="5"/>
  <c r="B178" i="5"/>
  <c r="B182" i="5"/>
  <c r="B186" i="5"/>
  <c r="B190" i="5"/>
  <c r="B194" i="5"/>
  <c r="B198" i="5"/>
  <c r="B202" i="5"/>
  <c r="B206" i="5"/>
  <c r="B210" i="5"/>
  <c r="B214" i="5"/>
  <c r="B218" i="5"/>
  <c r="B222" i="5"/>
  <c r="B226" i="5"/>
  <c r="B230" i="5"/>
  <c r="B234" i="5"/>
  <c r="B238" i="5"/>
  <c r="B242" i="5"/>
  <c r="B246" i="5"/>
  <c r="B250" i="5"/>
  <c r="B254" i="5"/>
  <c r="B258" i="5"/>
  <c r="B262" i="5"/>
  <c r="B266" i="5"/>
  <c r="B270" i="5"/>
  <c r="B274" i="5"/>
  <c r="B278" i="5"/>
  <c r="B282" i="5"/>
  <c r="B286" i="5"/>
  <c r="B290" i="5"/>
  <c r="B294" i="5"/>
  <c r="B298" i="5"/>
  <c r="B302" i="5"/>
  <c r="B306" i="5"/>
  <c r="B310" i="5"/>
  <c r="B314" i="5"/>
  <c r="B318" i="5"/>
  <c r="B322" i="5"/>
  <c r="B326" i="5"/>
  <c r="B330" i="5"/>
  <c r="B334" i="5"/>
  <c r="B338" i="5"/>
  <c r="B342" i="5"/>
  <c r="B346" i="5"/>
  <c r="B350" i="5"/>
  <c r="B354" i="5"/>
  <c r="B358" i="5"/>
  <c r="B362" i="5"/>
  <c r="B366" i="5"/>
  <c r="B370" i="5"/>
  <c r="B374" i="5"/>
  <c r="B378" i="5"/>
  <c r="B382" i="5"/>
  <c r="B386" i="5"/>
  <c r="B390" i="5"/>
  <c r="B394" i="5"/>
  <c r="B398" i="5"/>
  <c r="B402" i="5"/>
  <c r="B406" i="5"/>
  <c r="B410" i="5"/>
  <c r="B414" i="5"/>
  <c r="B418" i="5"/>
  <c r="B422" i="5"/>
  <c r="B426" i="5"/>
  <c r="B430" i="5"/>
  <c r="B434" i="5"/>
  <c r="B438" i="5"/>
  <c r="B442" i="5"/>
  <c r="B446" i="5"/>
  <c r="B450" i="5"/>
  <c r="B454" i="5"/>
  <c r="B458" i="5"/>
  <c r="B462" i="5"/>
  <c r="B466" i="5"/>
  <c r="B470" i="5"/>
  <c r="B474" i="5"/>
  <c r="B478" i="5"/>
  <c r="B482" i="5"/>
  <c r="B486" i="5"/>
  <c r="B490" i="5"/>
  <c r="B494" i="5"/>
  <c r="B498" i="5"/>
  <c r="B502" i="5"/>
  <c r="B506" i="5"/>
  <c r="B510" i="5"/>
  <c r="B514" i="5"/>
  <c r="B518" i="5"/>
  <c r="B522" i="5"/>
  <c r="B526" i="5"/>
  <c r="B530" i="5"/>
  <c r="B534" i="5"/>
  <c r="B538" i="5"/>
  <c r="B542" i="5"/>
  <c r="B546" i="5"/>
  <c r="B550" i="5"/>
  <c r="B554" i="5"/>
  <c r="B558" i="5"/>
  <c r="B562" i="5"/>
  <c r="B566" i="5"/>
  <c r="B570" i="5"/>
  <c r="B574" i="5"/>
  <c r="B578" i="5"/>
  <c r="B582" i="5"/>
  <c r="B586" i="5"/>
  <c r="B590" i="5"/>
  <c r="B594" i="5"/>
  <c r="B598" i="5"/>
  <c r="B602" i="5"/>
  <c r="B606" i="5"/>
  <c r="B610" i="5"/>
  <c r="B614" i="5"/>
  <c r="B618" i="5"/>
  <c r="B622" i="5"/>
  <c r="B626" i="5"/>
  <c r="B630" i="5"/>
  <c r="B634" i="5"/>
  <c r="B638" i="5"/>
  <c r="B642" i="5"/>
  <c r="B646" i="5"/>
  <c r="B650" i="5"/>
  <c r="B654" i="5"/>
  <c r="B658" i="5"/>
  <c r="B662" i="5"/>
  <c r="B666" i="5"/>
  <c r="B670" i="5"/>
  <c r="B674" i="5"/>
  <c r="B678" i="5"/>
  <c r="B682" i="5"/>
  <c r="B686" i="5"/>
  <c r="B690" i="5"/>
  <c r="B694" i="5"/>
  <c r="B698" i="5"/>
  <c r="B702" i="5"/>
  <c r="B706" i="5"/>
  <c r="B710" i="5"/>
  <c r="B714" i="5"/>
  <c r="B718" i="5"/>
  <c r="B722" i="5"/>
  <c r="B726" i="5"/>
  <c r="B730" i="5"/>
  <c r="B734" i="5"/>
  <c r="B738" i="5"/>
  <c r="B742" i="5"/>
  <c r="B746" i="5"/>
  <c r="B750" i="5"/>
  <c r="B754" i="5"/>
  <c r="B758" i="5"/>
  <c r="B762" i="5"/>
  <c r="B766" i="5"/>
  <c r="B770" i="5"/>
  <c r="B774" i="5"/>
  <c r="B778" i="5"/>
  <c r="B782" i="5"/>
  <c r="B786" i="5"/>
  <c r="B790" i="5"/>
  <c r="B794" i="5"/>
  <c r="B798" i="5"/>
  <c r="B802" i="5"/>
  <c r="B806" i="5"/>
  <c r="B810" i="5"/>
  <c r="B814" i="5"/>
  <c r="B818" i="5"/>
  <c r="B822" i="5"/>
  <c r="B826" i="5"/>
  <c r="B830" i="5"/>
  <c r="B834" i="5"/>
  <c r="B838" i="5"/>
  <c r="B842" i="5"/>
  <c r="B846" i="5"/>
  <c r="B850" i="5"/>
  <c r="B854" i="5"/>
  <c r="B858" i="5"/>
  <c r="B862" i="5"/>
  <c r="B866" i="5"/>
  <c r="B870" i="5"/>
  <c r="B874" i="5"/>
  <c r="B878" i="5"/>
  <c r="C878" i="5" s="1"/>
  <c r="B882" i="5"/>
  <c r="C882" i="5" s="1"/>
  <c r="B886" i="5"/>
  <c r="C886" i="5" s="1"/>
  <c r="B890" i="5"/>
  <c r="C890" i="5" s="1"/>
  <c r="B894" i="5"/>
  <c r="C894" i="5" s="1"/>
  <c r="B898" i="5"/>
  <c r="C898" i="5" s="1"/>
  <c r="B902" i="5"/>
  <c r="C902" i="5" s="1"/>
  <c r="B906" i="5"/>
  <c r="C906" i="5" s="1"/>
  <c r="B910" i="5"/>
  <c r="C910" i="5" s="1"/>
  <c r="B914" i="5"/>
  <c r="C914" i="5" s="1"/>
  <c r="B918" i="5"/>
  <c r="C918" i="5" s="1"/>
  <c r="B922" i="5"/>
  <c r="C922" i="5" s="1"/>
  <c r="B926" i="5"/>
  <c r="C926" i="5" s="1"/>
  <c r="B930" i="5"/>
  <c r="C930" i="5" s="1"/>
  <c r="B934" i="5"/>
  <c r="C934" i="5" s="1"/>
  <c r="B938" i="5"/>
  <c r="C938" i="5" s="1"/>
  <c r="B942" i="5"/>
  <c r="C942" i="5" s="1"/>
  <c r="B946" i="5"/>
  <c r="C946" i="5" s="1"/>
  <c r="B950" i="5"/>
  <c r="C950" i="5" s="1"/>
  <c r="B954" i="5"/>
  <c r="C954" i="5" s="1"/>
  <c r="B958" i="5"/>
  <c r="C958" i="5" s="1"/>
  <c r="B7" i="5"/>
  <c r="B11" i="5"/>
  <c r="B15" i="5"/>
  <c r="B19" i="5"/>
  <c r="B23" i="5"/>
  <c r="B27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/>
  <c r="B91" i="5"/>
  <c r="B95" i="5"/>
  <c r="B99" i="5"/>
  <c r="B103" i="5"/>
  <c r="B107" i="5"/>
  <c r="B111" i="5"/>
  <c r="B115" i="5"/>
  <c r="B119" i="5"/>
  <c r="B123" i="5"/>
  <c r="B127" i="5"/>
  <c r="B131" i="5"/>
  <c r="B135" i="5"/>
  <c r="B139" i="5"/>
  <c r="B143" i="5"/>
  <c r="B147" i="5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B203" i="5"/>
  <c r="B207" i="5"/>
  <c r="B211" i="5"/>
  <c r="B215" i="5"/>
  <c r="B219" i="5"/>
  <c r="B223" i="5"/>
  <c r="B227" i="5"/>
  <c r="B231" i="5"/>
  <c r="B235" i="5"/>
  <c r="B239" i="5"/>
  <c r="B243" i="5"/>
  <c r="B247" i="5"/>
  <c r="B251" i="5"/>
  <c r="B255" i="5"/>
  <c r="B259" i="5"/>
  <c r="B263" i="5"/>
  <c r="B267" i="5"/>
  <c r="B271" i="5"/>
  <c r="B275" i="5"/>
  <c r="B279" i="5"/>
  <c r="B283" i="5"/>
  <c r="B287" i="5"/>
  <c r="B291" i="5"/>
  <c r="B295" i="5"/>
  <c r="B299" i="5"/>
  <c r="B303" i="5"/>
  <c r="B307" i="5"/>
  <c r="B311" i="5"/>
  <c r="B315" i="5"/>
  <c r="B319" i="5"/>
  <c r="B323" i="5"/>
  <c r="B327" i="5"/>
  <c r="B331" i="5"/>
  <c r="B335" i="5"/>
  <c r="B339" i="5"/>
  <c r="B343" i="5"/>
  <c r="B347" i="5"/>
  <c r="B351" i="5"/>
  <c r="B355" i="5"/>
  <c r="B359" i="5"/>
  <c r="B363" i="5"/>
  <c r="B367" i="5"/>
  <c r="B371" i="5"/>
  <c r="B375" i="5"/>
  <c r="B379" i="5"/>
  <c r="B383" i="5"/>
  <c r="B387" i="5"/>
  <c r="B391" i="5"/>
  <c r="B395" i="5"/>
  <c r="B399" i="5"/>
  <c r="B403" i="5"/>
  <c r="B407" i="5"/>
  <c r="B411" i="5"/>
  <c r="B415" i="5"/>
  <c r="B419" i="5"/>
  <c r="B423" i="5"/>
  <c r="B427" i="5"/>
  <c r="B431" i="5"/>
  <c r="B435" i="5"/>
  <c r="B439" i="5"/>
  <c r="B443" i="5"/>
  <c r="B447" i="5"/>
  <c r="B451" i="5"/>
  <c r="B455" i="5"/>
  <c r="B459" i="5"/>
  <c r="B463" i="5"/>
  <c r="B467" i="5"/>
  <c r="B471" i="5"/>
  <c r="B475" i="5"/>
  <c r="B479" i="5"/>
  <c r="B483" i="5"/>
  <c r="B487" i="5"/>
  <c r="B491" i="5"/>
  <c r="B495" i="5"/>
  <c r="B499" i="5"/>
  <c r="B503" i="5"/>
  <c r="B507" i="5"/>
  <c r="B511" i="5"/>
  <c r="B515" i="5"/>
  <c r="B519" i="5"/>
  <c r="B523" i="5"/>
  <c r="B527" i="5"/>
  <c r="B531" i="5"/>
  <c r="B535" i="5"/>
  <c r="B539" i="5"/>
  <c r="B543" i="5"/>
  <c r="B547" i="5"/>
  <c r="B551" i="5"/>
  <c r="B555" i="5"/>
  <c r="B559" i="5"/>
  <c r="B563" i="5"/>
  <c r="B567" i="5"/>
  <c r="B571" i="5"/>
  <c r="B575" i="5"/>
  <c r="B579" i="5"/>
  <c r="B583" i="5"/>
  <c r="B587" i="5"/>
  <c r="B591" i="5"/>
  <c r="B595" i="5"/>
  <c r="B599" i="5"/>
  <c r="B603" i="5"/>
  <c r="B607" i="5"/>
  <c r="B611" i="5"/>
  <c r="B615" i="5"/>
  <c r="B619" i="5"/>
  <c r="B623" i="5"/>
  <c r="B627" i="5"/>
  <c r="B631" i="5"/>
  <c r="B635" i="5"/>
  <c r="B639" i="5"/>
  <c r="B995" i="5"/>
  <c r="C995" i="5" s="1"/>
  <c r="B983" i="5"/>
  <c r="C983" i="5" s="1"/>
  <c r="B971" i="5"/>
  <c r="C971" i="5" s="1"/>
  <c r="B959" i="5"/>
  <c r="C959" i="5" s="1"/>
  <c r="B943" i="5"/>
  <c r="C943" i="5" s="1"/>
  <c r="B927" i="5"/>
  <c r="C927" i="5" s="1"/>
  <c r="B911" i="5"/>
  <c r="C911" i="5" s="1"/>
  <c r="B895" i="5"/>
  <c r="C895" i="5" s="1"/>
  <c r="B879" i="5"/>
  <c r="C879" i="5" s="1"/>
  <c r="B857" i="5"/>
  <c r="B841" i="5"/>
  <c r="B825" i="5"/>
  <c r="B809" i="5"/>
  <c r="B793" i="5"/>
  <c r="B783" i="5"/>
  <c r="B767" i="5"/>
  <c r="B756" i="5"/>
  <c r="B740" i="5"/>
  <c r="B724" i="5"/>
  <c r="B708" i="5"/>
  <c r="B692" i="5"/>
  <c r="B676" i="5"/>
  <c r="B660" i="5"/>
  <c r="B644" i="5"/>
  <c r="B613" i="5"/>
  <c r="B589" i="5"/>
  <c r="B565" i="5"/>
  <c r="B541" i="5"/>
  <c r="B517" i="5"/>
  <c r="B485" i="5"/>
  <c r="B469" i="5"/>
  <c r="B445" i="5"/>
  <c r="B413" i="5"/>
  <c r="B389" i="5"/>
  <c r="B373" i="5"/>
  <c r="B341" i="5"/>
  <c r="B325" i="5"/>
  <c r="B293" i="5"/>
  <c r="B269" i="5"/>
  <c r="B253" i="5"/>
  <c r="B229" i="5"/>
  <c r="B205" i="5"/>
  <c r="B181" i="5"/>
  <c r="B133" i="5"/>
  <c r="B1003" i="5"/>
  <c r="C1003" i="5" s="1"/>
  <c r="B991" i="5"/>
  <c r="C991" i="5" s="1"/>
  <c r="B979" i="5"/>
  <c r="C979" i="5" s="1"/>
  <c r="B967" i="5"/>
  <c r="C967" i="5" s="1"/>
  <c r="B953" i="5"/>
  <c r="C953" i="5" s="1"/>
  <c r="B932" i="5"/>
  <c r="C932" i="5" s="1"/>
  <c r="B916" i="5"/>
  <c r="C916" i="5" s="1"/>
  <c r="B905" i="5"/>
  <c r="C905" i="5" s="1"/>
  <c r="B884" i="5"/>
  <c r="C884" i="5" s="1"/>
  <c r="B868" i="5"/>
  <c r="B852" i="5"/>
  <c r="B836" i="5"/>
  <c r="B815" i="5"/>
  <c r="B799" i="5"/>
  <c r="B777" i="5"/>
  <c r="B761" i="5"/>
  <c r="B745" i="5"/>
  <c r="B729" i="5"/>
  <c r="B713" i="5"/>
  <c r="B697" i="5"/>
  <c r="B681" i="5"/>
  <c r="B665" i="5"/>
  <c r="B649" i="5"/>
  <c r="B629" i="5"/>
  <c r="B605" i="5"/>
  <c r="B573" i="5"/>
  <c r="B549" i="5"/>
  <c r="B525" i="5"/>
  <c r="B501" i="5"/>
  <c r="B477" i="5"/>
  <c r="B453" i="5"/>
  <c r="B429" i="5"/>
  <c r="B405" i="5"/>
  <c r="B381" i="5"/>
  <c r="B357" i="5"/>
  <c r="B333" i="5"/>
  <c r="B309" i="5"/>
  <c r="B285" i="5"/>
  <c r="B261" i="5"/>
  <c r="B237" i="5"/>
  <c r="B213" i="5"/>
  <c r="B189" i="5"/>
  <c r="B157" i="5"/>
  <c r="B149" i="5"/>
  <c r="B125" i="5"/>
  <c r="B109" i="5"/>
  <c r="B85" i="5"/>
  <c r="B69" i="5"/>
  <c r="B53" i="5"/>
  <c r="B37" i="5"/>
  <c r="B29" i="5"/>
  <c r="B13" i="5"/>
  <c r="B1002" i="5"/>
  <c r="C1002" i="5" s="1"/>
  <c r="B998" i="5"/>
  <c r="C998" i="5" s="1"/>
  <c r="B994" i="5"/>
  <c r="C994" i="5" s="1"/>
  <c r="B990" i="5"/>
  <c r="C990" i="5" s="1"/>
  <c r="B986" i="5"/>
  <c r="C986" i="5" s="1"/>
  <c r="B982" i="5"/>
  <c r="C982" i="5" s="1"/>
  <c r="B978" i="5"/>
  <c r="C978" i="5" s="1"/>
  <c r="B974" i="5"/>
  <c r="C974" i="5" s="1"/>
  <c r="B970" i="5"/>
  <c r="C970" i="5" s="1"/>
  <c r="B966" i="5"/>
  <c r="C966" i="5" s="1"/>
  <c r="B962" i="5"/>
  <c r="C962" i="5" s="1"/>
  <c r="B957" i="5"/>
  <c r="C957" i="5" s="1"/>
  <c r="B952" i="5"/>
  <c r="C952" i="5" s="1"/>
  <c r="B947" i="5"/>
  <c r="C947" i="5" s="1"/>
  <c r="B941" i="5"/>
  <c r="C941" i="5" s="1"/>
  <c r="B936" i="5"/>
  <c r="C936" i="5" s="1"/>
  <c r="B931" i="5"/>
  <c r="C931" i="5" s="1"/>
  <c r="B925" i="5"/>
  <c r="C925" i="5" s="1"/>
  <c r="B920" i="5"/>
  <c r="C920" i="5" s="1"/>
  <c r="B915" i="5"/>
  <c r="C915" i="5" s="1"/>
  <c r="B909" i="5"/>
  <c r="C909" i="5" s="1"/>
  <c r="B904" i="5"/>
  <c r="C904" i="5" s="1"/>
  <c r="B899" i="5"/>
  <c r="C899" i="5" s="1"/>
  <c r="B893" i="5"/>
  <c r="C893" i="5" s="1"/>
  <c r="B888" i="5"/>
  <c r="C888" i="5" s="1"/>
  <c r="B883" i="5"/>
  <c r="C883" i="5" s="1"/>
  <c r="B877" i="5"/>
  <c r="C877" i="5" s="1"/>
  <c r="B872" i="5"/>
  <c r="B867" i="5"/>
  <c r="B856" i="5"/>
  <c r="B845" i="5"/>
  <c r="B835" i="5"/>
  <c r="B829" i="5"/>
  <c r="B819" i="5"/>
  <c r="B808" i="5"/>
  <c r="B797" i="5"/>
  <c r="B792" i="5"/>
  <c r="B771" i="5"/>
  <c r="B675" i="5"/>
  <c r="B669" i="5"/>
  <c r="B659" i="5"/>
  <c r="B653" i="5"/>
  <c r="B648" i="5"/>
  <c r="B636" i="5"/>
  <c r="B628" i="5"/>
  <c r="B620" i="5"/>
  <c r="B612" i="5"/>
  <c r="B436" i="5"/>
  <c r="B428" i="5"/>
  <c r="B420" i="5"/>
  <c r="B412" i="5"/>
  <c r="B404" i="5"/>
  <c r="B396" i="5"/>
  <c r="B388" i="5"/>
  <c r="B380" i="5"/>
  <c r="B372" i="5"/>
  <c r="B364" i="5"/>
  <c r="B356" i="5"/>
  <c r="B348" i="5"/>
  <c r="B340" i="5"/>
  <c r="B332" i="5"/>
  <c r="B324" i="5"/>
  <c r="B236" i="5"/>
  <c r="B228" i="5"/>
  <c r="B220" i="5"/>
  <c r="B212" i="5"/>
  <c r="B204" i="5"/>
  <c r="B196" i="5"/>
  <c r="B188" i="5"/>
  <c r="B180" i="5"/>
  <c r="B172" i="5"/>
  <c r="B164" i="5"/>
  <c r="B132" i="5"/>
  <c r="B956" i="5"/>
  <c r="C956" i="5" s="1"/>
  <c r="B951" i="5"/>
  <c r="C951" i="5" s="1"/>
  <c r="B945" i="5"/>
  <c r="C945" i="5" s="1"/>
  <c r="B940" i="5"/>
  <c r="C940" i="5" s="1"/>
  <c r="B935" i="5"/>
  <c r="C935" i="5" s="1"/>
  <c r="B929" i="5"/>
  <c r="C929" i="5" s="1"/>
  <c r="B924" i="5"/>
  <c r="C924" i="5" s="1"/>
  <c r="B919" i="5"/>
  <c r="C919" i="5" s="1"/>
  <c r="B913" i="5"/>
  <c r="C913" i="5" s="1"/>
  <c r="B908" i="5"/>
  <c r="C908" i="5" s="1"/>
  <c r="B903" i="5"/>
  <c r="C903" i="5" s="1"/>
  <c r="B897" i="5"/>
  <c r="C897" i="5" s="1"/>
  <c r="B892" i="5"/>
  <c r="C892" i="5" s="1"/>
  <c r="B887" i="5"/>
  <c r="C887" i="5" s="1"/>
  <c r="B881" i="5"/>
  <c r="C881" i="5" s="1"/>
  <c r="B876" i="5"/>
  <c r="C876" i="5" s="1"/>
  <c r="B871" i="5"/>
  <c r="B865" i="5"/>
  <c r="B860" i="5"/>
  <c r="B855" i="5"/>
  <c r="B849" i="5"/>
  <c r="B844" i="5"/>
  <c r="B839" i="5"/>
  <c r="B833" i="5"/>
  <c r="B828" i="5"/>
  <c r="B823" i="5"/>
  <c r="B817" i="5"/>
  <c r="B812" i="5"/>
  <c r="B807" i="5"/>
  <c r="B801" i="5"/>
  <c r="B796" i="5"/>
  <c r="B791" i="5"/>
  <c r="B785" i="5"/>
  <c r="B780" i="5"/>
  <c r="B775" i="5"/>
  <c r="B769" i="5"/>
  <c r="B764" i="5"/>
  <c r="B759" i="5"/>
  <c r="B753" i="5"/>
  <c r="B748" i="5"/>
  <c r="B743" i="5"/>
  <c r="B737" i="5"/>
  <c r="B732" i="5"/>
  <c r="B727" i="5"/>
  <c r="B721" i="5"/>
  <c r="B716" i="5"/>
  <c r="B711" i="5"/>
  <c r="B705" i="5"/>
  <c r="B700" i="5"/>
  <c r="B695" i="5"/>
  <c r="B689" i="5"/>
  <c r="B684" i="5"/>
  <c r="B679" i="5"/>
  <c r="B673" i="5"/>
  <c r="B668" i="5"/>
  <c r="B663" i="5"/>
  <c r="B657" i="5"/>
  <c r="B652" i="5"/>
  <c r="B647" i="5"/>
  <c r="B641" i="5"/>
  <c r="B633" i="5"/>
  <c r="B625" i="5"/>
  <c r="B617" i="5"/>
  <c r="B609" i="5"/>
  <c r="B601" i="5"/>
  <c r="B593" i="5"/>
  <c r="B585" i="5"/>
  <c r="B577" i="5"/>
  <c r="B569" i="5"/>
  <c r="B561" i="5"/>
  <c r="B553" i="5"/>
  <c r="B545" i="5"/>
  <c r="B537" i="5"/>
  <c r="B529" i="5"/>
  <c r="B521" i="5"/>
  <c r="B513" i="5"/>
  <c r="B505" i="5"/>
  <c r="B497" i="5"/>
  <c r="B489" i="5"/>
  <c r="B481" i="5"/>
  <c r="B473" i="5"/>
  <c r="B465" i="5"/>
  <c r="B457" i="5"/>
  <c r="B449" i="5"/>
  <c r="B441" i="5"/>
  <c r="B433" i="5"/>
  <c r="B425" i="5"/>
  <c r="B417" i="5"/>
  <c r="B409" i="5"/>
  <c r="B401" i="5"/>
  <c r="B393" i="5"/>
  <c r="B385" i="5"/>
  <c r="B377" i="5"/>
  <c r="B369" i="5"/>
  <c r="B361" i="5"/>
  <c r="B353" i="5"/>
  <c r="B345" i="5"/>
  <c r="B337" i="5"/>
  <c r="B329" i="5"/>
  <c r="B321" i="5"/>
  <c r="B313" i="5"/>
  <c r="B305" i="5"/>
  <c r="B297" i="5"/>
  <c r="B289" i="5"/>
  <c r="B281" i="5"/>
  <c r="B273" i="5"/>
  <c r="B265" i="5"/>
  <c r="B257" i="5"/>
  <c r="B249" i="5"/>
  <c r="B241" i="5"/>
  <c r="B233" i="5"/>
  <c r="B225" i="5"/>
  <c r="B217" i="5"/>
  <c r="B209" i="5"/>
  <c r="B201" i="5"/>
  <c r="B193" i="5"/>
  <c r="B185" i="5"/>
  <c r="B177" i="5"/>
  <c r="B169" i="5"/>
  <c r="B161" i="5"/>
  <c r="B153" i="5"/>
  <c r="B145" i="5"/>
  <c r="B137" i="5"/>
  <c r="B129" i="5"/>
  <c r="B121" i="5"/>
  <c r="B113" i="5"/>
  <c r="B105" i="5"/>
  <c r="B97" i="5"/>
  <c r="B89" i="5"/>
  <c r="B81" i="5"/>
  <c r="B73" i="5"/>
  <c r="B65" i="5"/>
  <c r="B57" i="5"/>
  <c r="B49" i="5"/>
  <c r="B41" i="5"/>
  <c r="B33" i="5"/>
  <c r="B25" i="5"/>
  <c r="B17" i="5"/>
  <c r="B9" i="5"/>
  <c r="B999" i="5"/>
  <c r="C999" i="5" s="1"/>
  <c r="B987" i="5"/>
  <c r="C987" i="5" s="1"/>
  <c r="B975" i="5"/>
  <c r="C975" i="5" s="1"/>
  <c r="B963" i="5"/>
  <c r="C963" i="5" s="1"/>
  <c r="B948" i="5"/>
  <c r="C948" i="5" s="1"/>
  <c r="B937" i="5"/>
  <c r="C937" i="5" s="1"/>
  <c r="B921" i="5"/>
  <c r="C921" i="5" s="1"/>
  <c r="B900" i="5"/>
  <c r="C900" i="5" s="1"/>
  <c r="B889" i="5"/>
  <c r="C889" i="5" s="1"/>
  <c r="B873" i="5"/>
  <c r="B863" i="5"/>
  <c r="B847" i="5"/>
  <c r="B831" i="5"/>
  <c r="B820" i="5"/>
  <c r="B804" i="5"/>
  <c r="B788" i="5"/>
  <c r="B772" i="5"/>
  <c r="B751" i="5"/>
  <c r="B735" i="5"/>
  <c r="B719" i="5"/>
  <c r="B703" i="5"/>
  <c r="B687" i="5"/>
  <c r="B671" i="5"/>
  <c r="B655" i="5"/>
  <c r="B637" i="5"/>
  <c r="B621" i="5"/>
  <c r="B597" i="5"/>
  <c r="B581" i="5"/>
  <c r="B557" i="5"/>
  <c r="B533" i="5"/>
  <c r="B509" i="5"/>
  <c r="B493" i="5"/>
  <c r="B461" i="5"/>
  <c r="B437" i="5"/>
  <c r="B421" i="5"/>
  <c r="B397" i="5"/>
  <c r="B365" i="5"/>
  <c r="B349" i="5"/>
  <c r="B317" i="5"/>
  <c r="B301" i="5"/>
  <c r="B277" i="5"/>
  <c r="B245" i="5"/>
  <c r="B221" i="5"/>
  <c r="B197" i="5"/>
  <c r="B173" i="5"/>
  <c r="B165" i="5"/>
  <c r="B141" i="5"/>
  <c r="B117" i="5"/>
  <c r="B101" i="5"/>
  <c r="B93" i="5"/>
  <c r="B77" i="5"/>
  <c r="B61" i="5"/>
  <c r="B45" i="5"/>
  <c r="B21" i="5"/>
  <c r="B5" i="5"/>
  <c r="B861" i="5"/>
  <c r="B851" i="5"/>
  <c r="B840" i="5"/>
  <c r="B824" i="5"/>
  <c r="B813" i="5"/>
  <c r="B803" i="5"/>
  <c r="B787" i="5"/>
  <c r="B781" i="5"/>
  <c r="B776" i="5"/>
  <c r="B765" i="5"/>
  <c r="B760" i="5"/>
  <c r="B755" i="5"/>
  <c r="B749" i="5"/>
  <c r="B744" i="5"/>
  <c r="B739" i="5"/>
  <c r="B733" i="5"/>
  <c r="B728" i="5"/>
  <c r="B723" i="5"/>
  <c r="B717" i="5"/>
  <c r="B712" i="5"/>
  <c r="B707" i="5"/>
  <c r="B701" i="5"/>
  <c r="B696" i="5"/>
  <c r="B691" i="5"/>
  <c r="B685" i="5"/>
  <c r="B680" i="5"/>
  <c r="B664" i="5"/>
  <c r="B643" i="5"/>
  <c r="B604" i="5"/>
  <c r="B596" i="5"/>
  <c r="B588" i="5"/>
  <c r="B580" i="5"/>
  <c r="B572" i="5"/>
  <c r="B564" i="5"/>
  <c r="B556" i="5"/>
  <c r="B548" i="5"/>
  <c r="B540" i="5"/>
  <c r="B532" i="5"/>
  <c r="B524" i="5"/>
  <c r="B516" i="5"/>
  <c r="B508" i="5"/>
  <c r="B500" i="5"/>
  <c r="B492" i="5"/>
  <c r="B484" i="5"/>
  <c r="B476" i="5"/>
  <c r="B468" i="5"/>
  <c r="B460" i="5"/>
  <c r="B452" i="5"/>
  <c r="B444" i="5"/>
  <c r="B316" i="5"/>
  <c r="B308" i="5"/>
  <c r="B300" i="5"/>
  <c r="B292" i="5"/>
  <c r="B284" i="5"/>
  <c r="B276" i="5"/>
  <c r="B268" i="5"/>
  <c r="B260" i="5"/>
  <c r="B252" i="5"/>
  <c r="B244" i="5"/>
  <c r="B156" i="5"/>
  <c r="B148" i="5"/>
  <c r="B140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1001" i="5"/>
  <c r="C1001" i="5" s="1"/>
  <c r="B997" i="5"/>
  <c r="C997" i="5" s="1"/>
  <c r="B993" i="5"/>
  <c r="C993" i="5" s="1"/>
  <c r="B989" i="5"/>
  <c r="C989" i="5" s="1"/>
  <c r="B985" i="5"/>
  <c r="C985" i="5" s="1"/>
  <c r="B981" i="5"/>
  <c r="C981" i="5" s="1"/>
  <c r="B977" i="5"/>
  <c r="C977" i="5" s="1"/>
  <c r="B973" i="5"/>
  <c r="C973" i="5" s="1"/>
  <c r="B969" i="5"/>
  <c r="C969" i="5" s="1"/>
  <c r="B965" i="5"/>
  <c r="C965" i="5" s="1"/>
  <c r="B961" i="5"/>
  <c r="C961" i="5" s="1"/>
  <c r="B4" i="5"/>
  <c r="B1000" i="5"/>
  <c r="C1000" i="5" s="1"/>
  <c r="B996" i="5"/>
  <c r="C996" i="5" s="1"/>
  <c r="B992" i="5"/>
  <c r="C992" i="5" s="1"/>
  <c r="B988" i="5"/>
  <c r="C988" i="5" s="1"/>
  <c r="B984" i="5"/>
  <c r="C984" i="5" s="1"/>
  <c r="B980" i="5"/>
  <c r="C980" i="5" s="1"/>
  <c r="B976" i="5"/>
  <c r="C976" i="5" s="1"/>
  <c r="B972" i="5"/>
  <c r="C972" i="5" s="1"/>
  <c r="B968" i="5"/>
  <c r="C968" i="5" s="1"/>
  <c r="B964" i="5"/>
  <c r="C964" i="5" s="1"/>
  <c r="B960" i="5"/>
  <c r="C960" i="5" s="1"/>
  <c r="B955" i="5"/>
  <c r="C955" i="5" s="1"/>
  <c r="B949" i="5"/>
  <c r="C949" i="5" s="1"/>
  <c r="B944" i="5"/>
  <c r="C944" i="5" s="1"/>
  <c r="B939" i="5"/>
  <c r="C939" i="5" s="1"/>
  <c r="B933" i="5"/>
  <c r="C933" i="5" s="1"/>
  <c r="B928" i="5"/>
  <c r="C928" i="5" s="1"/>
  <c r="B923" i="5"/>
  <c r="C923" i="5" s="1"/>
  <c r="B917" i="5"/>
  <c r="C917" i="5" s="1"/>
  <c r="B912" i="5"/>
  <c r="C912" i="5" s="1"/>
  <c r="B907" i="5"/>
  <c r="C907" i="5" s="1"/>
  <c r="B901" i="5"/>
  <c r="C901" i="5" s="1"/>
  <c r="B896" i="5"/>
  <c r="C896" i="5" s="1"/>
  <c r="B891" i="5"/>
  <c r="C891" i="5" s="1"/>
  <c r="B885" i="5"/>
  <c r="C885" i="5" s="1"/>
  <c r="B880" i="5"/>
  <c r="C880" i="5" s="1"/>
  <c r="B875" i="5"/>
  <c r="C875" i="5" s="1"/>
  <c r="B869" i="5"/>
  <c r="B864" i="5"/>
  <c r="B859" i="5"/>
  <c r="B853" i="5"/>
  <c r="B848" i="5"/>
  <c r="B843" i="5"/>
  <c r="B837" i="5"/>
  <c r="B832" i="5"/>
  <c r="B827" i="5"/>
  <c r="B821" i="5"/>
  <c r="B816" i="5"/>
  <c r="B811" i="5"/>
  <c r="B805" i="5"/>
  <c r="B800" i="5"/>
  <c r="B795" i="5"/>
  <c r="B789" i="5"/>
  <c r="B784" i="5"/>
  <c r="B779" i="5"/>
  <c r="B773" i="5"/>
  <c r="B768" i="5"/>
  <c r="B763" i="5"/>
  <c r="B757" i="5"/>
  <c r="B752" i="5"/>
  <c r="B747" i="5"/>
  <c r="B741" i="5"/>
  <c r="B736" i="5"/>
  <c r="B731" i="5"/>
  <c r="B725" i="5"/>
  <c r="B720" i="5"/>
  <c r="B715" i="5"/>
  <c r="B709" i="5"/>
  <c r="B704" i="5"/>
  <c r="B699" i="5"/>
  <c r="B693" i="5"/>
  <c r="B688" i="5"/>
  <c r="B683" i="5"/>
  <c r="B677" i="5"/>
  <c r="B672" i="5"/>
  <c r="B667" i="5"/>
  <c r="B661" i="5"/>
  <c r="B656" i="5"/>
  <c r="B651" i="5"/>
  <c r="B645" i="5"/>
  <c r="B640" i="5"/>
  <c r="B632" i="5"/>
  <c r="B624" i="5"/>
  <c r="B616" i="5"/>
  <c r="B608" i="5"/>
  <c r="B600" i="5"/>
  <c r="B592" i="5"/>
  <c r="B584" i="5"/>
  <c r="B576" i="5"/>
  <c r="B568" i="5"/>
  <c r="B560" i="5"/>
  <c r="B552" i="5"/>
  <c r="B544" i="5"/>
  <c r="B536" i="5"/>
  <c r="B528" i="5"/>
  <c r="B520" i="5"/>
  <c r="B512" i="5"/>
  <c r="B504" i="5"/>
  <c r="B496" i="5"/>
  <c r="B488" i="5"/>
  <c r="B480" i="5"/>
  <c r="B472" i="5"/>
  <c r="B464" i="5"/>
  <c r="B456" i="5"/>
  <c r="B448" i="5"/>
  <c r="B440" i="5"/>
  <c r="B432" i="5"/>
  <c r="B424" i="5"/>
  <c r="B416" i="5"/>
  <c r="B408" i="5"/>
  <c r="B400" i="5"/>
  <c r="B392" i="5"/>
  <c r="B384" i="5"/>
  <c r="B376" i="5"/>
  <c r="B368" i="5"/>
  <c r="B360" i="5"/>
  <c r="B352" i="5"/>
  <c r="B344" i="5"/>
  <c r="B336" i="5"/>
  <c r="B328" i="5"/>
  <c r="B320" i="5"/>
  <c r="B312" i="5"/>
  <c r="B304" i="5"/>
  <c r="B296" i="5"/>
  <c r="B288" i="5"/>
  <c r="B280" i="5"/>
  <c r="B272" i="5"/>
  <c r="B264" i="5"/>
  <c r="B256" i="5"/>
  <c r="B248" i="5"/>
  <c r="B240" i="5"/>
  <c r="B232" i="5"/>
  <c r="B224" i="5"/>
  <c r="B216" i="5"/>
  <c r="B208" i="5"/>
  <c r="B200" i="5"/>
  <c r="B192" i="5"/>
  <c r="B184" i="5"/>
  <c r="B176" i="5"/>
  <c r="B168" i="5"/>
  <c r="B160" i="5"/>
  <c r="B152" i="5"/>
  <c r="B144" i="5"/>
  <c r="B136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D3" i="1" l="1"/>
  <c r="J3" i="1"/>
  <c r="J995" i="1"/>
  <c r="J4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6" i="1"/>
  <c r="J997" i="1"/>
  <c r="J998" i="1"/>
  <c r="J999" i="1"/>
  <c r="J1000" i="1"/>
  <c r="J1001" i="1"/>
  <c r="J1002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8" i="1"/>
  <c r="D4" i="1"/>
  <c r="D5" i="1"/>
  <c r="D6" i="1"/>
  <c r="D7" i="1"/>
  <c r="A1" i="1"/>
</calcChain>
</file>

<file path=xl/sharedStrings.xml><?xml version="1.0" encoding="utf-8"?>
<sst xmlns="http://schemas.openxmlformats.org/spreadsheetml/2006/main" count="17257" uniqueCount="2330">
  <si>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</si>
  <si>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</si>
  <si>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</si>
  <si>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</si>
  <si>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</si>
  <si>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</si>
  <si>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</si>
  <si>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</si>
  <si>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</si>
  <si>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</si>
  <si>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</si>
  <si>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</si>
  <si>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</si>
  <si>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</si>
  <si>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</si>
  <si>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</si>
  <si>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</si>
  <si>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</si>
  <si>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</si>
  <si>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</si>
  <si>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</si>
  <si>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</si>
  <si>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</si>
  <si>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</si>
  <si>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</si>
  <si>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</si>
  <si>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</si>
  <si>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</si>
  <si>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</si>
  <si>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</si>
  <si>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</si>
  <si>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</si>
  <si>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</si>
  <si>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أ‰vry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</si>
  <si>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</si>
  <si>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</si>
  <si>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</si>
  <si>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</si>
  <si>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</si>
  <si>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</si>
  <si>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</si>
  <si>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</si>
  <si>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</si>
  <si>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</si>
  <si>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</si>
  <si>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</si>
  <si>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</si>
  <si>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</si>
  <si>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</si>
  <si>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</si>
  <si>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</si>
  <si>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</si>
  <si>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</si>
  <si>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</si>
  <si>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</si>
  <si>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</si>
  <si>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</si>
  <si>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</si>
  <si>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</si>
  <si>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>Low</t>
  </si>
  <si>
    <t>Smartphone</t>
  </si>
  <si>
    <t>Debit Card</t>
  </si>
  <si>
    <t>Impulsive</t>
  </si>
  <si>
    <t>48-980-6078</t>
  </si>
  <si>
    <t>Wiwilأ­</t>
  </si>
  <si>
    <t>Home Appliances</t>
  </si>
  <si>
    <t>Other</t>
  </si>
  <si>
    <t>Express</t>
  </si>
  <si>
    <t>91-170-9072</t>
  </si>
  <si>
    <t>Widowed</t>
  </si>
  <si>
    <t>Nara</t>
  </si>
  <si>
    <t>Furniture</t>
  </si>
  <si>
    <t>82-561-4233</t>
  </si>
  <si>
    <t>Boro Utara</t>
  </si>
  <si>
    <t>Planned</t>
  </si>
  <si>
    <t>90-144-9193</t>
  </si>
  <si>
    <t>Divorced</t>
  </si>
  <si>
    <t>Liren</t>
  </si>
  <si>
    <t>Online</t>
  </si>
  <si>
    <t>Desktop</t>
  </si>
  <si>
    <t>88-661-4689</t>
  </si>
  <si>
    <t>Taocheng</t>
  </si>
  <si>
    <t>Books</t>
  </si>
  <si>
    <t>37-065-3182</t>
  </si>
  <si>
    <t>Grأ¥bo</t>
  </si>
  <si>
    <t>Very Sensitive</t>
  </si>
  <si>
    <t>Cash</t>
  </si>
  <si>
    <t>84-894-9222</t>
  </si>
  <si>
    <t>Bigender</t>
  </si>
  <si>
    <t>Pryamitsyno</t>
  </si>
  <si>
    <t>Sports &amp; Outdoors</t>
  </si>
  <si>
    <t>44-674-4037</t>
  </si>
  <si>
    <t>Punta Gorda</t>
  </si>
  <si>
    <t>Mobile Accessories</t>
  </si>
  <si>
    <t>78-116-8349</t>
  </si>
  <si>
    <t>Gyإ‘r</t>
  </si>
  <si>
    <t>19-933-8095</t>
  </si>
  <si>
    <t>Gaosheng</t>
  </si>
  <si>
    <t>Luxury Goods</t>
  </si>
  <si>
    <t>80-684-5072</t>
  </si>
  <si>
    <t>Rokytne</t>
  </si>
  <si>
    <t>Animal Feed</t>
  </si>
  <si>
    <t>23-302-7502</t>
  </si>
  <si>
    <t>Alameda</t>
  </si>
  <si>
    <t>Health Care</t>
  </si>
  <si>
    <t>90-069-8934</t>
  </si>
  <si>
    <t>Dhankutؤپ</t>
  </si>
  <si>
    <t>Hotels</t>
  </si>
  <si>
    <t>45-073-7243</t>
  </si>
  <si>
    <t>Jindong</t>
  </si>
  <si>
    <t>89-883-2101</t>
  </si>
  <si>
    <t>Ngeru</t>
  </si>
  <si>
    <t>00-477-9449</t>
  </si>
  <si>
    <t>White Rock</t>
  </si>
  <si>
    <t>Packages)</t>
  </si>
  <si>
    <t>67-159-7366</t>
  </si>
  <si>
    <t>Monastyrshchina</t>
  </si>
  <si>
    <t>Electronics</t>
  </si>
  <si>
    <t>85-691-4293</t>
  </si>
  <si>
    <t>Pangkalanbunut</t>
  </si>
  <si>
    <t>Software &amp; Apps</t>
  </si>
  <si>
    <t>56-085-0464</t>
  </si>
  <si>
    <t>Lederaba</t>
  </si>
  <si>
    <t>Baby Products</t>
  </si>
  <si>
    <t>33-264-2822</t>
  </si>
  <si>
    <t>Lugo</t>
  </si>
  <si>
    <t>Toys &amp; Games</t>
  </si>
  <si>
    <t>95-478-2650</t>
  </si>
  <si>
    <t>Sأ£o Roque</t>
  </si>
  <si>
    <t>04-349-6759</t>
  </si>
  <si>
    <t>Banؤ« Khaddؤپsh</t>
  </si>
  <si>
    <t>21-755-8745</t>
  </si>
  <si>
    <t>Montpellier</t>
  </si>
  <si>
    <t>29-625-7057</t>
  </si>
  <si>
    <t>Nesovice</t>
  </si>
  <si>
    <t>Arts &amp; Crafts</t>
  </si>
  <si>
    <t>58-623-8404</t>
  </si>
  <si>
    <t>Pasirhuni</t>
  </si>
  <si>
    <t>56-506-4709</t>
  </si>
  <si>
    <t>Glendale</t>
  </si>
  <si>
    <t>25-839-8670</t>
  </si>
  <si>
    <t>Tأ،la</t>
  </si>
  <si>
    <t>Health Supplements</t>
  </si>
  <si>
    <t>89-194-0596</t>
  </si>
  <si>
    <t>Marseille</t>
  </si>
  <si>
    <t>55-163-1389</t>
  </si>
  <si>
    <t>Nasielsk</t>
  </si>
  <si>
    <t>28-225-4286</t>
  </si>
  <si>
    <t>Genderfluid</t>
  </si>
  <si>
    <t>Paris 06</t>
  </si>
  <si>
    <t>14-305-8712</t>
  </si>
  <si>
    <t>Bronnitsy</t>
  </si>
  <si>
    <t>85-738-6864</t>
  </si>
  <si>
    <t>Inayauan</t>
  </si>
  <si>
    <t>17-198-5155</t>
  </si>
  <si>
    <t>Qianjin</t>
  </si>
  <si>
    <t>15-354-9904</t>
  </si>
  <si>
    <t>Bagahanlad</t>
  </si>
  <si>
    <t>Groceries</t>
  </si>
  <si>
    <t>35-198-9248</t>
  </si>
  <si>
    <t>Rzewnie</t>
  </si>
  <si>
    <t>03-950-6074</t>
  </si>
  <si>
    <t>Strabychovo</t>
  </si>
  <si>
    <t>19-999-0134</t>
  </si>
  <si>
    <t>Hongqi</t>
  </si>
  <si>
    <t>57-989-1487</t>
  </si>
  <si>
    <t>Oeoh</t>
  </si>
  <si>
    <t>07-816-2673</t>
  </si>
  <si>
    <t>Topolâ€™noye</t>
  </si>
  <si>
    <t>70-761-3550</t>
  </si>
  <si>
    <t>Kovأ،إ™ov</t>
  </si>
  <si>
    <t>38-242-3251</t>
  </si>
  <si>
    <t>Majdal Banؤ« Fؤپل¸‘il</t>
  </si>
  <si>
    <t>95-525-0842</t>
  </si>
  <si>
    <t>Delta del Tigre</t>
  </si>
  <si>
    <t>37-101-4922</t>
  </si>
  <si>
    <t>Santa Cruz La Laguna</t>
  </si>
  <si>
    <t>37-128-5425</t>
  </si>
  <si>
    <t>Manchester</t>
  </si>
  <si>
    <t>27-439-9545</t>
  </si>
  <si>
    <t>Norrkأ¶ping</t>
  </si>
  <si>
    <t>37-126-7954</t>
  </si>
  <si>
    <t>Soإ›no</t>
  </si>
  <si>
    <t>Clothing</t>
  </si>
  <si>
    <t>82-990-0504</t>
  </si>
  <si>
    <t>Pأ©lla</t>
  </si>
  <si>
    <t>21-734-0212</t>
  </si>
  <si>
    <t>Namur</t>
  </si>
  <si>
    <t>Beauty &amp; Personal Care</t>
  </si>
  <si>
    <t>76-148-9413</t>
  </si>
  <si>
    <t>Non-binary</t>
  </si>
  <si>
    <t>Benevides</t>
  </si>
  <si>
    <t>53-639-3774</t>
  </si>
  <si>
    <t>Qinghaihu</t>
  </si>
  <si>
    <t>Travel &amp; Leisure (Flights</t>
  </si>
  <si>
    <t>20-817-9584</t>
  </si>
  <si>
    <t>Alfeizerأ£o</t>
  </si>
  <si>
    <t>18-655-3670</t>
  </si>
  <si>
    <t>Prostإ™ednأ­ Beؤچva</t>
  </si>
  <si>
    <t>72-431-5021</t>
  </si>
  <si>
    <t>Oeiras</t>
  </si>
  <si>
    <t>07-479-3919</t>
  </si>
  <si>
    <t>Kأ½thnos</t>
  </si>
  <si>
    <t>17-032-6274</t>
  </si>
  <si>
    <t>Rizal</t>
  </si>
  <si>
    <t>64-166-9097</t>
  </si>
  <si>
    <t>Fullerton</t>
  </si>
  <si>
    <t>39-499-3854</t>
  </si>
  <si>
    <t>Huaidao</t>
  </si>
  <si>
    <t>39-636-5871</t>
  </si>
  <si>
    <t>Bilice</t>
  </si>
  <si>
    <t>71-667-2334</t>
  </si>
  <si>
    <t>Polygender</t>
  </si>
  <si>
    <t>Isla Verde</t>
  </si>
  <si>
    <t>35-192-9050</t>
  </si>
  <si>
    <t>Hunkuyi</t>
  </si>
  <si>
    <t>91-440-0011</t>
  </si>
  <si>
    <t>Shiree</t>
  </si>
  <si>
    <t>20-830-4758</t>
  </si>
  <si>
    <t>Strezhevoy</t>
  </si>
  <si>
    <t>84-337-1016</t>
  </si>
  <si>
    <t>Longxing</t>
  </si>
  <si>
    <t>09-346-4992</t>
  </si>
  <si>
    <t>Jesأ؛s Menأ©ndez</t>
  </si>
  <si>
    <t>75-083-3608</t>
  </si>
  <si>
    <t>Hongguang</t>
  </si>
  <si>
    <t>29-779-7209</t>
  </si>
  <si>
    <t>Pilaya</t>
  </si>
  <si>
    <t>12-409-5166</t>
  </si>
  <si>
    <t>Camp Ithier</t>
  </si>
  <si>
    <t>07-024-4995</t>
  </si>
  <si>
    <t>Holboo</t>
  </si>
  <si>
    <t>74-478-5950</t>
  </si>
  <si>
    <t>Luxi</t>
  </si>
  <si>
    <t>31-395-1286</t>
  </si>
  <si>
    <t>Ostashkov</t>
  </si>
  <si>
    <t>60-838-4334</t>
  </si>
  <si>
    <t>Hongshanzui</t>
  </si>
  <si>
    <t>71-197-8227</t>
  </si>
  <si>
    <t>Tocoa</t>
  </si>
  <si>
    <t>15-530-3861</t>
  </si>
  <si>
    <t>Bayan Tuohai</t>
  </si>
  <si>
    <t>30-567-4471</t>
  </si>
  <si>
    <t>Parumasan</t>
  </si>
  <si>
    <t>04-465-1819</t>
  </si>
  <si>
    <t>Karpogory</t>
  </si>
  <si>
    <t>Jewelry &amp; Accessories</t>
  </si>
  <si>
    <t>69-692-0614</t>
  </si>
  <si>
    <t>Shؤپhzؤپdpur</t>
  </si>
  <si>
    <t>12-839-8066</t>
  </si>
  <si>
    <t>Muaratiga</t>
  </si>
  <si>
    <t>05-465-8765</t>
  </si>
  <si>
    <t>Gjegjan</t>
  </si>
  <si>
    <t>81-580-3810</t>
  </si>
  <si>
    <t>Crأ©teil</t>
  </si>
  <si>
    <t>74-353-6312</t>
  </si>
  <si>
    <t>Pameungpeuk</t>
  </si>
  <si>
    <t>78-824-1887</t>
  </si>
  <si>
    <t>Junshan</t>
  </si>
  <si>
    <t>31-218-0024</t>
  </si>
  <si>
    <t>Lewotola</t>
  </si>
  <si>
    <t>15-711-4107</t>
  </si>
  <si>
    <t>Laocheng</t>
  </si>
  <si>
    <t>76-672-1193</t>
  </si>
  <si>
    <t>Guacarأ­</t>
  </si>
  <si>
    <t>46-503-5589</t>
  </si>
  <si>
    <t>Sancang</t>
  </si>
  <si>
    <t>87-499-6916</t>
  </si>
  <si>
    <t>Ndewel</t>
  </si>
  <si>
    <t>30-520-8656</t>
  </si>
  <si>
    <t>San Patricio</t>
  </si>
  <si>
    <t>36-323-3504</t>
  </si>
  <si>
    <t>Fengtai</t>
  </si>
  <si>
    <t>93-810-4051</t>
  </si>
  <si>
    <t>Agender</t>
  </si>
  <si>
    <t>ل¸گawrؤپn ad Daydah</t>
  </si>
  <si>
    <t>66-515-3648</t>
  </si>
  <si>
    <t>Magdalena</t>
  </si>
  <si>
    <t>09-216-1957</t>
  </si>
  <si>
    <t>Leإ›nica</t>
  </si>
  <si>
    <t>23-253-2565</t>
  </si>
  <si>
    <t>Hinlayagan Ilaud</t>
  </si>
  <si>
    <t>74-509-4985</t>
  </si>
  <si>
    <t>Forshaga</t>
  </si>
  <si>
    <t>05-857-1572</t>
  </si>
  <si>
    <t>Rakszawa</t>
  </si>
  <si>
    <t>26-521-8328</t>
  </si>
  <si>
    <t>Fengjiang</t>
  </si>
  <si>
    <t>31-147-6197</t>
  </si>
  <si>
    <t>Jiangcun</t>
  </si>
  <si>
    <t>90-093-0469</t>
  </si>
  <si>
    <t>إŒkuchi</t>
  </si>
  <si>
    <t>38-935-1865</t>
  </si>
  <si>
    <t>Novoukrainskiy</t>
  </si>
  <si>
    <t>75-953-8663</t>
  </si>
  <si>
    <t>Acobambilla</t>
  </si>
  <si>
    <t>38-478-2681</t>
  </si>
  <si>
    <t>Kyonju</t>
  </si>
  <si>
    <t>70-895-5298</t>
  </si>
  <si>
    <t>Pomar</t>
  </si>
  <si>
    <t>02-653-5884</t>
  </si>
  <si>
    <t>Zalإ£an</t>
  </si>
  <si>
    <t>11-719-8800</t>
  </si>
  <si>
    <t>Trأ©lazأ©</t>
  </si>
  <si>
    <t>59-355-5251</t>
  </si>
  <si>
    <t>Messina</t>
  </si>
  <si>
    <t>82-572-9091</t>
  </si>
  <si>
    <t>Mrؤ…gowo</t>
  </si>
  <si>
    <t>86-044-1071</t>
  </si>
  <si>
    <t>Ngawi</t>
  </si>
  <si>
    <t>08-733-0300</t>
  </si>
  <si>
    <t>Oslo</t>
  </si>
  <si>
    <t>70-108-1493</t>
  </si>
  <si>
    <t>Dobrica</t>
  </si>
  <si>
    <t>46-230-8307</t>
  </si>
  <si>
    <t>La Roche-sur-Yon</t>
  </si>
  <si>
    <t>74-431-0242</t>
  </si>
  <si>
    <t>Point Pedro</t>
  </si>
  <si>
    <t>78-272-6417</t>
  </si>
  <si>
    <t>13-792-4356</t>
  </si>
  <si>
    <t>Tianbao</t>
  </si>
  <si>
    <t>04-563-9091</t>
  </si>
  <si>
    <t>Puqian</t>
  </si>
  <si>
    <t>79-592-5396</t>
  </si>
  <si>
    <t>Binalbagan</t>
  </si>
  <si>
    <t>39-952-4459</t>
  </si>
  <si>
    <t>Tessalit</t>
  </si>
  <si>
    <t>67-935-7964</t>
  </si>
  <si>
    <t>Nikolayevsk</t>
  </si>
  <si>
    <t>26-828-2720</t>
  </si>
  <si>
    <t>Dashuipo</t>
  </si>
  <si>
    <t>57-410-7415</t>
  </si>
  <si>
    <t>Tأ½n nad Vltavou</t>
  </si>
  <si>
    <t>62-989-8214</t>
  </si>
  <si>
    <t>Kaum Kaler</t>
  </si>
  <si>
    <t>73-827-2774</t>
  </si>
  <si>
    <t>Gandapura</t>
  </si>
  <si>
    <t>19-643-1879</t>
  </si>
  <si>
    <t>Kawangkoan</t>
  </si>
  <si>
    <t>57-345-3921</t>
  </si>
  <si>
    <t>Mondorf-les-Bains</t>
  </si>
  <si>
    <t>98-817-6731</t>
  </si>
  <si>
    <t>Manwakh</t>
  </si>
  <si>
    <t>31-788-0864</t>
  </si>
  <si>
    <t>Karlstad</t>
  </si>
  <si>
    <t>27-806-4972</t>
  </si>
  <si>
    <t>Obong</t>
  </si>
  <si>
    <t>48-343-1220</t>
  </si>
  <si>
    <t>Kolsko</t>
  </si>
  <si>
    <t>15-640-6493</t>
  </si>
  <si>
    <t>Dؤپlbandؤ«n</t>
  </si>
  <si>
    <t>64-846-7450</t>
  </si>
  <si>
    <t>Genderqueer</t>
  </si>
  <si>
    <t>Shazi</t>
  </si>
  <si>
    <t>58-788-8938</t>
  </si>
  <si>
    <t>Hachiإچji</t>
  </si>
  <si>
    <t>52-240-3825</t>
  </si>
  <si>
    <t>Jolo</t>
  </si>
  <si>
    <t>60-618-2561</t>
  </si>
  <si>
    <t>Pedra Azul</t>
  </si>
  <si>
    <t>94-969-6819</t>
  </si>
  <si>
    <t>Gustavsberg</t>
  </si>
  <si>
    <t>76-982-8107</t>
  </si>
  <si>
    <t>La Mohammedia</t>
  </si>
  <si>
    <t>52-779-8972</t>
  </si>
  <si>
    <t>Florida</t>
  </si>
  <si>
    <t>40-520-3271</t>
  </si>
  <si>
    <t>Zhongcheng</t>
  </si>
  <si>
    <t>79-884-5600</t>
  </si>
  <si>
    <t>Goiatuba</t>
  </si>
  <si>
    <t>80-607-9947</t>
  </si>
  <si>
    <t>Krajan Kidul Rojopolo</t>
  </si>
  <si>
    <t>87-290-8263</t>
  </si>
  <si>
    <t>Metchosin</t>
  </si>
  <si>
    <t>99-316-9993</t>
  </si>
  <si>
    <t>Staritsa</t>
  </si>
  <si>
    <t>54-164-2243</t>
  </si>
  <si>
    <t>Benito Juarez</t>
  </si>
  <si>
    <t>14-784-5606</t>
  </si>
  <si>
    <t>Manأ­</t>
  </si>
  <si>
    <t>47-992-7446</t>
  </si>
  <si>
    <t>Vitali</t>
  </si>
  <si>
    <t>37-513-5073</t>
  </si>
  <si>
    <t>Mizque</t>
  </si>
  <si>
    <t>93-473-7248</t>
  </si>
  <si>
    <t>Zgornje Pirniؤچe</t>
  </si>
  <si>
    <t>72-830-1211</t>
  </si>
  <si>
    <t>Cipolletti</t>
  </si>
  <si>
    <t>87-934-6762</t>
  </si>
  <si>
    <t>Sollefteأ¥</t>
  </si>
  <si>
    <t>71-975-9564</t>
  </si>
  <si>
    <t>Klonowa</t>
  </si>
  <si>
    <t>40-232-5631</t>
  </si>
  <si>
    <t>Suvorov</t>
  </si>
  <si>
    <t>22-414-4955</t>
  </si>
  <si>
    <t>Dragash</t>
  </si>
  <si>
    <t>99-089-1930</t>
  </si>
  <si>
    <t>Freiburg im Breisgau</t>
  </si>
  <si>
    <t>62-198-2511</t>
  </si>
  <si>
    <t>Macau</t>
  </si>
  <si>
    <t>21-297-1223</t>
  </si>
  <si>
    <t>Pancas</t>
  </si>
  <si>
    <t>10-961-9336</t>
  </si>
  <si>
    <t>Dayapan</t>
  </si>
  <si>
    <t>71-473-2656</t>
  </si>
  <si>
    <t>Gordon Town</t>
  </si>
  <si>
    <t>84-954-2973</t>
  </si>
  <si>
    <t>Proptisht</t>
  </si>
  <si>
    <t>22-382-9636</t>
  </si>
  <si>
    <t>Kamal</t>
  </si>
  <si>
    <t>89-724-2536</t>
  </si>
  <si>
    <t>Kouvola</t>
  </si>
  <si>
    <t>85-391-1888</t>
  </si>
  <si>
    <t>Zhongdong</t>
  </si>
  <si>
    <t>84-934-2483</t>
  </si>
  <si>
    <t>Betong</t>
  </si>
  <si>
    <t>96-229-1698</t>
  </si>
  <si>
    <t>Jinping</t>
  </si>
  <si>
    <t>36-948-6994</t>
  </si>
  <si>
    <t>Mgachi</t>
  </si>
  <si>
    <t>43-172-9431</t>
  </si>
  <si>
    <t>Lameira</t>
  </si>
  <si>
    <t>53-690-5759</t>
  </si>
  <si>
    <t>Medicine Hat</t>
  </si>
  <si>
    <t>00-496-3067</t>
  </si>
  <si>
    <t>10-330-6387</t>
  </si>
  <si>
    <t>Yenikأ¶y</t>
  </si>
  <si>
    <t>87-590-8963</t>
  </si>
  <si>
    <t>Peer</t>
  </si>
  <si>
    <t>47-931-2642</t>
  </si>
  <si>
    <t>Belإ«sovka</t>
  </si>
  <si>
    <t>76-501-6422</t>
  </si>
  <si>
    <t>Houston</t>
  </si>
  <si>
    <t>39-274-2175</t>
  </si>
  <si>
    <t>Hengdian</t>
  </si>
  <si>
    <t>62-493-5282</t>
  </si>
  <si>
    <t>Shuigou</t>
  </si>
  <si>
    <t>18-841-7253</t>
  </si>
  <si>
    <t>Xingxi</t>
  </si>
  <si>
    <t>18-097-5707</t>
  </si>
  <si>
    <t>Dhؤ«bؤ«n</t>
  </si>
  <si>
    <t>83-792-5141</t>
  </si>
  <si>
    <t>Chengguan</t>
  </si>
  <si>
    <t>65-036-2410</t>
  </si>
  <si>
    <t>Paris 09</t>
  </si>
  <si>
    <t>67-593-9579</t>
  </si>
  <si>
    <t>Rozhdestveno</t>
  </si>
  <si>
    <t>33-484-6674</t>
  </si>
  <si>
    <t>Porangatu</t>
  </si>
  <si>
    <t>65-249-5416</t>
  </si>
  <si>
    <t>Shalkar</t>
  </si>
  <si>
    <t>17-328-4678</t>
  </si>
  <si>
    <t>Quimbaya</t>
  </si>
  <si>
    <t>00-733-8770</t>
  </si>
  <si>
    <t>Narok</t>
  </si>
  <si>
    <t>47-501-3435</t>
  </si>
  <si>
    <t>Gimcheon</t>
  </si>
  <si>
    <t>46-779-7065</t>
  </si>
  <si>
    <t>Visaginas</t>
  </si>
  <si>
    <t>91-603-1565</t>
  </si>
  <si>
    <t>Shostka</t>
  </si>
  <si>
    <t>35-122-5020</t>
  </si>
  <si>
    <t>Pukekohe East</t>
  </si>
  <si>
    <t>63-684-4073</t>
  </si>
  <si>
    <t>Blokdesa Situgede</t>
  </si>
  <si>
    <t>74-483-2893</t>
  </si>
  <si>
    <t>Yueyang</t>
  </si>
  <si>
    <t>72-728-4406</t>
  </si>
  <si>
    <t>Liutan</t>
  </si>
  <si>
    <t>13-588-2488</t>
  </si>
  <si>
    <t>Huanggang</t>
  </si>
  <si>
    <t>79-861-6506</t>
  </si>
  <si>
    <t>Baturitأ©</t>
  </si>
  <si>
    <t>66-974-6707</t>
  </si>
  <si>
    <t>Miâ€™ersi</t>
  </si>
  <si>
    <t>95-112-6724</t>
  </si>
  <si>
    <t>Xuedian</t>
  </si>
  <si>
    <t>27-262-6874</t>
  </si>
  <si>
    <t>Yuyapichis</t>
  </si>
  <si>
    <t>92-908-5062</t>
  </si>
  <si>
    <t>Shiroishi</t>
  </si>
  <si>
    <t>70-014-6406</t>
  </si>
  <si>
    <t>Kobe</t>
  </si>
  <si>
    <t>52-908-9971</t>
  </si>
  <si>
    <t>Gulou</t>
  </si>
  <si>
    <t>57-623-5362</t>
  </si>
  <si>
    <t>Jilin</t>
  </si>
  <si>
    <t>48-315-0196</t>
  </si>
  <si>
    <t>Balboa</t>
  </si>
  <si>
    <t>71-959-3896</t>
  </si>
  <si>
    <t>Cipari</t>
  </si>
  <si>
    <t>29-987-3969</t>
  </si>
  <si>
    <t>Orlando</t>
  </si>
  <si>
    <t>78-613-1546</t>
  </si>
  <si>
    <t>Torsby</t>
  </si>
  <si>
    <t>43-664-4451</t>
  </si>
  <si>
    <t>San Pablo</t>
  </si>
  <si>
    <t>34-095-3364</t>
  </si>
  <si>
    <t>Daszewice</t>
  </si>
  <si>
    <t>72-393-6893</t>
  </si>
  <si>
    <t>Villa Concepciأ³n del Tأ­o</t>
  </si>
  <si>
    <t>73-707-2809</t>
  </si>
  <si>
    <t>Hacienda La Calera</t>
  </si>
  <si>
    <t>04-609-7885</t>
  </si>
  <si>
    <t>73-139-4306</t>
  </si>
  <si>
    <t>Puerto Lأ³pez</t>
  </si>
  <si>
    <t>23-794-8196</t>
  </si>
  <si>
    <t>Xinchengzi</t>
  </si>
  <si>
    <t>66-050-6391</t>
  </si>
  <si>
    <t>Tecpأ،n Guatemala</t>
  </si>
  <si>
    <t>22-311-5460</t>
  </si>
  <si>
    <t>51-917-0766</t>
  </si>
  <si>
    <t>Araci</t>
  </si>
  <si>
    <t>53-013-1026</t>
  </si>
  <si>
    <t>Duyure</t>
  </si>
  <si>
    <t>29-779-3457</t>
  </si>
  <si>
    <t>Huangni</t>
  </si>
  <si>
    <t>18-047-5540</t>
  </si>
  <si>
    <t>Kuala Lumpur</t>
  </si>
  <si>
    <t>89-438-5310</t>
  </si>
  <si>
    <t>Seleuإ،</t>
  </si>
  <si>
    <t>23-985-3535</t>
  </si>
  <si>
    <t>Monrovia</t>
  </si>
  <si>
    <t>67-939-2463</t>
  </si>
  <si>
    <t>Kristinehamn</t>
  </si>
  <si>
    <t>03-623-6767</t>
  </si>
  <si>
    <t>Huancabamba</t>
  </si>
  <si>
    <t>86-749-6914</t>
  </si>
  <si>
    <t>San Josأ© Acatempa</t>
  </si>
  <si>
    <t>03-977-8103</t>
  </si>
  <si>
    <t>Quebrada Canoa</t>
  </si>
  <si>
    <t>03-827-4021</t>
  </si>
  <si>
    <t>Moate</t>
  </si>
  <si>
    <t>68-507-4747</t>
  </si>
  <si>
    <t>Kubangwaru</t>
  </si>
  <si>
    <t>73-942-8440</t>
  </si>
  <si>
    <t>ذœذ°ر€ذ¸ذ½ذ¾</t>
  </si>
  <si>
    <t>21-821-6398</t>
  </si>
  <si>
    <t>Xinquan</t>
  </si>
  <si>
    <t>64-641-7874</t>
  </si>
  <si>
    <t>Providence</t>
  </si>
  <si>
    <t>53-459-7870</t>
  </si>
  <si>
    <t>Autun</t>
  </si>
  <si>
    <t>36-240-3240</t>
  </si>
  <si>
    <t>Shilin</t>
  </si>
  <si>
    <t>54-936-4361</t>
  </si>
  <si>
    <t>Paris 17</t>
  </si>
  <si>
    <t>67-209-0990</t>
  </si>
  <si>
    <t>Stoczek إپukowski</t>
  </si>
  <si>
    <t>19-667-0201</t>
  </si>
  <si>
    <t>Ormstown</t>
  </si>
  <si>
    <t>36-274-5269</t>
  </si>
  <si>
    <t>Ponte</t>
  </si>
  <si>
    <t>09-948-3150</t>
  </si>
  <si>
    <t>Boshkengash</t>
  </si>
  <si>
    <t>19-873-9468</t>
  </si>
  <si>
    <t>ؤگل؛، Tل؛»h</t>
  </si>
  <si>
    <t>37-748-4988</t>
  </si>
  <si>
    <t>Radؤپâ€ک</t>
  </si>
  <si>
    <t>08-755-1170</t>
  </si>
  <si>
    <t>Sinarwangi</t>
  </si>
  <si>
    <t>07-402-7433</t>
  </si>
  <si>
    <t>Dagup</t>
  </si>
  <si>
    <t>60-073-3575</t>
  </si>
  <si>
    <t>Eإ‚k</t>
  </si>
  <si>
    <t>97-237-3483</t>
  </si>
  <si>
    <t>Moju</t>
  </si>
  <si>
    <t>93-675-1619</t>
  </si>
  <si>
    <t>Vأ­lia</t>
  </si>
  <si>
    <t>43-884-2577</t>
  </si>
  <si>
    <t>Prince Rupert</t>
  </si>
  <si>
    <t>33-200-7615</t>
  </si>
  <si>
    <t>Jiangmen</t>
  </si>
  <si>
    <t>63-631-8261</t>
  </si>
  <si>
    <t>Alung</t>
  </si>
  <si>
    <t>34-016-7909</t>
  </si>
  <si>
    <t>Osorno</t>
  </si>
  <si>
    <t>82-304-6495</t>
  </si>
  <si>
    <t>Labo</t>
  </si>
  <si>
    <t>70-207-6999</t>
  </si>
  <si>
    <t>Dakingari</t>
  </si>
  <si>
    <t>71-780-8195</t>
  </si>
  <si>
    <t>Selasari</t>
  </si>
  <si>
    <t>93-356-8589</t>
  </si>
  <si>
    <t>Besko</t>
  </si>
  <si>
    <t>92-142-9480</t>
  </si>
  <si>
    <t>Aubergenville</t>
  </si>
  <si>
    <t>53-042-5685</t>
  </si>
  <si>
    <t>Sula</t>
  </si>
  <si>
    <t>35-853-2222</t>
  </si>
  <si>
    <t>Valongo</t>
  </si>
  <si>
    <t>83-670-9273</t>
  </si>
  <si>
    <t>Al Khؤپnkah</t>
  </si>
  <si>
    <t>37-783-6086</t>
  </si>
  <si>
    <t>Mأ©rtola</t>
  </si>
  <si>
    <t>79-902-8144</t>
  </si>
  <si>
    <t>Rates</t>
  </si>
  <si>
    <t>41-009-7879</t>
  </si>
  <si>
    <t>Anyang</t>
  </si>
  <si>
    <t>89-302-8461</t>
  </si>
  <si>
    <t>Nymburk</t>
  </si>
  <si>
    <t>23-066-1915</t>
  </si>
  <si>
    <t>39-090-0124</t>
  </si>
  <si>
    <t>Tafo</t>
  </si>
  <si>
    <t>41-854-0707</t>
  </si>
  <si>
    <t>Cibaregbeg</t>
  </si>
  <si>
    <t>04-352-1558</t>
  </si>
  <si>
    <t>Wang Yang</t>
  </si>
  <si>
    <t>93-867-8303</t>
  </si>
  <si>
    <t>Liangnong</t>
  </si>
  <si>
    <t>31-088-6950</t>
  </si>
  <si>
    <t>Hengshi</t>
  </si>
  <si>
    <t>43-616-8365</t>
  </si>
  <si>
    <t>Kandangan</t>
  </si>
  <si>
    <t>71-876-9118</t>
  </si>
  <si>
    <t>Naranjal</t>
  </si>
  <si>
    <t>18-263-0366</t>
  </si>
  <si>
    <t>Abiko</t>
  </si>
  <si>
    <t>25-502-1415</t>
  </si>
  <si>
    <t>Longhuashan</t>
  </si>
  <si>
    <t>50-000-9588</t>
  </si>
  <si>
    <t>Zhovkva</t>
  </si>
  <si>
    <t>32-338-5967</t>
  </si>
  <si>
    <t>Lebak</t>
  </si>
  <si>
    <t>19-311-9149</t>
  </si>
  <si>
    <t>Gereshk</t>
  </si>
  <si>
    <t>94-212-7169</t>
  </si>
  <si>
    <t>Yonghe</t>
  </si>
  <si>
    <t>17-246-6194</t>
  </si>
  <si>
    <t>Dabai</t>
  </si>
  <si>
    <t>26-672-1285</t>
  </si>
  <si>
    <t>Moutnice</t>
  </si>
  <si>
    <t>00-265-0556</t>
  </si>
  <si>
    <t>Qiryat Yam</t>
  </si>
  <si>
    <t>76-397-3294</t>
  </si>
  <si>
    <t>Piranأ©</t>
  </si>
  <si>
    <t>43-612-8079</t>
  </si>
  <si>
    <t>Colima</t>
  </si>
  <si>
    <t>17-213-2834</t>
  </si>
  <si>
    <t>Marshintsy</t>
  </si>
  <si>
    <t>36-214-1586</t>
  </si>
  <si>
    <t>Halinأ³w</t>
  </si>
  <si>
    <t>32-414-1466</t>
  </si>
  <si>
    <t>Hallsberg</t>
  </si>
  <si>
    <t>12-699-6543</t>
  </si>
  <si>
    <t>Celso Ramos</t>
  </si>
  <si>
    <t>83-427-3218</t>
  </si>
  <si>
    <t>White River</t>
  </si>
  <si>
    <t>61-663-9008</t>
  </si>
  <si>
    <t>Taishihe</t>
  </si>
  <si>
    <t>86-917-7481</t>
  </si>
  <si>
    <t>Shanghu</t>
  </si>
  <si>
    <t>66-086-2306</t>
  </si>
  <si>
    <t>Brandsen</t>
  </si>
  <si>
    <t>43-671-9834</t>
  </si>
  <si>
    <t>Ranot</t>
  </si>
  <si>
    <t>90-888-8726</t>
  </si>
  <si>
    <t>Saint-Jouan-des-Guأ©rets</t>
  </si>
  <si>
    <t>23-085-0811</t>
  </si>
  <si>
    <t>Daâ€™an</t>
  </si>
  <si>
    <t>85-192-9218</t>
  </si>
  <si>
    <t>Kisovec</t>
  </si>
  <si>
    <t>82-671-7236</t>
  </si>
  <si>
    <t>ؤ€bdؤپnؤپn</t>
  </si>
  <si>
    <t>42-674-3987</t>
  </si>
  <si>
    <t>Dafeng</t>
  </si>
  <si>
    <t>41-934-7739</t>
  </si>
  <si>
    <t>Campo Maior</t>
  </si>
  <si>
    <t>48-825-0400</t>
  </si>
  <si>
    <t>Sأ¤vedalen</t>
  </si>
  <si>
    <t>30-133-5120</t>
  </si>
  <si>
    <t>Brikcha</t>
  </si>
  <si>
    <t>29-827-8515</t>
  </si>
  <si>
    <t>Xidianzi</t>
  </si>
  <si>
    <t>91-724-4633</t>
  </si>
  <si>
    <t>La Uniأ³n</t>
  </si>
  <si>
    <t>10-328-5732</t>
  </si>
  <si>
    <t>Kliteh</t>
  </si>
  <si>
    <t>38-912-1128</t>
  </si>
  <si>
    <t>Bأ©ja</t>
  </si>
  <si>
    <t>07-751-9620</t>
  </si>
  <si>
    <t>Ferreira do Alentejo</t>
  </si>
  <si>
    <t>81-877-9170</t>
  </si>
  <si>
    <t>Gegernoong</t>
  </si>
  <si>
    <t>19-885-2597</t>
  </si>
  <si>
    <t>La Montaأ±ita</t>
  </si>
  <si>
    <t>82-389-2029</t>
  </si>
  <si>
    <t>Sarishؤپbؤپri</t>
  </si>
  <si>
    <t>97-463-0048</t>
  </si>
  <si>
    <t>Mangge</t>
  </si>
  <si>
    <t>91-572-6135</t>
  </si>
  <si>
    <t>Chabaإ™ovice</t>
  </si>
  <si>
    <t>10-232-0685</t>
  </si>
  <si>
    <t>Yangping</t>
  </si>
  <si>
    <t>77-761-7475</t>
  </si>
  <si>
    <t>Berezna</t>
  </si>
  <si>
    <t>78-826-3039</t>
  </si>
  <si>
    <t>Vidual</t>
  </si>
  <si>
    <t>86-668-1045</t>
  </si>
  <si>
    <t>14-603-9698</t>
  </si>
  <si>
    <t>Hultsfred</t>
  </si>
  <si>
    <t>23-752-2213</t>
  </si>
  <si>
    <t>Nأ­kaia</t>
  </si>
  <si>
    <t>71-486-8561</t>
  </si>
  <si>
    <t>Macayug</t>
  </si>
  <si>
    <t>76-382-7162</t>
  </si>
  <si>
    <t>Mahanoro</t>
  </si>
  <si>
    <t>28-947-4295</t>
  </si>
  <si>
    <t>Mozdok</t>
  </si>
  <si>
    <t>84-765-0748</t>
  </si>
  <si>
    <t>Hoolt</t>
  </si>
  <si>
    <t>54-207-8349</t>
  </si>
  <si>
    <t>San Luis</t>
  </si>
  <si>
    <t>20-419-0341</t>
  </si>
  <si>
    <t>Pergan</t>
  </si>
  <si>
    <t>52-005-9914</t>
  </si>
  <si>
    <t>Kanoni</t>
  </si>
  <si>
    <t>34-846-7805</t>
  </si>
  <si>
    <t>Gromadka</t>
  </si>
  <si>
    <t>26-596-5461</t>
  </si>
  <si>
    <t>Payapa</t>
  </si>
  <si>
    <t>20-157-8631</t>
  </si>
  <si>
    <t>Rat Burana</t>
  </si>
  <si>
    <t>91-199-9097</t>
  </si>
  <si>
    <t>Trhovأ© Sviny</t>
  </si>
  <si>
    <t>55-846-2579</t>
  </si>
  <si>
    <t>Kiev</t>
  </si>
  <si>
    <t>83-455-7266</t>
  </si>
  <si>
    <t>67-599-9267</t>
  </si>
  <si>
    <t>Lomintsevskiy</t>
  </si>
  <si>
    <t>41-501-9276</t>
  </si>
  <si>
    <t>Monchegorsk</t>
  </si>
  <si>
    <t>99-509-4653</t>
  </si>
  <si>
    <t>Olavarrأ­a</t>
  </si>
  <si>
    <t>31-284-5722</t>
  </si>
  <si>
    <t>Jianshan</t>
  </si>
  <si>
    <t>88-000-9227</t>
  </si>
  <si>
    <t>Shreveport</t>
  </si>
  <si>
    <t>52-726-9328</t>
  </si>
  <si>
    <t>Pingzhuang</t>
  </si>
  <si>
    <t>60-198-5417</t>
  </si>
  <si>
    <t>00-107-4749</t>
  </si>
  <si>
    <t>Merlo</t>
  </si>
  <si>
    <t>88-428-8409</t>
  </si>
  <si>
    <t>Ziniarأ©</t>
  </si>
  <si>
    <t>21-313-7424</t>
  </si>
  <si>
    <t>Zduإ„ska Wola</t>
  </si>
  <si>
    <t>79-973-7862</t>
  </si>
  <si>
    <t>Mount Ayliff</t>
  </si>
  <si>
    <t>81-814-3498</t>
  </si>
  <si>
    <t>Pؤ«rgaaj</t>
  </si>
  <si>
    <t>34-375-8138</t>
  </si>
  <si>
    <t>Zbraslavice</t>
  </si>
  <si>
    <t>05-067-9686</t>
  </si>
  <si>
    <t>Xilu</t>
  </si>
  <si>
    <t>61-951-7929</t>
  </si>
  <si>
    <t>Bamut</t>
  </si>
  <si>
    <t>53-667-0793</t>
  </si>
  <si>
    <t>La Tour-du-Pin</t>
  </si>
  <si>
    <t>61-212-1117</t>
  </si>
  <si>
    <t>Pader Palwo</t>
  </si>
  <si>
    <t>09-443-7536</t>
  </si>
  <si>
    <t>Maurisu</t>
  </si>
  <si>
    <t>27-463-5671</t>
  </si>
  <si>
    <t>Gorzyce</t>
  </si>
  <si>
    <t>53-380-3968</t>
  </si>
  <si>
    <t>Qingyun</t>
  </si>
  <si>
    <t>42-969-0735</t>
  </si>
  <si>
    <t>Jiuxian</t>
  </si>
  <si>
    <t>12-440-5464</t>
  </si>
  <si>
    <t>Ndungu</t>
  </si>
  <si>
    <t>33-467-2534</t>
  </si>
  <si>
    <t>Emiliano Zapata</t>
  </si>
  <si>
    <t>35-418-0288</t>
  </si>
  <si>
    <t>Spasskoye</t>
  </si>
  <si>
    <t>33-787-2143</t>
  </si>
  <si>
    <t>Gierإ‚oإ¼</t>
  </si>
  <si>
    <t>58-528-6262</t>
  </si>
  <si>
    <t>Sobue</t>
  </si>
  <si>
    <t>31-060-2716</t>
  </si>
  <si>
    <t>High Point</t>
  </si>
  <si>
    <t>81-515-5823</t>
  </si>
  <si>
    <t>Qiankeng</t>
  </si>
  <si>
    <t>90-858-0453</t>
  </si>
  <si>
    <t>Pandean</t>
  </si>
  <si>
    <t>28-874-8938</t>
  </si>
  <si>
    <t>Phong ؤگiل»پn</t>
  </si>
  <si>
    <t>89-625-5542</t>
  </si>
  <si>
    <t>Mirأ³w</t>
  </si>
  <si>
    <t>07-966-8728</t>
  </si>
  <si>
    <t>Franceville</t>
  </si>
  <si>
    <t>94-408-2581</t>
  </si>
  <si>
    <t>Bordeaux</t>
  </si>
  <si>
    <t>55-301-9368</t>
  </si>
  <si>
    <t>Zamora</t>
  </si>
  <si>
    <t>72-336-1992</t>
  </si>
  <si>
    <t>Jubaoshan</t>
  </si>
  <si>
    <t>06-008-2805</t>
  </si>
  <si>
    <t>Shؤپdegؤپn</t>
  </si>
  <si>
    <t>77-178-6086</t>
  </si>
  <si>
    <t>Gueltat Zemmour</t>
  </si>
  <si>
    <t>28-832-2885</t>
  </si>
  <si>
    <t>Mosalâ€™sk</t>
  </si>
  <si>
    <t>75-210-7391</t>
  </si>
  <si>
    <t>Kokstad</t>
  </si>
  <si>
    <t>60-470-3563</t>
  </si>
  <si>
    <t>Malasin</t>
  </si>
  <si>
    <t>24-241-7171</t>
  </si>
  <si>
    <t>Huaqiu</t>
  </si>
  <si>
    <t>53-784-1855</t>
  </si>
  <si>
    <t>Loket</t>
  </si>
  <si>
    <t>83-561-3374</t>
  </si>
  <si>
    <t>Santa Maria do Souto</t>
  </si>
  <si>
    <t>96-121-0629</t>
  </si>
  <si>
    <t>Yanshang</t>
  </si>
  <si>
    <t>00-275-9990</t>
  </si>
  <si>
    <t>Tempuran</t>
  </si>
  <si>
    <t>36-593-2907</t>
  </si>
  <si>
    <t>Karafao</t>
  </si>
  <si>
    <t>22-692-3470</t>
  </si>
  <si>
    <t>Sأ£o Cristأ³vأ£o</t>
  </si>
  <si>
    <t>90-322-7329</t>
  </si>
  <si>
    <t>Buensuseso</t>
  </si>
  <si>
    <t>28-395-9872</t>
  </si>
  <si>
    <t>Blantyre</t>
  </si>
  <si>
    <t>79-297-1061</t>
  </si>
  <si>
    <t>Kozelâ€™shchyna</t>
  </si>
  <si>
    <t>93-649-9356</t>
  </si>
  <si>
    <t>Cibuah</t>
  </si>
  <si>
    <t>27-543-7069</t>
  </si>
  <si>
    <t>Cockburn Town</t>
  </si>
  <si>
    <t>96-079-9597</t>
  </si>
  <si>
    <t>Maslog</t>
  </si>
  <si>
    <t>38-940-4942</t>
  </si>
  <si>
    <t>Faqqإ«â€کah</t>
  </si>
  <si>
    <t>82-014-2564</t>
  </si>
  <si>
    <t>Yelyzavethradka</t>
  </si>
  <si>
    <t>70-699-5799</t>
  </si>
  <si>
    <t>Jackson</t>
  </si>
  <si>
    <t>53-240-2040</t>
  </si>
  <si>
    <t>Itaguaأ­</t>
  </si>
  <si>
    <t>27-742-2776</t>
  </si>
  <si>
    <t>Fteliأ،</t>
  </si>
  <si>
    <t>55-620-7906</t>
  </si>
  <si>
    <t>Kiambu</t>
  </si>
  <si>
    <t>04-213-4617</t>
  </si>
  <si>
    <t>Xibأ«r-Murrizأ«</t>
  </si>
  <si>
    <t>79-384-7469</t>
  </si>
  <si>
    <t>Xudat</t>
  </si>
  <si>
    <t>30-839-5589</t>
  </si>
  <si>
    <t>Yaodu</t>
  </si>
  <si>
    <t>76-848-9229</t>
  </si>
  <si>
    <t>Saint-Gratien</t>
  </si>
  <si>
    <t>98-559-6096</t>
  </si>
  <si>
    <t>Totora</t>
  </si>
  <si>
    <t>56-810-2066</t>
  </si>
  <si>
    <t>Gأ¶teborg</t>
  </si>
  <si>
    <t>55-580-7707</t>
  </si>
  <si>
    <t>ؤŒأ،slav</t>
  </si>
  <si>
    <t>18-605-0795</t>
  </si>
  <si>
    <t>Rudnogorsk</t>
  </si>
  <si>
    <t>86-268-2904</t>
  </si>
  <si>
    <t>Pindiga</t>
  </si>
  <si>
    <t>75-847-7630</t>
  </si>
  <si>
    <t>Adela</t>
  </si>
  <si>
    <t>76-910-2337</t>
  </si>
  <si>
    <t>Krajan Baru</t>
  </si>
  <si>
    <t>56-719-7145</t>
  </si>
  <si>
    <t>Jinqiao</t>
  </si>
  <si>
    <t>14-025-2335</t>
  </si>
  <si>
    <t>Barg-e Matؤپl</t>
  </si>
  <si>
    <t>10-300-8072</t>
  </si>
  <si>
    <t>Argenteuil</t>
  </si>
  <si>
    <t>73-698-2326</t>
  </si>
  <si>
    <t>Daying</t>
  </si>
  <si>
    <t>01-023-2094</t>
  </si>
  <si>
    <t>Ngrejo</t>
  </si>
  <si>
    <t>65-359-4645</t>
  </si>
  <si>
    <t>Xieba</t>
  </si>
  <si>
    <t>33-405-7978</t>
  </si>
  <si>
    <t>Sigli</t>
  </si>
  <si>
    <t>09-783-7921</t>
  </si>
  <si>
    <t>Aristأ³bulo del Valle</t>
  </si>
  <si>
    <t>76-561-2427</t>
  </si>
  <si>
    <t>Cane</t>
  </si>
  <si>
    <t>82-467-3300</t>
  </si>
  <si>
    <t>Podhum</t>
  </si>
  <si>
    <t>92-946-7398</t>
  </si>
  <si>
    <t>Vilar</t>
  </si>
  <si>
    <t>59-891-2990</t>
  </si>
  <si>
    <t>Portela</t>
  </si>
  <si>
    <t>22-579-3978</t>
  </si>
  <si>
    <t>Arendal</t>
  </si>
  <si>
    <t>22-352-0576</t>
  </si>
  <si>
    <t>Nabؤ«nagar</t>
  </si>
  <si>
    <t>28-676-0614</t>
  </si>
  <si>
    <t>La Ravoire</t>
  </si>
  <si>
    <t>07-211-9364</t>
  </si>
  <si>
    <t>Dostoyevka</t>
  </si>
  <si>
    <t>98-238-6733</t>
  </si>
  <si>
    <t>Liuzhou</t>
  </si>
  <si>
    <t>72-006-3769</t>
  </si>
  <si>
    <t>Sأ£o Mateus do Maranhأ£o</t>
  </si>
  <si>
    <t>75-845-3143</t>
  </si>
  <si>
    <t>Rumbek</t>
  </si>
  <si>
    <t>26-028-2671</t>
  </si>
  <si>
    <t>Cigedang</t>
  </si>
  <si>
    <t>55-876-7407</t>
  </si>
  <si>
    <t>Muaralabuh</t>
  </si>
  <si>
    <t>47-720-9520</t>
  </si>
  <si>
    <t>Cheإ‚miec</t>
  </si>
  <si>
    <t>42-207-5005</t>
  </si>
  <si>
    <t>Santa Marta</t>
  </si>
  <si>
    <t>47-266-2261</t>
  </si>
  <si>
    <t>Brأ¤ndأ¶</t>
  </si>
  <si>
    <t>77-642-7686</t>
  </si>
  <si>
    <t>Liangshuihe</t>
  </si>
  <si>
    <t>37-468-8133</t>
  </si>
  <si>
    <t>Cimara</t>
  </si>
  <si>
    <t>00-335-5034</t>
  </si>
  <si>
    <t>Sanxing</t>
  </si>
  <si>
    <t>95-148-1769</t>
  </si>
  <si>
    <t>Linao</t>
  </si>
  <si>
    <t>72-324-1243</t>
  </si>
  <si>
    <t>Bairan</t>
  </si>
  <si>
    <t>62-687-5354</t>
  </si>
  <si>
    <t>Abaetetuba</t>
  </si>
  <si>
    <t>54-634-0814</t>
  </si>
  <si>
    <t>Pasirjaya</t>
  </si>
  <si>
    <t>64-769-5737</t>
  </si>
  <si>
    <t>Acheng</t>
  </si>
  <si>
    <t>62-892-2088</t>
  </si>
  <si>
    <t>Huakoulongtan</t>
  </si>
  <si>
    <t>53-951-2529</t>
  </si>
  <si>
    <t>Burgastai</t>
  </si>
  <si>
    <t>00-264-3797</t>
  </si>
  <si>
    <t>Chavarrأ­a</t>
  </si>
  <si>
    <t>88-445-9235</t>
  </si>
  <si>
    <t>Demuk</t>
  </si>
  <si>
    <t>65-539-9955</t>
  </si>
  <si>
    <t>Sertolovo</t>
  </si>
  <si>
    <t>89-730-1134</t>
  </si>
  <si>
    <t>Jixian</t>
  </si>
  <si>
    <t>74-051-7865</t>
  </si>
  <si>
    <t>Deqing</t>
  </si>
  <si>
    <t>40-450-4266</t>
  </si>
  <si>
    <t>Sala</t>
  </si>
  <si>
    <t>78-796-5651</t>
  </si>
  <si>
    <t>Dإ‚utأ³w</t>
  </si>
  <si>
    <t>78-163-4800</t>
  </si>
  <si>
    <t>Regimin</t>
  </si>
  <si>
    <t>90-272-5701</t>
  </si>
  <si>
    <t>Semiletka</t>
  </si>
  <si>
    <t>14-118-5229</t>
  </si>
  <si>
    <t>Dayr Sharaf</t>
  </si>
  <si>
    <t>24-662-2119</t>
  </si>
  <si>
    <t>Adani</t>
  </si>
  <si>
    <t>61-794-8438</t>
  </si>
  <si>
    <t>Rakhiv</t>
  </si>
  <si>
    <t>21-959-5766</t>
  </si>
  <si>
    <t>Ma'an</t>
  </si>
  <si>
    <t>42-518-2602</t>
  </si>
  <si>
    <t>Navoiy</t>
  </si>
  <si>
    <t>35-850-8676</t>
  </si>
  <si>
    <t>Sishilichengzi</t>
  </si>
  <si>
    <t>07-958-2231</t>
  </si>
  <si>
    <t>Tigaherang</t>
  </si>
  <si>
    <t>78-503-0416</t>
  </si>
  <si>
    <t>Villa Dolores</t>
  </si>
  <si>
    <t>46-167-7999</t>
  </si>
  <si>
    <t>Poأ،</t>
  </si>
  <si>
    <t>93-989-8649</t>
  </si>
  <si>
    <t>Shibushi</t>
  </si>
  <si>
    <t>98-130-8811</t>
  </si>
  <si>
    <t>Tilburg</t>
  </si>
  <si>
    <t>18-614-2070</t>
  </si>
  <si>
    <t>Ugra</t>
  </si>
  <si>
    <t>80-277-3242</t>
  </si>
  <si>
    <t>Montreuil</t>
  </si>
  <si>
    <t>44-949-9040</t>
  </si>
  <si>
    <t>Garibaldi</t>
  </si>
  <si>
    <t>04-545-9162</t>
  </si>
  <si>
    <t>Tiang</t>
  </si>
  <si>
    <t>51-320-2801</t>
  </si>
  <si>
    <t>Mouquim</t>
  </si>
  <si>
    <t>50-510-5119</t>
  </si>
  <si>
    <t>Montecristi</t>
  </si>
  <si>
    <t>63-964-6954</t>
  </si>
  <si>
    <t>Prince Albert</t>
  </si>
  <si>
    <t>55-569-9247</t>
  </si>
  <si>
    <t>02-911-0447</t>
  </si>
  <si>
    <t>Zajeؤچov</t>
  </si>
  <si>
    <t>77-626-7240</t>
  </si>
  <si>
    <t>Liushun</t>
  </si>
  <si>
    <t>75-915-9803</t>
  </si>
  <si>
    <t>Sancha</t>
  </si>
  <si>
    <t>78-905-2660</t>
  </si>
  <si>
    <t>Damnoen Saduak</t>
  </si>
  <si>
    <t>02-677-6735</t>
  </si>
  <si>
    <t>Cianorte</t>
  </si>
  <si>
    <t>20-460-9796</t>
  </si>
  <si>
    <t>Liuzuo</t>
  </si>
  <si>
    <t>57-587-4005</t>
  </si>
  <si>
    <t>99-477-8256</t>
  </si>
  <si>
    <t>Kؤپshmar</t>
  </si>
  <si>
    <t>03-992-3728</t>
  </si>
  <si>
    <t>â€کArad</t>
  </si>
  <si>
    <t>24-878-4507</t>
  </si>
  <si>
    <t>Lenart v Slov. Goricah</t>
  </si>
  <si>
    <t>22-106-8347</t>
  </si>
  <si>
    <t>Bigaa</t>
  </si>
  <si>
    <t>81-479-0790</t>
  </si>
  <si>
    <t>Guadalupe</t>
  </si>
  <si>
    <t>03-023-9932</t>
  </si>
  <si>
    <t>Xiaruyue</t>
  </si>
  <si>
    <t>36-632-2460</t>
  </si>
  <si>
    <t>Gweedore</t>
  </si>
  <si>
    <t>32-799-7704</t>
  </si>
  <si>
    <t>Przelewice</t>
  </si>
  <si>
    <t>09-369-0588</t>
  </si>
  <si>
    <t>Dalumangcob</t>
  </si>
  <si>
    <t>87-727-6434</t>
  </si>
  <si>
    <t>Cravo Norte</t>
  </si>
  <si>
    <t>18-793-9543</t>
  </si>
  <si>
    <t>Monterأ­a</t>
  </si>
  <si>
    <t>63-625-5757</t>
  </si>
  <si>
    <t>Mikunâ€™</t>
  </si>
  <si>
    <t>93-413-4758</t>
  </si>
  <si>
    <t>Samamiya</t>
  </si>
  <si>
    <t>15-663-7994</t>
  </si>
  <si>
    <t>Tanahmerah</t>
  </si>
  <si>
    <t>29-319-4519</t>
  </si>
  <si>
    <t>أ–rebro</t>
  </si>
  <si>
    <t>40-347-2903</t>
  </si>
  <si>
    <t>Kefar Yona</t>
  </si>
  <si>
    <t>18-452-1635</t>
  </si>
  <si>
    <t>Pasto</t>
  </si>
  <si>
    <t>47-710-5471</t>
  </si>
  <si>
    <t>Huangtan</t>
  </si>
  <si>
    <t>88-167-7129</t>
  </si>
  <si>
    <t>Ilâ€™inskiy</t>
  </si>
  <si>
    <t>86-771-9082</t>
  </si>
  <si>
    <t>Ugljevik</t>
  </si>
  <si>
    <t>46-678-4172</t>
  </si>
  <si>
    <t>Na Chaluai</t>
  </si>
  <si>
    <t>14-249-1256</t>
  </si>
  <si>
    <t>Marolambo</t>
  </si>
  <si>
    <t>75-617-1460</t>
  </si>
  <si>
    <t>10-247-0192</t>
  </si>
  <si>
    <t>Cali</t>
  </si>
  <si>
    <t>94-120-9525</t>
  </si>
  <si>
    <t>Tamana</t>
  </si>
  <si>
    <t>22-234-9315</t>
  </si>
  <si>
    <t>Miyazu</t>
  </si>
  <si>
    <t>37-560-7247</t>
  </si>
  <si>
    <t>Gryfأ³w إڑlؤ…ski</t>
  </si>
  <si>
    <t>91-857-0797</t>
  </si>
  <si>
    <t>Pinagsibaan</t>
  </si>
  <si>
    <t>19-344-0102</t>
  </si>
  <si>
    <t>Jardin</t>
  </si>
  <si>
    <t>48-609-7715</t>
  </si>
  <si>
    <t>Aguilares</t>
  </si>
  <si>
    <t>13-571-6506</t>
  </si>
  <si>
    <t>Muslyumovo</t>
  </si>
  <si>
    <t>47-073-6440</t>
  </si>
  <si>
    <t>Taiyuan</t>
  </si>
  <si>
    <t>50-303-1693</t>
  </si>
  <si>
    <t>Chatturat</t>
  </si>
  <si>
    <t>69-157-9577</t>
  </si>
  <si>
    <t>Paisha</t>
  </si>
  <si>
    <t>09-513-4923</t>
  </si>
  <si>
    <t>Kadugadung</t>
  </si>
  <si>
    <t>82-975-8569</t>
  </si>
  <si>
    <t>Paris 15</t>
  </si>
  <si>
    <t>70-774-7728</t>
  </si>
  <si>
    <t>Dualing</t>
  </si>
  <si>
    <t>13-015-8097</t>
  </si>
  <si>
    <t>Adelaide</t>
  </si>
  <si>
    <t>68-391-7279</t>
  </si>
  <si>
    <t>Pingshi</t>
  </si>
  <si>
    <t>28-764-3337</t>
  </si>
  <si>
    <t>Renshan</t>
  </si>
  <si>
    <t>00-285-9607</t>
  </si>
  <si>
    <t>Sobinka</t>
  </si>
  <si>
    <t>04-832-3559</t>
  </si>
  <si>
    <t>Narol</t>
  </si>
  <si>
    <t>27-613-5005</t>
  </si>
  <si>
    <t>Fresno</t>
  </si>
  <si>
    <t>49-825-3438</t>
  </si>
  <si>
    <t>Vabalninkas</t>
  </si>
  <si>
    <t>31-783-9785</t>
  </si>
  <si>
    <t>Jambuwerkrajan</t>
  </si>
  <si>
    <t>58-059-8187</t>
  </si>
  <si>
    <t>Ozubulu</t>
  </si>
  <si>
    <t>74-882-6648</t>
  </si>
  <si>
    <t>Nakhchivan</t>
  </si>
  <si>
    <t>03-180-9200</t>
  </si>
  <si>
    <t>Curumanأ­</t>
  </si>
  <si>
    <t>46-578-1425</t>
  </si>
  <si>
    <t>Praia</t>
  </si>
  <si>
    <t>13-588-5783</t>
  </si>
  <si>
    <t>25-085-7917</t>
  </si>
  <si>
    <t>Pallisa</t>
  </si>
  <si>
    <t>66-085-1226</t>
  </si>
  <si>
    <t>San Pascual</t>
  </si>
  <si>
    <t>37-037-1765</t>
  </si>
  <si>
    <t>â€کAإںؤ«rah ash Shamؤپlؤ«yah</t>
  </si>
  <si>
    <t>48-630-6410</t>
  </si>
  <si>
    <t>Dom Pedrito</t>
  </si>
  <si>
    <t>50-471-0212</t>
  </si>
  <si>
    <t>San Sebastiأ،n de Yalأ­</t>
  </si>
  <si>
    <t>48-642-5768</t>
  </si>
  <si>
    <t>Shchأ«kino</t>
  </si>
  <si>
    <t>15-152-9751</t>
  </si>
  <si>
    <t>Turkestan</t>
  </si>
  <si>
    <t>23-451-9920</t>
  </si>
  <si>
    <t>Rzeczenica</t>
  </si>
  <si>
    <t>09-775-4058</t>
  </si>
  <si>
    <t>Perzأ³w</t>
  </si>
  <si>
    <t>43-595-0966</t>
  </si>
  <si>
    <t>Sabon Gari-Nangere</t>
  </si>
  <si>
    <t>56-592-0089</t>
  </si>
  <si>
    <t>Hengshui</t>
  </si>
  <si>
    <t>29-374-1297</t>
  </si>
  <si>
    <t>Nantes</t>
  </si>
  <si>
    <t>80-728-6133</t>
  </si>
  <si>
    <t>Tamorot</t>
  </si>
  <si>
    <t>58-502-7490</t>
  </si>
  <si>
    <t>Sinchao</t>
  </si>
  <si>
    <t>23-537-0742</t>
  </si>
  <si>
    <t>Anding</t>
  </si>
  <si>
    <t>22-483-3115</t>
  </si>
  <si>
    <t>Rukem</t>
  </si>
  <si>
    <t>57-372-5969</t>
  </si>
  <si>
    <t>Bogovarovo</t>
  </si>
  <si>
    <t>37-283-9076</t>
  </si>
  <si>
    <t>Valbo</t>
  </si>
  <si>
    <t>39-075-3518</t>
  </si>
  <si>
    <t>Jaguaruana</t>
  </si>
  <si>
    <t>84-315-7189</t>
  </si>
  <si>
    <t>إ¢ؤپqchah Khؤپnah</t>
  </si>
  <si>
    <t>75-964-5589</t>
  </si>
  <si>
    <t>Lipovci</t>
  </si>
  <si>
    <t>06-594-3417</t>
  </si>
  <si>
    <t>Panagyurishte</t>
  </si>
  <si>
    <t>08-297-3351</t>
  </si>
  <si>
    <t>Thل»‹ Trل؛¥n Than Uyأھn</t>
  </si>
  <si>
    <t>05-546-5128</t>
  </si>
  <si>
    <t>Clichy</t>
  </si>
  <si>
    <t>79-759-6726</t>
  </si>
  <si>
    <t>Kإ‚oczew</t>
  </si>
  <si>
    <t>12-851-1771</t>
  </si>
  <si>
    <t>Zhukovo</t>
  </si>
  <si>
    <t>79-960-1714</t>
  </si>
  <si>
    <t>Nykأ¶ping</t>
  </si>
  <si>
    <t>30-417-6981</t>
  </si>
  <si>
    <t>Jianmin</t>
  </si>
  <si>
    <t>91-532-5399</t>
  </si>
  <si>
    <t>Bucaramanga</t>
  </si>
  <si>
    <t>89-997-9041</t>
  </si>
  <si>
    <t>Kudanding</t>
  </si>
  <si>
    <t>26-235-6745</t>
  </si>
  <si>
    <t>Kyoto</t>
  </si>
  <si>
    <t>99-080-9462</t>
  </si>
  <si>
    <t>Saraburi</t>
  </si>
  <si>
    <t>87-056-8987</t>
  </si>
  <si>
    <t>Negeriagung</t>
  </si>
  <si>
    <t>06-160-8063</t>
  </si>
  <si>
    <t>Latacunga</t>
  </si>
  <si>
    <t>73-434-2308</t>
  </si>
  <si>
    <t>Guanzhou</t>
  </si>
  <si>
    <t>84-260-6464</t>
  </si>
  <si>
    <t>Tabuc Pontevedra</t>
  </si>
  <si>
    <t>00-149-4481</t>
  </si>
  <si>
    <t>Kabale</t>
  </si>
  <si>
    <t>05-710-6109</t>
  </si>
  <si>
    <t>Malveira</t>
  </si>
  <si>
    <t>84-724-8407</t>
  </si>
  <si>
    <t>Veiga</t>
  </si>
  <si>
    <t>45-795-1873</t>
  </si>
  <si>
    <t>Jagistay</t>
  </si>
  <si>
    <t>06-647-3248</t>
  </si>
  <si>
    <t>Yuannan</t>
  </si>
  <si>
    <t>06-767-5206</t>
  </si>
  <si>
    <t>Mount Darwin</t>
  </si>
  <si>
    <t>94-288-4423</t>
  </si>
  <si>
    <t>Qalâ€کeh-ye Khvؤپjeh</t>
  </si>
  <si>
    <t>49-891-9711</t>
  </si>
  <si>
    <t>08-806-0588</t>
  </si>
  <si>
    <t>Al Qarؤپrah</t>
  </si>
  <si>
    <t>94-746-2001</t>
  </si>
  <si>
    <t>Fandriana</t>
  </si>
  <si>
    <t>38-943-5744</t>
  </si>
  <si>
    <t>Carregueira</t>
  </si>
  <si>
    <t>98-535-8497</t>
  </si>
  <si>
    <t>Lincheng</t>
  </si>
  <si>
    <t>33-243-8793</t>
  </si>
  <si>
    <t>Semenivka</t>
  </si>
  <si>
    <t>99-581-5577</t>
  </si>
  <si>
    <t>Ylأ¤ne</t>
  </si>
  <si>
    <t>64-180-2404</t>
  </si>
  <si>
    <t>Cendagah</t>
  </si>
  <si>
    <t>73-097-0986</t>
  </si>
  <si>
    <t>Fؤ«rإ«zؤپbؤپd</t>
  </si>
  <si>
    <t>88-051-0567</t>
  </si>
  <si>
    <t>Trondheim</t>
  </si>
  <si>
    <t>44-715-9594</t>
  </si>
  <si>
    <t>Yakovlevo</t>
  </si>
  <si>
    <t>84-188-6577</t>
  </si>
  <si>
    <t>Katav-Ivanovsk</t>
  </si>
  <si>
    <t>19-116-4723</t>
  </si>
  <si>
    <t>Voznesenskoye</t>
  </si>
  <si>
    <t>21-783-9242</t>
  </si>
  <si>
    <t>Voskhod</t>
  </si>
  <si>
    <t>95-528-2313</t>
  </si>
  <si>
    <t>Gudja</t>
  </si>
  <si>
    <t>94-682-4886</t>
  </si>
  <si>
    <t>Gawul</t>
  </si>
  <si>
    <t>55-944-9669</t>
  </si>
  <si>
    <t>Sobeok</t>
  </si>
  <si>
    <t>32-314-2958</t>
  </si>
  <si>
    <t>Nanhuang</t>
  </si>
  <si>
    <t>67-697-2331</t>
  </si>
  <si>
    <t>Tanudan</t>
  </si>
  <si>
    <t>28-855-1639</t>
  </si>
  <si>
    <t>Jiaozuo</t>
  </si>
  <si>
    <t>38-069-8615</t>
  </si>
  <si>
    <t>Takؤپb</t>
  </si>
  <si>
    <t>58-233-5963</t>
  </si>
  <si>
    <t>Gualeguay</t>
  </si>
  <si>
    <t>02-004-0620</t>
  </si>
  <si>
    <t>Lagoa Seca</t>
  </si>
  <si>
    <t>78-822-9328</t>
  </si>
  <si>
    <t>Bugarama</t>
  </si>
  <si>
    <t>73-359-1998</t>
  </si>
  <si>
    <t>Dicamay</t>
  </si>
  <si>
    <t>84-459-7736</t>
  </si>
  <si>
    <t>Xiluodu</t>
  </si>
  <si>
    <t>07-395-5818</t>
  </si>
  <si>
    <t>ل¸¨abؤپbah</t>
  </si>
  <si>
    <t>07-560-6637</t>
  </si>
  <si>
    <t>Lobuk</t>
  </si>
  <si>
    <t>61-926-1691</t>
  </si>
  <si>
    <t>Waiwukak</t>
  </si>
  <si>
    <t>68-129-1060</t>
  </si>
  <si>
    <t>Abaetأ©</t>
  </si>
  <si>
    <t>04-052-5592</t>
  </si>
  <si>
    <t>Xiaqiao</t>
  </si>
  <si>
    <t>41-215-6092</t>
  </si>
  <si>
    <t>Zubإ«bah</t>
  </si>
  <si>
    <t>89-833-7175</t>
  </si>
  <si>
    <t>Kؤ™sowo</t>
  </si>
  <si>
    <t>08-117-9893</t>
  </si>
  <si>
    <t>Colombo</t>
  </si>
  <si>
    <t>24-109-2173</t>
  </si>
  <si>
    <t>Messأ­ni</t>
  </si>
  <si>
    <t>79-939-2140</t>
  </si>
  <si>
    <t>Yishui</t>
  </si>
  <si>
    <t>95-999-0984</t>
  </si>
  <si>
    <t>Nanyaojie</t>
  </si>
  <si>
    <t>64-799-3174</t>
  </si>
  <si>
    <t>Buzen</t>
  </si>
  <si>
    <t>27-018-2262</t>
  </si>
  <si>
    <t>Bom Jesus do Itabapoana</t>
  </si>
  <si>
    <t>38-881-0766</t>
  </si>
  <si>
    <t>Centenario</t>
  </si>
  <si>
    <t>17-344-8603</t>
  </si>
  <si>
    <t>Al Jؤ«zah</t>
  </si>
  <si>
    <t>51-387-9144</t>
  </si>
  <si>
    <t>Thل»‹ Trل؛¥n Cل؛©m Thل»§y</t>
  </si>
  <si>
    <t>42-101-8525</t>
  </si>
  <si>
    <t>Curahkalak Tengah</t>
  </si>
  <si>
    <t>69-157-6752</t>
  </si>
  <si>
    <t>Ebu</t>
  </si>
  <si>
    <t>27-843-5553</t>
  </si>
  <si>
    <t>Tأ­o Pujio</t>
  </si>
  <si>
    <t>04-468-5487</t>
  </si>
  <si>
    <t>08-584-8296</t>
  </si>
  <si>
    <t>Shaxi</t>
  </si>
  <si>
    <t>81-014-4502</t>
  </si>
  <si>
    <t>Kelؤ«shؤپd va Sإ«darjؤپn</t>
  </si>
  <si>
    <t>65-167-9819</t>
  </si>
  <si>
    <t>19-925-2376</t>
  </si>
  <si>
    <t>Segodim</t>
  </si>
  <si>
    <t>03-669-7519</t>
  </si>
  <si>
    <t>Yinying</t>
  </si>
  <si>
    <t>00-520-4376</t>
  </si>
  <si>
    <t>Harembo</t>
  </si>
  <si>
    <t>62-701-1037</t>
  </si>
  <si>
    <t>Lazarevac</t>
  </si>
  <si>
    <t>87-806-4478</t>
  </si>
  <si>
    <t>04-809-8989</t>
  </si>
  <si>
    <t>Zhongcun</t>
  </si>
  <si>
    <t>39-867-1989</t>
  </si>
  <si>
    <t>Gaopeng</t>
  </si>
  <si>
    <t>45-584-7333</t>
  </si>
  <si>
    <t>Tabonok</t>
  </si>
  <si>
    <t>85-885-6579</t>
  </si>
  <si>
    <t>Tirana</t>
  </si>
  <si>
    <t>65-457-2840</t>
  </si>
  <si>
    <t>Maralal</t>
  </si>
  <si>
    <t>82-726-1255</t>
  </si>
  <si>
    <t>Xinjiang</t>
  </si>
  <si>
    <t>90-602-3583</t>
  </si>
  <si>
    <t>Mocho</t>
  </si>
  <si>
    <t>02-711-1034</t>
  </si>
  <si>
    <t>Likhoy</t>
  </si>
  <si>
    <t>27-347-7437</t>
  </si>
  <si>
    <t>Mineiros</t>
  </si>
  <si>
    <t>95-675-7816</t>
  </si>
  <si>
    <t>Noisy-le-Grand</t>
  </si>
  <si>
    <t>87-418-1400</t>
  </si>
  <si>
    <t>Taoyuan</t>
  </si>
  <si>
    <t>73-991-0066</t>
  </si>
  <si>
    <t>San Marcos de Colأ³n</t>
  </si>
  <si>
    <t>62-273-8089</t>
  </si>
  <si>
    <t>Pokrovka</t>
  </si>
  <si>
    <t>51-220-3072</t>
  </si>
  <si>
    <t>Shuntian</t>
  </si>
  <si>
    <t>17-648-0171</t>
  </si>
  <si>
    <t>Joأ£o Cأ¢mara</t>
  </si>
  <si>
    <t>11-975-9054</t>
  </si>
  <si>
    <t>Cunha</t>
  </si>
  <si>
    <t>75-518-2831</t>
  </si>
  <si>
    <t>Fengyi</t>
  </si>
  <si>
    <t>13-297-9777</t>
  </si>
  <si>
    <t>Myshkin</t>
  </si>
  <si>
    <t>81-604-7906</t>
  </si>
  <si>
    <t>Tewulike</t>
  </si>
  <si>
    <t>87-518-0375</t>
  </si>
  <si>
    <t>Bistrinci</t>
  </si>
  <si>
    <t>53-437-2629</t>
  </si>
  <si>
    <t>Chenguang</t>
  </si>
  <si>
    <t>46-681-0764</t>
  </si>
  <si>
    <t>Muara</t>
  </si>
  <si>
    <t>43-990-6454</t>
  </si>
  <si>
    <t>Qorveh</t>
  </si>
  <si>
    <t>55-570-3804</t>
  </si>
  <si>
    <t>Bom Despacho</t>
  </si>
  <si>
    <t>29-067-4901</t>
  </si>
  <si>
    <t>Arhust</t>
  </si>
  <si>
    <t>93-957-6269</t>
  </si>
  <si>
    <t>Thaton</t>
  </si>
  <si>
    <t>81-225-6647</t>
  </si>
  <si>
    <t>Changbai</t>
  </si>
  <si>
    <t>64-706-7841</t>
  </si>
  <si>
    <t>Kragan</t>
  </si>
  <si>
    <t>47-178-9529</t>
  </si>
  <si>
    <t>Bida</t>
  </si>
  <si>
    <t>63-808-3641</t>
  </si>
  <si>
    <t>Pointe Michel</t>
  </si>
  <si>
    <t>85-738-8909</t>
  </si>
  <si>
    <t>Juyuan</t>
  </si>
  <si>
    <t>40-224-1057</t>
  </si>
  <si>
    <t>Sabugo</t>
  </si>
  <si>
    <t>24-853-1635</t>
  </si>
  <si>
    <t>Huangjin</t>
  </si>
  <si>
    <t>61-627-1822</t>
  </si>
  <si>
    <t>Huquan</t>
  </si>
  <si>
    <t>89-392-5002</t>
  </si>
  <si>
    <t>Xinqiao</t>
  </si>
  <si>
    <t>71-573-6085</t>
  </si>
  <si>
    <t>Trzemeszno</t>
  </si>
  <si>
    <t>91-810-3612</t>
  </si>
  <si>
    <t>Dashkawka</t>
  </si>
  <si>
    <t>07-323-0255</t>
  </si>
  <si>
    <t>Sakura</t>
  </si>
  <si>
    <t>81-054-5343</t>
  </si>
  <si>
    <t>Lianghu</t>
  </si>
  <si>
    <t>14-854-9545</t>
  </si>
  <si>
    <t>Karabash</t>
  </si>
  <si>
    <t>52-150-4629</t>
  </si>
  <si>
    <t>Maomiaoji</t>
  </si>
  <si>
    <t>48-918-4473</t>
  </si>
  <si>
    <t>Pingtian</t>
  </si>
  <si>
    <t>06-764-5496</t>
  </si>
  <si>
    <t>Tiإ،ina</t>
  </si>
  <si>
    <t>67-036-4295</t>
  </si>
  <si>
    <t>Montceau-les-Mines</t>
  </si>
  <si>
    <t>35-880-9374</t>
  </si>
  <si>
    <t>Karengan</t>
  </si>
  <si>
    <t>08-614-6177</t>
  </si>
  <si>
    <t>Sungai Raya</t>
  </si>
  <si>
    <t>35-879-0014</t>
  </si>
  <si>
    <t>Zwedru</t>
  </si>
  <si>
    <t>91-570-2695</t>
  </si>
  <si>
    <t>إ¢ahإ£ؤپ</t>
  </si>
  <si>
    <t>54-193-3526</t>
  </si>
  <si>
    <t>Masaran</t>
  </si>
  <si>
    <t>55-237-7991</t>
  </si>
  <si>
    <t>Huangtang</t>
  </si>
  <si>
    <t>90-569-7391</t>
  </si>
  <si>
    <t>Skoأ؛tari</t>
  </si>
  <si>
    <t>88-395-8741</t>
  </si>
  <si>
    <t>Jelat</t>
  </si>
  <si>
    <t>06-638-0433</t>
  </si>
  <si>
    <t>Doibang</t>
  </si>
  <si>
    <t>84-208-7045</t>
  </si>
  <si>
    <t>Kazimierz Dolny</t>
  </si>
  <si>
    <t>71-568-0867</t>
  </si>
  <si>
    <t>Margasari</t>
  </si>
  <si>
    <t>18-925-1867</t>
  </si>
  <si>
    <t>Garأ§a</t>
  </si>
  <si>
    <t>69-394-1424</t>
  </si>
  <si>
    <t>Muff</t>
  </si>
  <si>
    <t>91-695-8237</t>
  </si>
  <si>
    <t>Kryva Hora</t>
  </si>
  <si>
    <t>68-458-0904</t>
  </si>
  <si>
    <t>Pyra</t>
  </si>
  <si>
    <t>28-862-5550</t>
  </si>
  <si>
    <t>General Lavalle</t>
  </si>
  <si>
    <t>85-666-7449</t>
  </si>
  <si>
    <t>Zhongzhang</t>
  </si>
  <si>
    <t>30-987-7421</t>
  </si>
  <si>
    <t>Estacion</t>
  </si>
  <si>
    <t>39-107-6852</t>
  </si>
  <si>
    <t>Xinglongchang</t>
  </si>
  <si>
    <t>85-467-6564</t>
  </si>
  <si>
    <t>San Nicolas</t>
  </si>
  <si>
    <t>82-692-9306</t>
  </si>
  <si>
    <t>Ropa</t>
  </si>
  <si>
    <t>18-593-8611</t>
  </si>
  <si>
    <t>San Diego</t>
  </si>
  <si>
    <t>93-093-0556</t>
  </si>
  <si>
    <t>Pan-an</t>
  </si>
  <si>
    <t>59-080-5779</t>
  </si>
  <si>
    <t>Shu</t>
  </si>
  <si>
    <t>64-915-2968</t>
  </si>
  <si>
    <t>94-495-3402</t>
  </si>
  <si>
    <t>Mojogajeh</t>
  </si>
  <si>
    <t>84-458-6432</t>
  </si>
  <si>
    <t>Mawu</t>
  </si>
  <si>
    <t>46-452-3822</t>
  </si>
  <si>
    <t>Genting</t>
  </si>
  <si>
    <t>54-877-5699</t>
  </si>
  <si>
    <t>Madan</t>
  </si>
  <si>
    <t>15-146-4456</t>
  </si>
  <si>
    <t>Hexiangqiao</t>
  </si>
  <si>
    <t>76-620-2994</t>
  </si>
  <si>
    <t>Na Muen</t>
  </si>
  <si>
    <t>60-834-3348</t>
  </si>
  <si>
    <t>Gafargaon</t>
  </si>
  <si>
    <t>77-742-5663</t>
  </si>
  <si>
    <t>Qingban</t>
  </si>
  <si>
    <t>05-167-0833</t>
  </si>
  <si>
    <t>Labأ¨ge</t>
  </si>
  <si>
    <t>86-182-9556</t>
  </si>
  <si>
    <t>Port Elizabeth</t>
  </si>
  <si>
    <t>14-415-2802</t>
  </si>
  <si>
    <t>Sauri</t>
  </si>
  <si>
    <t>49-469-9163</t>
  </si>
  <si>
    <t>Desakolot</t>
  </si>
  <si>
    <t>67-937-6624</t>
  </si>
  <si>
    <t>Huambo</t>
  </si>
  <si>
    <t>91-761-9492</t>
  </si>
  <si>
    <t>Luoting</t>
  </si>
  <si>
    <t>19-184-7665</t>
  </si>
  <si>
    <t>Stepnogorsk</t>
  </si>
  <si>
    <t>19-383-9741</t>
  </si>
  <si>
    <t>Zarechnyy</t>
  </si>
  <si>
    <t>15-625-4047</t>
  </si>
  <si>
    <t>81-820-4735</t>
  </si>
  <si>
    <t>Banjar Medura</t>
  </si>
  <si>
    <t>71-436-6908</t>
  </si>
  <si>
    <t>Arnprior</t>
  </si>
  <si>
    <t>73-145-5784</t>
  </si>
  <si>
    <t>Donglu</t>
  </si>
  <si>
    <t>50-637-1630</t>
  </si>
  <si>
    <t>Inderka</t>
  </si>
  <si>
    <t>44-938-7475</t>
  </si>
  <si>
    <t>Tochio-honchإچ</t>
  </si>
  <si>
    <t>55-279-3045</t>
  </si>
  <si>
    <t>Pasadena</t>
  </si>
  <si>
    <t>59-997-3903</t>
  </si>
  <si>
    <t>Barishؤپl</t>
  </si>
  <si>
    <t>12-029-9344</t>
  </si>
  <si>
    <t>Kihurio</t>
  </si>
  <si>
    <t>41-130-2570</t>
  </si>
  <si>
    <t>Oekero</t>
  </si>
  <si>
    <t>25-285-7453</t>
  </si>
  <si>
    <t>Cluses</t>
  </si>
  <si>
    <t>47-225-8686</t>
  </si>
  <si>
    <t>Wrzؤ…sowice</t>
  </si>
  <si>
    <t>33-519-4214</t>
  </si>
  <si>
    <t>Hengfeng</t>
  </si>
  <si>
    <t>03-991-2098</t>
  </si>
  <si>
    <t>Bor</t>
  </si>
  <si>
    <t>30-735-8744</t>
  </si>
  <si>
    <t>Nawu</t>
  </si>
  <si>
    <t>13-848-5757</t>
  </si>
  <si>
    <t>Longotea</t>
  </si>
  <si>
    <t>21-300-2001</t>
  </si>
  <si>
    <t>ل¸¨abؤ«l al Jabr</t>
  </si>
  <si>
    <t>38-587-1781</t>
  </si>
  <si>
    <t>Gueset</t>
  </si>
  <si>
    <t>66-557-1474</t>
  </si>
  <si>
    <t>Lؤ«kak</t>
  </si>
  <si>
    <t>03-422-8710</t>
  </si>
  <si>
    <t>Yuanguping</t>
  </si>
  <si>
    <t>39-731-8532</t>
  </si>
  <si>
    <t>Colأ³n</t>
  </si>
  <si>
    <t>80-830-3184</t>
  </si>
  <si>
    <t>Lyon</t>
  </si>
  <si>
    <t>97-505-8416</t>
  </si>
  <si>
    <t>Chamical</t>
  </si>
  <si>
    <t>98-585-4742</t>
  </si>
  <si>
    <t>أپgios Andrأ©as</t>
  </si>
  <si>
    <t>51-302-9537</t>
  </si>
  <si>
    <t>Cibeusi</t>
  </si>
  <si>
    <t>88-313-2633</t>
  </si>
  <si>
    <t>Itsandzأ©ni</t>
  </si>
  <si>
    <t>61-286-0069</t>
  </si>
  <si>
    <t>Kosh-Agach</t>
  </si>
  <si>
    <t>35-907-0586</t>
  </si>
  <si>
    <t>Kuafeu</t>
  </si>
  <si>
    <t>30-522-1574</t>
  </si>
  <si>
    <t>Xincheng</t>
  </si>
  <si>
    <t>43-715-8777</t>
  </si>
  <si>
    <t>Minneapolis</t>
  </si>
  <si>
    <t>94-692-4313</t>
  </si>
  <si>
    <t>Pأ©fki</t>
  </si>
  <si>
    <t>96-915-4091</t>
  </si>
  <si>
    <t>ل¸¨awallؤ«</t>
  </si>
  <si>
    <t>67-073-5578</t>
  </si>
  <si>
    <t>27-010-9462</t>
  </si>
  <si>
    <t>Imielin</t>
  </si>
  <si>
    <t>19-689-4556</t>
  </si>
  <si>
    <t>Przeworsk</t>
  </si>
  <si>
    <t>53-143-6147</t>
  </si>
  <si>
    <t>Amsterdam Nieuw West</t>
  </si>
  <si>
    <t>02-725-7664</t>
  </si>
  <si>
    <t>Klishkivtsi</t>
  </si>
  <si>
    <t>54-439-4748</t>
  </si>
  <si>
    <t>Borova</t>
  </si>
  <si>
    <t>66-949-9895</t>
  </si>
  <si>
    <t>Vendargues</t>
  </si>
  <si>
    <t>20-648-1010</t>
  </si>
  <si>
    <t>Zilang</t>
  </si>
  <si>
    <t>79-939-5393</t>
  </si>
  <si>
    <t>Camalote</t>
  </si>
  <si>
    <t>89-249-8369</t>
  </si>
  <si>
    <t>Julayjilah</t>
  </si>
  <si>
    <t>85-366-1482</t>
  </si>
  <si>
    <t>Badajoz</t>
  </si>
  <si>
    <t>34-874-7357</t>
  </si>
  <si>
    <t>Fort Wayne</t>
  </si>
  <si>
    <t>11-820-5039</t>
  </si>
  <si>
    <t>Galأ،n</t>
  </si>
  <si>
    <t>73-846-1423</t>
  </si>
  <si>
    <t>Saint Joseph</t>
  </si>
  <si>
    <t>90-363-8040</t>
  </si>
  <si>
    <t>Hospitalet De Llobregat, L'</t>
  </si>
  <si>
    <t>65-533-1660</t>
  </si>
  <si>
    <t>Palma De Mallorca</t>
  </si>
  <si>
    <t>98-376-8787</t>
  </si>
  <si>
    <t>Pho Duc</t>
  </si>
  <si>
    <t>18-938-9896</t>
  </si>
  <si>
    <t>إپeba</t>
  </si>
  <si>
    <t>04-829-7037</t>
  </si>
  <si>
    <t>Yaguaraparo</t>
  </si>
  <si>
    <t>93-455-0576</t>
  </si>
  <si>
    <t>Novoorsk</t>
  </si>
  <si>
    <t>84-637-9188</t>
  </si>
  <si>
    <t>Wuyang</t>
  </si>
  <si>
    <t>81-111-7832</t>
  </si>
  <si>
    <t>Pelasgأ­a</t>
  </si>
  <si>
    <t>77-401-8183</t>
  </si>
  <si>
    <t>Phأ؛c Thل»چ</t>
  </si>
  <si>
    <t>01-484-8220</t>
  </si>
  <si>
    <t>Vsevolozhsk</t>
  </si>
  <si>
    <t>11-121-0709</t>
  </si>
  <si>
    <t>Kara Suu</t>
  </si>
  <si>
    <t>36-649-0081</t>
  </si>
  <si>
    <t>Beigucheng</t>
  </si>
  <si>
    <t>61-176-8712</t>
  </si>
  <si>
    <t>Cerro</t>
  </si>
  <si>
    <t>75-526-2611</t>
  </si>
  <si>
    <t>Yamaga</t>
  </si>
  <si>
    <t>72-339-1854</t>
  </si>
  <si>
    <t>Sacramento</t>
  </si>
  <si>
    <t>80-360-6324</t>
  </si>
  <si>
    <t>Foso</t>
  </si>
  <si>
    <t>24-591-4327</t>
  </si>
  <si>
    <t>Nowe Brzesko</t>
  </si>
  <si>
    <t>58-487-8848</t>
  </si>
  <si>
    <t>Konؤپrak</t>
  </si>
  <si>
    <t>61-453-3503</t>
  </si>
  <si>
    <t>Qingshandi</t>
  </si>
  <si>
    <t>63-680-7694</t>
  </si>
  <si>
    <t>Mbala</t>
  </si>
  <si>
    <t>51-431-7150</t>
  </si>
  <si>
    <t>Shiqiao</t>
  </si>
  <si>
    <t>23-039-9347</t>
  </si>
  <si>
    <t>Yatsuomachi-higashikumisaka</t>
  </si>
  <si>
    <t>18-832-6916</t>
  </si>
  <si>
    <t>Czarna Dؤ…brأ³wka</t>
  </si>
  <si>
    <t>29-438-8126</t>
  </si>
  <si>
    <t>Pasirmadang</t>
  </si>
  <si>
    <t>68-201-1633</t>
  </si>
  <si>
    <t>Maأ±o</t>
  </si>
  <si>
    <t>07-314-2945</t>
  </si>
  <si>
    <t>Tiwi</t>
  </si>
  <si>
    <t>64-490-6975</t>
  </si>
  <si>
    <t>Ahar</t>
  </si>
  <si>
    <t>91-789-3191</t>
  </si>
  <si>
    <t>Dake</t>
  </si>
  <si>
    <t>83-714-9649</t>
  </si>
  <si>
    <t>Harstad</t>
  </si>
  <si>
    <t>33-203-4230</t>
  </si>
  <si>
    <t>Perbaungan</t>
  </si>
  <si>
    <t>90-918-2833</t>
  </si>
  <si>
    <t>Soroti</t>
  </si>
  <si>
    <t>53-409-1176</t>
  </si>
  <si>
    <t>Caruaru</t>
  </si>
  <si>
    <t>52-491-3386</t>
  </si>
  <si>
    <t>Kamiennik</t>
  </si>
  <si>
    <t>10-870-3357</t>
  </si>
  <si>
    <t>Boundiali</t>
  </si>
  <si>
    <t>41-816-7753</t>
  </si>
  <si>
    <t>Gأ¶tene</t>
  </si>
  <si>
    <t>68-296-5978</t>
  </si>
  <si>
    <t>Kadumelati</t>
  </si>
  <si>
    <t>03-874-9055</t>
  </si>
  <si>
    <t>Amparo</t>
  </si>
  <si>
    <t>28-123-8406</t>
  </si>
  <si>
    <t>Shimen</t>
  </si>
  <si>
    <t>01-089-2223</t>
  </si>
  <si>
    <t>Philadelphia</t>
  </si>
  <si>
    <t>23-758-1012</t>
  </si>
  <si>
    <t>Myingyan</t>
  </si>
  <si>
    <t>34-788-8387</t>
  </si>
  <si>
    <t>Qingqu</t>
  </si>
  <si>
    <t>53-865-9342</t>
  </si>
  <si>
    <t>Poste de Flacq</t>
  </si>
  <si>
    <t>79-052-8470</t>
  </si>
  <si>
    <t>إ¢awr al Bؤپل¸©ah</t>
  </si>
  <si>
    <t>86-359-7320</t>
  </si>
  <si>
    <t>Phu Loc</t>
  </si>
  <si>
    <t>27-111-2242</t>
  </si>
  <si>
    <t>Jembangan</t>
  </si>
  <si>
    <t>84-538-0238</t>
  </si>
  <si>
    <t>Harhorin</t>
  </si>
  <si>
    <t>04-660-2742</t>
  </si>
  <si>
    <t>Meijiang</t>
  </si>
  <si>
    <t>96-496-9833</t>
  </si>
  <si>
    <t>Laأ±gub</t>
  </si>
  <si>
    <t>27-672-6081</t>
  </si>
  <si>
    <t>Bangbayang</t>
  </si>
  <si>
    <t>66-033-0540</t>
  </si>
  <si>
    <t>Stؤ›boإ™ice</t>
  </si>
  <si>
    <t>99-643-9845</t>
  </si>
  <si>
    <t>Banturkrajan</t>
  </si>
  <si>
    <t>27-571-9402</t>
  </si>
  <si>
    <t>Sأ£o Torcato</t>
  </si>
  <si>
    <t>10-430-5821</t>
  </si>
  <si>
    <t>Kapan</t>
  </si>
  <si>
    <t>36-835-7445</t>
  </si>
  <si>
    <t>Vؤƒn Giang</t>
  </si>
  <si>
    <t>41-602-4042</t>
  </si>
  <si>
    <t>63-743-6962</t>
  </si>
  <si>
    <t>Tanushimarumachi-toyoki</t>
  </si>
  <si>
    <t>66-772-9922</t>
  </si>
  <si>
    <t>Kazo</t>
  </si>
  <si>
    <t>23-246-5927</t>
  </si>
  <si>
    <t>Rawa Mazowiecka</t>
  </si>
  <si>
    <t>74-022-7557</t>
  </si>
  <si>
    <t>Wإڈnsan</t>
  </si>
  <si>
    <t>78-214-5658</t>
  </si>
  <si>
    <t>Villavicencio</t>
  </si>
  <si>
    <t>25-286-8786</t>
  </si>
  <si>
    <t>Berlin</t>
  </si>
  <si>
    <t>55-955-9889</t>
  </si>
  <si>
    <t>Wailang</t>
  </si>
  <si>
    <t>34-237-3943</t>
  </si>
  <si>
    <t>Fangshan</t>
  </si>
  <si>
    <t>19-386-9088</t>
  </si>
  <si>
    <t>Tallahassee</t>
  </si>
  <si>
    <t>16-583-2801</t>
  </si>
  <si>
    <t>Anchorage</t>
  </si>
  <si>
    <t>83-752-5439</t>
  </si>
  <si>
    <t>Mulhouse</t>
  </si>
  <si>
    <t>25-485-2023</t>
  </si>
  <si>
    <t>Tangkilsari</t>
  </si>
  <si>
    <t>90-822-7664</t>
  </si>
  <si>
    <t>San Carlos</t>
  </si>
  <si>
    <t>22-039-6819</t>
  </si>
  <si>
    <t>Queluz</t>
  </si>
  <si>
    <t>50-395-1941</t>
  </si>
  <si>
    <t>Sأ¤rkisalo</t>
  </si>
  <si>
    <t>99-771-9310</t>
  </si>
  <si>
    <t>Vitoria-Gasteiz</t>
  </si>
  <si>
    <t>18-518-0140</t>
  </si>
  <si>
    <t>Coro</t>
  </si>
  <si>
    <t>57-000-8646</t>
  </si>
  <si>
    <t>Purwa</t>
  </si>
  <si>
    <t>81-926-9297</t>
  </si>
  <si>
    <t>Gأ¤vle</t>
  </si>
  <si>
    <t>53-070-2625</t>
  </si>
  <si>
    <t>Embu Guaأ§u</t>
  </si>
  <si>
    <t>63-217-7638</t>
  </si>
  <si>
    <t>64-120-6212</t>
  </si>
  <si>
    <t>Fubin</t>
  </si>
  <si>
    <t>01-404-3425</t>
  </si>
  <si>
    <t>Talshand</t>
  </si>
  <si>
    <t>68-971-6148</t>
  </si>
  <si>
    <t>Palampal</t>
  </si>
  <si>
    <t>22-053-4627</t>
  </si>
  <si>
    <t>Kamأ،rai</t>
  </si>
  <si>
    <t>09-258-0424</t>
  </si>
  <si>
    <t>Ettelbruck</t>
  </si>
  <si>
    <t>56-782-9001</t>
  </si>
  <si>
    <t>Cawayan</t>
  </si>
  <si>
    <t>05-506-7216</t>
  </si>
  <si>
    <t>Don Carlos</t>
  </si>
  <si>
    <t>47-356-9730</t>
  </si>
  <si>
    <t>42-898-6421</t>
  </si>
  <si>
    <t>Cervantes</t>
  </si>
  <si>
    <t>17-364-8685</t>
  </si>
  <si>
    <t>Ebebiyin</t>
  </si>
  <si>
    <t>13-618-9438</t>
  </si>
  <si>
    <t>Chuquitira</t>
  </si>
  <si>
    <t>32-457-2982</t>
  </si>
  <si>
    <t>Proletarsk</t>
  </si>
  <si>
    <t>43-386-2489</t>
  </si>
  <si>
    <t>Naghalin</t>
  </si>
  <si>
    <t>67-438-2378</t>
  </si>
  <si>
    <t>Honolulu</t>
  </si>
  <si>
    <t>65-431-1264</t>
  </si>
  <si>
    <t>Dhalie</t>
  </si>
  <si>
    <t>73-367-8478</t>
  </si>
  <si>
    <t>Giesteira</t>
  </si>
  <si>
    <t>84-162-8799</t>
  </si>
  <si>
    <t>Khilok</t>
  </si>
  <si>
    <t>51-546-9992</t>
  </si>
  <si>
    <t>89-189-3295</t>
  </si>
  <si>
    <t>Vereshchagino</t>
  </si>
  <si>
    <t>45-776-7217</t>
  </si>
  <si>
    <t>Binagadi</t>
  </si>
  <si>
    <t>71-354-5174</t>
  </si>
  <si>
    <t>Tsuen Wan</t>
  </si>
  <si>
    <t>05-975-6985</t>
  </si>
  <si>
    <t>Banjar Batanpoh</t>
  </si>
  <si>
    <t>42-859-2475</t>
  </si>
  <si>
    <t>Yenakiyeve</t>
  </si>
  <si>
    <t>34-094-1923</t>
  </si>
  <si>
    <t>San Ramon</t>
  </si>
  <si>
    <t>57-797-8139</t>
  </si>
  <si>
    <t>Sakأ©tأ©</t>
  </si>
  <si>
    <t>21-048-8669</t>
  </si>
  <si>
    <t>Pantenan</t>
  </si>
  <si>
    <t>30-038-8752</t>
  </si>
  <si>
    <t>Antrukan</t>
  </si>
  <si>
    <t>06-237-7338</t>
  </si>
  <si>
    <t>Dhahab</t>
  </si>
  <si>
    <t>71-817-5422</t>
  </si>
  <si>
    <t>Vetluga</t>
  </si>
  <si>
    <t>68-512-0568</t>
  </si>
  <si>
    <t>Wolfsberg</t>
  </si>
  <si>
    <t>18-633-9387</t>
  </si>
  <si>
    <t>San Bautista</t>
  </si>
  <si>
    <t>08-977-4418</t>
  </si>
  <si>
    <t>Reuleuet</t>
  </si>
  <si>
    <t>97-738-8095</t>
  </si>
  <si>
    <t>Lonpao Dajah</t>
  </si>
  <si>
    <t>15-421-1255</t>
  </si>
  <si>
    <t>Nanqiao</t>
  </si>
  <si>
    <t>92-142-4328</t>
  </si>
  <si>
    <t>06-357-6548</t>
  </si>
  <si>
    <t>Ishikawa</t>
  </si>
  <si>
    <t>59-261-4453</t>
  </si>
  <si>
    <t>Oguma</t>
  </si>
  <si>
    <t>35-644-3184</t>
  </si>
  <si>
    <t>Tؤ›إ،any</t>
  </si>
  <si>
    <t>30-528-9105</t>
  </si>
  <si>
    <t>Aksha</t>
  </si>
  <si>
    <t>14-709-8547</t>
  </si>
  <si>
    <t>Lahan Sai</t>
  </si>
  <si>
    <t>80-508-9866</t>
  </si>
  <si>
    <t>Estأ¢ncia</t>
  </si>
  <si>
    <t>27-100-0661</t>
  </si>
  <si>
    <t>Las Lomas</t>
  </si>
  <si>
    <t>68-488-7343</t>
  </si>
  <si>
    <t>Xiamayu</t>
  </si>
  <si>
    <t>63-304-1852</t>
  </si>
  <si>
    <t>Iأ±apari</t>
  </si>
  <si>
    <t>53-843-5619</t>
  </si>
  <si>
    <t>Orsay</t>
  </si>
  <si>
    <t>44-786-7696</t>
  </si>
  <si>
    <t>Zhongying</t>
  </si>
  <si>
    <t>45-631-4619</t>
  </si>
  <si>
    <t>Bayل¸©ؤپn</t>
  </si>
  <si>
    <t>11-850-1953</t>
  </si>
  <si>
    <t>Beizhakou</t>
  </si>
  <si>
    <t>20-421-2544</t>
  </si>
  <si>
    <t>Kyإڈngsإڈng</t>
  </si>
  <si>
    <t>37-100-8709</t>
  </si>
  <si>
    <t>Turinsk</t>
  </si>
  <si>
    <t>78-361-5100</t>
  </si>
  <si>
    <t>As Sawdؤپ</t>
  </si>
  <si>
    <t>67-676-5945</t>
  </si>
  <si>
    <t>Legaspi</t>
  </si>
  <si>
    <t>67-639-5838</t>
  </si>
  <si>
    <t>Shimorskoye</t>
  </si>
  <si>
    <t>51-415-1931</t>
  </si>
  <si>
    <t>Koإ›cielec</t>
  </si>
  <si>
    <t>96-764-3843</t>
  </si>
  <si>
    <t>Yongfu</t>
  </si>
  <si>
    <t>16-730-2056</t>
  </si>
  <si>
    <t>Vinkkilأ¤</t>
  </si>
  <si>
    <t>22-157-2494</t>
  </si>
  <si>
    <t>Revolucion Verde</t>
  </si>
  <si>
    <t>29-341-6463</t>
  </si>
  <si>
    <t>Newton</t>
  </si>
  <si>
    <t>64-906-4475</t>
  </si>
  <si>
    <t>Nantang</t>
  </si>
  <si>
    <t>36-340-8494</t>
  </si>
  <si>
    <t>Perugia</t>
  </si>
  <si>
    <t>77-031-4898</t>
  </si>
  <si>
    <t>Tancheng</t>
  </si>
  <si>
    <t>86-097-9642</t>
  </si>
  <si>
    <t>Leon Postigo</t>
  </si>
  <si>
    <t>64-090-3433</t>
  </si>
  <si>
    <t>Bollأ¨ne</t>
  </si>
  <si>
    <t>96-140-1936</t>
  </si>
  <si>
    <t>Baihe</t>
  </si>
  <si>
    <t>38-830-6976</t>
  </si>
  <si>
    <t>Puqi</t>
  </si>
  <si>
    <t>82-864-1154</t>
  </si>
  <si>
    <t>Pedraza</t>
  </si>
  <si>
    <t>79-711-6779</t>
  </si>
  <si>
    <t>22-860-9860</t>
  </si>
  <si>
    <t>Pasinan Barat</t>
  </si>
  <si>
    <t>72-590-6161</t>
  </si>
  <si>
    <t>Saltpond</t>
  </si>
  <si>
    <t>76-213-5806</t>
  </si>
  <si>
    <t>Rende</t>
  </si>
  <si>
    <t>66-894-5431</t>
  </si>
  <si>
    <t>Zarasai</t>
  </si>
  <si>
    <t>20-939-3906</t>
  </si>
  <si>
    <t>Nanchangshan</t>
  </si>
  <si>
    <t>86-390-9555</t>
  </si>
  <si>
    <t>Pegأµes</t>
  </si>
  <si>
    <t>91-602-0761</t>
  </si>
  <si>
    <t>Espأ­rito Santo do Pinhal</t>
  </si>
  <si>
    <t>62-974-7965</t>
  </si>
  <si>
    <t>أڑjezd</t>
  </si>
  <si>
    <t>21-232-1397</t>
  </si>
  <si>
    <t>Bhadrapur</t>
  </si>
  <si>
    <t>31-364-4144</t>
  </si>
  <si>
    <t>Kostrovo</t>
  </si>
  <si>
    <t>99-945-7193</t>
  </si>
  <si>
    <t>Lemery</t>
  </si>
  <si>
    <t>91-053-3261</t>
  </si>
  <si>
    <t>Youcheng</t>
  </si>
  <si>
    <t>50-447-5171</t>
  </si>
  <si>
    <t>Napoli</t>
  </si>
  <si>
    <t>89-754-7244</t>
  </si>
  <si>
    <t>El Caأ±o</t>
  </si>
  <si>
    <t>56-072-7011</t>
  </si>
  <si>
    <t>Heemstede</t>
  </si>
  <si>
    <t>74-281-3421</t>
  </si>
  <si>
    <t>Panyam</t>
  </si>
  <si>
    <t>86-068-2133</t>
  </si>
  <si>
    <t>Faraulep</t>
  </si>
  <si>
    <t>03-102-0288</t>
  </si>
  <si>
    <t>San Isidro</t>
  </si>
  <si>
    <t>74-033-1145</t>
  </si>
  <si>
    <t>Mranggen</t>
  </si>
  <si>
    <t>24-272-6205</t>
  </si>
  <si>
    <t>Cigadog</t>
  </si>
  <si>
    <t>90-170-1951</t>
  </si>
  <si>
    <t>Caitang</t>
  </si>
  <si>
    <t>73-259-8940</t>
  </si>
  <si>
    <t>Masoyila</t>
  </si>
  <si>
    <t>77-796-5786</t>
  </si>
  <si>
    <t>Beiyuan</t>
  </si>
  <si>
    <t>23-949-1954</t>
  </si>
  <si>
    <t>Kariya</t>
  </si>
  <si>
    <t>51-313-7293</t>
  </si>
  <si>
    <t>Malakhovka</t>
  </si>
  <si>
    <t>62-797-9254</t>
  </si>
  <si>
    <t>At-Bashi</t>
  </si>
  <si>
    <t>27-941-4995</t>
  </si>
  <si>
    <t>Sankeyushu</t>
  </si>
  <si>
    <t>01-799-2615</t>
  </si>
  <si>
    <t>Limoges</t>
  </si>
  <si>
    <t>82-133-0444</t>
  </si>
  <si>
    <t>Hأ¤gersten</t>
  </si>
  <si>
    <t>43-920-9499</t>
  </si>
  <si>
    <t>Tarata</t>
  </si>
  <si>
    <t>17-551-9779</t>
  </si>
  <si>
    <t>Marabahan</t>
  </si>
  <si>
    <t>49-037-2300</t>
  </si>
  <si>
    <t>Eslؤپmؤپbؤپd</t>
  </si>
  <si>
    <t>95-876-9757</t>
  </si>
  <si>
    <t>Emar</t>
  </si>
  <si>
    <t>47-947-4888</t>
  </si>
  <si>
    <t>Baisha</t>
  </si>
  <si>
    <t>83-003-2165</t>
  </si>
  <si>
    <t>27-619-9264</t>
  </si>
  <si>
    <t>49-476-1729</t>
  </si>
  <si>
    <t>Skأ³rzec</t>
  </si>
  <si>
    <t>64-803-7087</t>
  </si>
  <si>
    <t>Sأ£o Joأ£o dos Inhamuns</t>
  </si>
  <si>
    <t>01-925-4021</t>
  </si>
  <si>
    <t>Tambaksari</t>
  </si>
  <si>
    <t>51-116-5937</t>
  </si>
  <si>
    <t>Lazarat</t>
  </si>
  <si>
    <t>72-454-2741</t>
  </si>
  <si>
    <t>Belene</t>
  </si>
  <si>
    <t>96-484-1000</t>
  </si>
  <si>
    <t>Xiangshan</t>
  </si>
  <si>
    <t>07-834-3350</t>
  </si>
  <si>
    <t>11-802-5604</t>
  </si>
  <si>
    <t>Zengfu</t>
  </si>
  <si>
    <t>41-750-4105</t>
  </si>
  <si>
    <t>Tingsryd</t>
  </si>
  <si>
    <t>31-491-8457</t>
  </si>
  <si>
    <t>Tipaz</t>
  </si>
  <si>
    <t>86-257-9581</t>
  </si>
  <si>
    <t>Wؤپdؤ« as Salqؤپ</t>
  </si>
  <si>
    <t>22-981-6595</t>
  </si>
  <si>
    <t>Wasagu</t>
  </si>
  <si>
    <t>54-002-5845</t>
  </si>
  <si>
    <t>Wangsi</t>
  </si>
  <si>
    <t>31-927-7787</t>
  </si>
  <si>
    <t>Esmeralda</t>
  </si>
  <si>
    <t>46-098-9737</t>
  </si>
  <si>
    <t>Chivilcoy</t>
  </si>
  <si>
    <t>27-017-7173</t>
  </si>
  <si>
    <t>Sأ£o Miguel do Araguaia</t>
  </si>
  <si>
    <t>53-102-9949</t>
  </si>
  <si>
    <t>Libei</t>
  </si>
  <si>
    <t>02-676-9312</t>
  </si>
  <si>
    <t>28-969-7540</t>
  </si>
  <si>
    <t>Kuأ§ovأ«</t>
  </si>
  <si>
    <t>30-083-9565</t>
  </si>
  <si>
    <t>Bokong Timur</t>
  </si>
  <si>
    <t>30-975-0306</t>
  </si>
  <si>
    <t>Gaowu</t>
  </si>
  <si>
    <t>14-364-4904</t>
  </si>
  <si>
    <t>Guأ©ret</t>
  </si>
  <si>
    <t>08-652-2085</t>
  </si>
  <si>
    <t>Postإ™ekov</t>
  </si>
  <si>
    <t>67-037-2087</t>
  </si>
  <si>
    <t>Gobojango</t>
  </si>
  <si>
    <t>09-737-8354</t>
  </si>
  <si>
    <t>Tandahimba</t>
  </si>
  <si>
    <t>12-417-5609</t>
  </si>
  <si>
    <t>Iwade</t>
  </si>
  <si>
    <t>25-096-6830</t>
  </si>
  <si>
    <t>La Guata</t>
  </si>
  <si>
    <t>91-558-5922</t>
  </si>
  <si>
    <t>Saint-Brieuc</t>
  </si>
  <si>
    <t>25-560-4506</t>
  </si>
  <si>
    <t>Paya Dapur</t>
  </si>
  <si>
    <t>33-609-0598</t>
  </si>
  <si>
    <t>Xinzha</t>
  </si>
  <si>
    <t>45-337-1798</t>
  </si>
  <si>
    <t>Al Qؤپrah</t>
  </si>
  <si>
    <t>34-265-8558</t>
  </si>
  <si>
    <t>Antipolo</t>
  </si>
  <si>
    <t>67-323-7406</t>
  </si>
  <si>
    <t>Yuyangguan</t>
  </si>
  <si>
    <t>40-149-8247</t>
  </si>
  <si>
    <t>Qiman</t>
  </si>
  <si>
    <t>37-361-8691</t>
  </si>
  <si>
    <t>Maguwon</t>
  </si>
  <si>
    <t>17-763-9416</t>
  </si>
  <si>
    <t>Tsibulev</t>
  </si>
  <si>
    <t>56-453-8263</t>
  </si>
  <si>
    <t>San Antonio Aguas Calientes</t>
  </si>
  <si>
    <t>19-560-0717</t>
  </si>
  <si>
    <t>Pombas</t>
  </si>
  <si>
    <t>40-199-1803</t>
  </si>
  <si>
    <t>Kuâ€کaydinah</t>
  </si>
  <si>
    <t>09-332-0236</t>
  </si>
  <si>
    <t>San Marcos</t>
  </si>
  <si>
    <t>83-982-5300</t>
  </si>
  <si>
    <t>Chum Phae</t>
  </si>
  <si>
    <t>46-662-1571</t>
  </si>
  <si>
    <t>La Laja</t>
  </si>
  <si>
    <t>20-699-9217</t>
  </si>
  <si>
    <t>San Juan del Cesar</t>
  </si>
  <si>
    <t>26-150-0209</t>
  </si>
  <si>
    <t>Taiyigong</t>
  </si>
  <si>
    <t>94-985-5336</t>
  </si>
  <si>
    <t>97-715-3606</t>
  </si>
  <si>
    <t>Tayabamba</t>
  </si>
  <si>
    <t>02-100-4320</t>
  </si>
  <si>
    <t>Majennang</t>
  </si>
  <si>
    <t>16-070-0138</t>
  </si>
  <si>
    <t>Njeru</t>
  </si>
  <si>
    <t>82-474-5074</t>
  </si>
  <si>
    <t>Ambatolaona</t>
  </si>
  <si>
    <t>36-444-5336</t>
  </si>
  <si>
    <t>Jianggang</t>
  </si>
  <si>
    <t>54-680-5344</t>
  </si>
  <si>
    <t>Langkou</t>
  </si>
  <si>
    <t>16-364-8096</t>
  </si>
  <si>
    <t>Hornأ­ Suchأ،</t>
  </si>
  <si>
    <t>62-644-8183</t>
  </si>
  <si>
    <t>Haradok</t>
  </si>
  <si>
    <t>59-971-0799</t>
  </si>
  <si>
    <t>Vichuga</t>
  </si>
  <si>
    <t>64-031-2046</t>
  </si>
  <si>
    <t>Luci</t>
  </si>
  <si>
    <t>87-079-0237</t>
  </si>
  <si>
    <t>Guolemude</t>
  </si>
  <si>
    <t>78-091-8662</t>
  </si>
  <si>
    <t>Prengtale</t>
  </si>
  <si>
    <t>62-720-2922</t>
  </si>
  <si>
    <t>Cabanas</t>
  </si>
  <si>
    <t>47-528-3961</t>
  </si>
  <si>
    <t>Faؤ«ل؛•ؤپbؤپd</t>
  </si>
  <si>
    <t>21-808-2293</t>
  </si>
  <si>
    <t>Sukumo</t>
  </si>
  <si>
    <t>22-022-9256</t>
  </si>
  <si>
    <t>Fenglu</t>
  </si>
  <si>
    <t>96-772-7220</t>
  </si>
  <si>
    <t>Tanjungbalai</t>
  </si>
  <si>
    <t>25-866-7286</t>
  </si>
  <si>
    <t>Carrefour</t>
  </si>
  <si>
    <t>72-694-4159</t>
  </si>
  <si>
    <t>10-079-8237</t>
  </si>
  <si>
    <t>Hejiang</t>
  </si>
  <si>
    <t>47-460-8015</t>
  </si>
  <si>
    <t>Yaizu</t>
  </si>
  <si>
    <t>06-061-0023</t>
  </si>
  <si>
    <t>Kembأ©</t>
  </si>
  <si>
    <t>80-487-2550</t>
  </si>
  <si>
    <t>Novokayakent</t>
  </si>
  <si>
    <t>23-617-2637</t>
  </si>
  <si>
    <t>Hekou</t>
  </si>
  <si>
    <t>60-005-5187</t>
  </si>
  <si>
    <t>Bailadores</t>
  </si>
  <si>
    <t>24-371-5870</t>
  </si>
  <si>
    <t>Masuda</t>
  </si>
  <si>
    <t>02-055-8248</t>
  </si>
  <si>
    <t>Martanesh</t>
  </si>
  <si>
    <t>54-238-5459</t>
  </si>
  <si>
    <t>Xinzhou</t>
  </si>
  <si>
    <t>85-922-0190</t>
  </si>
  <si>
    <t>Nanfeng</t>
  </si>
  <si>
    <t>48-271-1908</t>
  </si>
  <si>
    <t>Oke Ila</t>
  </si>
  <si>
    <t>46-978-3874</t>
  </si>
  <si>
    <t>Rio Pardo</t>
  </si>
  <si>
    <t>53-595-7635</t>
  </si>
  <si>
    <t>Pingtang</t>
  </si>
  <si>
    <t>08-185-6608</t>
  </si>
  <si>
    <t>Podbrdo</t>
  </si>
  <si>
    <t>20-562-2569</t>
  </si>
  <si>
    <t>Aramayuan</t>
  </si>
  <si>
    <t>41-366-4205</t>
  </si>
  <si>
    <t>Paquera</t>
  </si>
  <si>
    <t>77-241-7621</t>
  </si>
  <si>
    <t>Warudoyong</t>
  </si>
  <si>
    <t>53-091-2176</t>
  </si>
  <si>
    <t>Bأ©ziers</t>
  </si>
  <si>
    <t>48-203-9118</t>
  </si>
  <si>
    <t>Dongzhou</t>
  </si>
  <si>
    <t>Integer</t>
  </si>
  <si>
    <t>Numerical</t>
  </si>
  <si>
    <t>String</t>
  </si>
  <si>
    <t>Categorical</t>
  </si>
  <si>
    <t>Categorical (Binary)</t>
  </si>
  <si>
    <t>Column Name</t>
  </si>
  <si>
    <t>Data Type</t>
  </si>
  <si>
    <t>Type</t>
  </si>
  <si>
    <t>Purpose</t>
  </si>
  <si>
    <t>Sample</t>
  </si>
  <si>
    <t>Unique identifier for each customer</t>
  </si>
  <si>
    <t>37-611-6911 / 29-392-9296 / 84-649-5117</t>
  </si>
  <si>
    <t>Age of the customer</t>
  </si>
  <si>
    <t>22 / 49 / 24</t>
  </si>
  <si>
    <t>Gender of the customer</t>
  </si>
  <si>
    <t>Female / Male / Bigender</t>
  </si>
  <si>
    <t>Middle / High / Low</t>
  </si>
  <si>
    <t>Marital status of the customer</t>
  </si>
  <si>
    <t>Married / Single / Widowed</t>
  </si>
  <si>
    <t>Education level attained</t>
  </si>
  <si>
    <t>Bachelor’s / Master’s / High School</t>
  </si>
  <si>
    <t>Occupation level of the customer</t>
  </si>
  <si>
    <t>Customer’s location (city/region)</t>
  </si>
  <si>
    <t>Évry / Huocheng / Huzhen</t>
  </si>
  <si>
    <t>Category of product purchased</t>
  </si>
  <si>
    <t>Gardening / Food &amp; Beverages / Furniture</t>
  </si>
  <si>
    <t>Float</t>
  </si>
  <si>
    <t>Amount spent on purchase</t>
  </si>
  <si>
    <t>333.80 / 222.22 / 426.22</t>
  </si>
  <si>
    <t>Frequency of purchases made</t>
  </si>
  <si>
    <t>Online / Mobile App / In-store</t>
  </si>
  <si>
    <t>Level of loyalty to a brand</t>
  </si>
  <si>
    <t>High / Medium / Low</t>
  </si>
  <si>
    <t>Rating given by customer for the product</t>
  </si>
  <si>
    <t>Time spent researching the product before purchase (in hours)</t>
  </si>
  <si>
    <t>Influence of social media on purchase decision</t>
  </si>
  <si>
    <t>High / Low / Medium</t>
  </si>
  <si>
    <t>Sensitivity to discounts</t>
  </si>
  <si>
    <t>High / Low</t>
  </si>
  <si>
    <t>Customer satisfaction score (1–10)</t>
  </si>
  <si>
    <t>Level of engagement with advertisements</t>
  </si>
  <si>
    <t>None / Low / High</t>
  </si>
  <si>
    <t>Device used to shop online</t>
  </si>
  <si>
    <t>Smartphone / Tablet / Laptop</t>
  </si>
  <si>
    <t>Payment method used</t>
  </si>
  <si>
    <t>Credit Card / PayPal / Debit Card</t>
  </si>
  <si>
    <t>DateTime</t>
  </si>
  <si>
    <t>Date/Time of purchase</t>
  </si>
  <si>
    <t>2024-03-01 / 2024-04-16 / 2024-03-15</t>
  </si>
  <si>
    <t>Whether a discount was used</t>
  </si>
  <si>
    <t>Whether customer is a loyalty program member</t>
  </si>
  <si>
    <t>Need-based / Wants-based / Impulsive</t>
  </si>
  <si>
    <t>Preferred shipping method</t>
  </si>
  <si>
    <t>Express / Standard / No Preference</t>
  </si>
  <si>
    <t>Time taken to decide to purchase (in hours/days)</t>
  </si>
  <si>
    <t>Number of returned products / return frequency</t>
  </si>
  <si>
    <t>Yes / No</t>
  </si>
  <si>
    <t>Income level of the customer</t>
  </si>
  <si>
    <t>Channel used for purchase</t>
  </si>
  <si>
    <t>Customer purchase intent</t>
  </si>
  <si>
    <t>1,2,3</t>
  </si>
  <si>
    <t>1,4,5</t>
  </si>
  <si>
    <t>2,5,8</t>
  </si>
  <si>
    <t>0,1,2</t>
  </si>
  <si>
    <t>7,5,10</t>
  </si>
  <si>
    <t>2,6,10</t>
  </si>
  <si>
    <t>Column1</t>
  </si>
  <si>
    <t>Gender2</t>
  </si>
  <si>
    <t>Wiwil</t>
  </si>
  <si>
    <t>So Roque</t>
  </si>
  <si>
    <t>Tla</t>
  </si>
  <si>
    <t>Topolanoye</t>
  </si>
  <si>
    <t>Arad</t>
  </si>
  <si>
    <t>Arah ash Shamlyah</t>
  </si>
  <si>
    <t>Abaet</t>
  </si>
  <si>
    <t>Al Khnkah</t>
  </si>
  <si>
    <t>Al Qarrah</t>
  </si>
  <si>
    <t>Al Jzah</t>
  </si>
  <si>
    <t>Al Qah</t>
  </si>
  <si>
    <t>Barge Mat</t>
  </si>
  <si>
    <t>Aristbulo del Valle</t>
  </si>
  <si>
    <t>Barishl</t>
  </si>
  <si>
    <t>Bayn</t>
  </si>
  <si>
    <t>As Sawd</t>
  </si>
  <si>
    <t>Lenica</t>
  </si>
  <si>
    <t>Zalan</t>
  </si>
  <si>
    <t>Trlaz</t>
  </si>
  <si>
    <t>Mrgowo</t>
  </si>
  <si>
    <t>Tn nad Vltavou</t>
  </si>
  <si>
    <t>Dlbandn</t>
  </si>
  <si>
    <t>Hachiji</t>
  </si>
  <si>
    <t>Man</t>
  </si>
  <si>
    <t>Zgornje Pirnie</t>
  </si>
  <si>
    <t>Sollefte</t>
  </si>
  <si>
    <t>Yeniky</t>
  </si>
  <si>
    <t>Belsovka</t>
  </si>
  <si>
    <t>Dhbn</t>
  </si>
  <si>
    <t>Baturit</t>
  </si>
  <si>
    <t>Miaersi</t>
  </si>
  <si>
    <t>Villa Concepcin del To</t>
  </si>
  <si>
    <t>Puerto Lpez</t>
  </si>
  <si>
    <t>Tecpn Guatemala</t>
  </si>
  <si>
    <t>Seleu</t>
  </si>
  <si>
    <t>San Jos Acatempa</t>
  </si>
  <si>
    <t>Stoczek ukowski</t>
  </si>
  <si>
    <t>Rada</t>
  </si>
  <si>
    <t>Ek</t>
  </si>
  <si>
    <t>Mrtola</t>
  </si>
  <si>
    <t>Piran</t>
  </si>
  <si>
    <t>Halinw</t>
  </si>
  <si>
    <t>Saint-Jouan-des-Gurets</t>
  </si>
  <si>
    <t>Daan</t>
  </si>
  <si>
    <t>Svedalen</t>
  </si>
  <si>
    <t>La Unin</t>
  </si>
  <si>
    <t>Bja</t>
  </si>
  <si>
    <t>Sarishbri</t>
  </si>
  <si>
    <t>Chabaovice</t>
  </si>
  <si>
    <t>Trhov Sviny</t>
  </si>
  <si>
    <t>Olavarra</t>
  </si>
  <si>
    <t>Ziniar</t>
  </si>
  <si>
    <t>Zduska Wola</t>
  </si>
  <si>
    <t>Prgaaj</t>
  </si>
  <si>
    <t>Giero</t>
  </si>
  <si>
    <t>Phongn</t>
  </si>
  <si>
    <t>Mirw</t>
  </si>
  <si>
    <t>Shdegn</t>
  </si>
  <si>
    <t>Mosalask</t>
  </si>
  <si>
    <t>So Cristvo</t>
  </si>
  <si>
    <t>Kozelashchyna</t>
  </si>
  <si>
    <t>Faqqah</t>
  </si>
  <si>
    <t>Itagua</t>
  </si>
  <si>
    <t>Fteli</t>
  </si>
  <si>
    <t>Xibr-Murriz</t>
  </si>
  <si>
    <t>Gteborg</t>
  </si>
  <si>
    <t>Nabnagar</t>
  </si>
  <si>
    <t>So Mateus do Maranho</t>
  </si>
  <si>
    <t>Chemiec</t>
  </si>
  <si>
    <t>Brnd</t>
  </si>
  <si>
    <t>Chavarra</t>
  </si>
  <si>
    <t>Dutw</t>
  </si>
  <si>
    <t>Po</t>
  </si>
  <si>
    <t>Zajeov</t>
  </si>
  <si>
    <t>Kshmar</t>
  </si>
  <si>
    <t>Montera</t>
  </si>
  <si>
    <t>Mikuna</t>
  </si>
  <si>
    <t>Rebro</t>
  </si>
  <si>
    <t>Ilainskiy</t>
  </si>
  <si>
    <t>Gryfwlski</t>
  </si>
  <si>
    <t>Curuman</t>
  </si>
  <si>
    <t>San Sebastin de Yal</t>
  </si>
  <si>
    <t>Shchkino</t>
  </si>
  <si>
    <t>Perzw</t>
  </si>
  <si>
    <t>cqchah Khnah</t>
  </si>
  <si>
    <t>Thl Tryn Than Uyn</t>
  </si>
  <si>
    <t>Koczew</t>
  </si>
  <si>
    <t>Nykping</t>
  </si>
  <si>
    <t>Qalaeh-ye Khvjeh</t>
  </si>
  <si>
    <t>Ylne</t>
  </si>
  <si>
    <t>Frzbd</t>
  </si>
  <si>
    <t>Takb</t>
  </si>
  <si>
    <t>Zubbah</t>
  </si>
  <si>
    <t>Ksowo</t>
  </si>
  <si>
    <t>Thl Tryn Cm Thsy</t>
  </si>
  <si>
    <t>To Pujio</t>
  </si>
  <si>
    <t>Kelshd va Sdarjn</t>
  </si>
  <si>
    <t>San Marcos de Coln</t>
  </si>
  <si>
    <t>Jo Cmara</t>
  </si>
  <si>
    <t>Tina</t>
  </si>
  <si>
    <t>ah</t>
  </si>
  <si>
    <t>Skotari</t>
  </si>
  <si>
    <t>Gara</t>
  </si>
  <si>
    <t>Labge</t>
  </si>
  <si>
    <t>Tochio-honch</t>
  </si>
  <si>
    <t>Wrzsowice</t>
  </si>
  <si>
    <t>Lkak</t>
  </si>
  <si>
    <t>Coln</t>
  </si>
  <si>
    <t>Itsandzni</t>
  </si>
  <si>
    <t>Pfki</t>
  </si>
  <si>
    <t>Galn</t>
  </si>
  <si>
    <t>Hospitalet De Llobregatl</t>
  </si>
  <si>
    <t>Pelasgأa</t>
  </si>
  <si>
    <t>Phc Th</t>
  </si>
  <si>
    <t>Konrak</t>
  </si>
  <si>
    <t>Czarna Dbrwka</t>
  </si>
  <si>
    <t>Mao</t>
  </si>
  <si>
    <t>Gtene</t>
  </si>
  <si>
    <t>Lagub</t>
  </si>
  <si>
    <t>Stboice</t>
  </si>
  <si>
    <t>So Torcato</t>
  </si>
  <si>
    <t>Vfn Giang</t>
  </si>
  <si>
    <t>Wnsan</t>
  </si>
  <si>
    <t>Srkisalo</t>
  </si>
  <si>
    <t>Gvle</t>
  </si>
  <si>
    <t>Sakt</t>
  </si>
  <si>
    <t>Tany</t>
  </si>
  <si>
    <t>Estncia</t>
  </si>
  <si>
    <t>Iapari</t>
  </si>
  <si>
    <t>Kyngsng</t>
  </si>
  <si>
    <t>Vinkkil</t>
  </si>
  <si>
    <t>Bollne</t>
  </si>
  <si>
    <t>Esprito Santo do Pinhal</t>
  </si>
  <si>
    <t>El Cao</t>
  </si>
  <si>
    <t>Hgersten</t>
  </si>
  <si>
    <t>Eslmbd</t>
  </si>
  <si>
    <t>Skrzec</t>
  </si>
  <si>
    <t>So Jo dos Inhamuns</t>
  </si>
  <si>
    <t>W das Salq</t>
  </si>
  <si>
    <t>So Miguel do Araguaia</t>
  </si>
  <si>
    <t>Kusov</t>
  </si>
  <si>
    <t>Guret</t>
  </si>
  <si>
    <t>Postekov</t>
  </si>
  <si>
    <t>Kuaydinah</t>
  </si>
  <si>
    <t>Govle</t>
  </si>
  <si>
    <t>Horn­ Such</t>
  </si>
  <si>
    <t>Fabd</t>
  </si>
  <si>
    <t>Kemb</t>
  </si>
  <si>
    <t>Bziers</t>
  </si>
  <si>
    <t>awrn ad Daydah</t>
  </si>
  <si>
    <t>kuchi</t>
  </si>
  <si>
    <t>Oe</t>
  </si>
  <si>
    <t xml:space="preserve"> Th</t>
  </si>
  <si>
    <t>Nbd</t>
  </si>
  <si>
    <t>slav</t>
  </si>
  <si>
    <t>abbah</t>
  </si>
  <si>
    <t>abl al Jabr</t>
  </si>
  <si>
    <t>gios Andras</t>
  </si>
  <si>
    <t>awall</t>
  </si>
  <si>
    <t>eba</t>
  </si>
  <si>
    <t>jezd</t>
  </si>
  <si>
    <t>Location2</t>
  </si>
  <si>
    <t>Evry</t>
  </si>
  <si>
    <t>Grabo</t>
  </si>
  <si>
    <t>Gyor</t>
  </si>
  <si>
    <t>Norrkoping</t>
  </si>
  <si>
    <t>Alfeizerao</t>
  </si>
  <si>
    <t>Prostedni Becva</t>
  </si>
  <si>
    <t>Kythnos</t>
  </si>
  <si>
    <t>Sosno</t>
  </si>
  <si>
    <t>Pella</t>
  </si>
  <si>
    <t>Kovarov</t>
  </si>
  <si>
    <t>Jesus Menendez</t>
  </si>
  <si>
    <t>Shahzadpur</t>
  </si>
  <si>
    <t>Creteil</t>
  </si>
  <si>
    <t>Guacari</t>
  </si>
  <si>
    <t>Dhankuta</t>
  </si>
  <si>
    <t>Bani Khaddash</t>
  </si>
  <si>
    <t>Majdal Bani Fadil</t>
  </si>
  <si>
    <t>Grand Total</t>
  </si>
  <si>
    <t>Count of Customer_ID</t>
  </si>
  <si>
    <t>18-27</t>
  </si>
  <si>
    <t>28-37</t>
  </si>
  <si>
    <t>38-47</t>
  </si>
  <si>
    <t>48-57</t>
  </si>
  <si>
    <t>Count of Brand_Loyalty</t>
  </si>
  <si>
    <t>Sum of Purchase_Amount</t>
  </si>
  <si>
    <t>Cutomer_Number</t>
  </si>
  <si>
    <t>Location_Bottom</t>
  </si>
  <si>
    <t>Location_Top</t>
  </si>
  <si>
    <t>FALSE</t>
  </si>
  <si>
    <t>TRUE</t>
  </si>
  <si>
    <t>Density Value</t>
  </si>
  <si>
    <t>Avg</t>
  </si>
  <si>
    <t>Std</t>
  </si>
  <si>
    <t>Area</t>
  </si>
  <si>
    <t>Max</t>
  </si>
  <si>
    <t>Min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</si>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</sst>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10" fontId="0" fillId="0" borderId="0" xfId="0" applyNumberFormat="1"/>
    <xf numFmtId="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12" formatCode="&quot;$&quot;#,##0.00_);[Red]\(&quot;$&quot;#,##0.00\)"/>
    </dxf>
    <dxf>
      <numFmt numFmtId="19" formatCode="m/d/yyyy"/>
    </dxf>
    <dxf>
      <numFmt numFmtId="12" formatCode="&quot;$&quot;#,##0.00_);[Red]\(&quot;$&quot;#,##0.00\)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EEEEE"/>
      <color rgb="FF113F67"/>
      <color rgb="FF34699A"/>
      <color rgb="FFE9E9E9"/>
      <color rgb="FFFFF9AF"/>
      <color rgb="FFFFF0CE"/>
      <color rgb="FF33A1E0"/>
      <color rgb="FFEBCB90"/>
      <color rgb="FF3396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10%</a:t>
            </a:r>
            <a:r>
              <a:rPr lang="en-US" b="1" baseline="0"/>
              <a:t> Of Purchases Stars With ($</a:t>
            </a:r>
            <a:r>
              <a:rPr lang="en-US" sz="1400" b="1" i="0" u="none" strike="noStrike" baseline="0">
                <a:effectLst/>
              </a:rPr>
              <a:t>443.63)</a:t>
            </a: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Customers!$C$3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rgbClr val="3396D3">
                <a:alpha val="46000"/>
              </a:srgbClr>
            </a:solidFill>
            <a:ln>
              <a:noFill/>
            </a:ln>
            <a:effectLst/>
          </c:spPr>
          <c:cat>
            <c:numRef>
              <c:f>Customers!$A$4:$A$1003</c:f>
              <c:numCache>
                <c:formatCode>"$"#,##0.00_);[Red]\("$"#,##0.00\)</c:formatCode>
                <c:ptCount val="1000"/>
                <c:pt idx="0">
                  <c:v>50.71</c:v>
                </c:pt>
                <c:pt idx="1">
                  <c:v>50.78</c:v>
                </c:pt>
                <c:pt idx="2">
                  <c:v>50.79</c:v>
                </c:pt>
                <c:pt idx="3">
                  <c:v>51.22</c:v>
                </c:pt>
                <c:pt idx="4">
                  <c:v>51.44</c:v>
                </c:pt>
                <c:pt idx="5">
                  <c:v>51.86</c:v>
                </c:pt>
                <c:pt idx="6">
                  <c:v>52.24</c:v>
                </c:pt>
                <c:pt idx="7">
                  <c:v>52.34</c:v>
                </c:pt>
                <c:pt idx="8">
                  <c:v>52.79</c:v>
                </c:pt>
                <c:pt idx="9">
                  <c:v>53.45</c:v>
                </c:pt>
                <c:pt idx="10">
                  <c:v>53.67</c:v>
                </c:pt>
                <c:pt idx="11">
                  <c:v>53.87</c:v>
                </c:pt>
                <c:pt idx="12">
                  <c:v>54.17</c:v>
                </c:pt>
                <c:pt idx="13">
                  <c:v>54.46</c:v>
                </c:pt>
                <c:pt idx="14">
                  <c:v>54.71</c:v>
                </c:pt>
                <c:pt idx="15">
                  <c:v>54.74</c:v>
                </c:pt>
                <c:pt idx="16">
                  <c:v>55.73</c:v>
                </c:pt>
                <c:pt idx="17">
                  <c:v>56.02</c:v>
                </c:pt>
                <c:pt idx="18">
                  <c:v>56.74</c:v>
                </c:pt>
                <c:pt idx="19">
                  <c:v>56.85</c:v>
                </c:pt>
                <c:pt idx="20">
                  <c:v>57.39</c:v>
                </c:pt>
                <c:pt idx="21">
                  <c:v>57.5</c:v>
                </c:pt>
                <c:pt idx="22">
                  <c:v>58.27</c:v>
                </c:pt>
                <c:pt idx="23">
                  <c:v>58.29</c:v>
                </c:pt>
                <c:pt idx="24">
                  <c:v>58.32</c:v>
                </c:pt>
                <c:pt idx="25">
                  <c:v>58.49</c:v>
                </c:pt>
                <c:pt idx="26">
                  <c:v>58.51</c:v>
                </c:pt>
                <c:pt idx="27">
                  <c:v>59.15</c:v>
                </c:pt>
                <c:pt idx="28">
                  <c:v>61.19</c:v>
                </c:pt>
                <c:pt idx="29">
                  <c:v>61.21</c:v>
                </c:pt>
                <c:pt idx="30">
                  <c:v>61.22</c:v>
                </c:pt>
                <c:pt idx="31">
                  <c:v>61.5</c:v>
                </c:pt>
                <c:pt idx="32">
                  <c:v>61.71</c:v>
                </c:pt>
                <c:pt idx="33">
                  <c:v>61.86</c:v>
                </c:pt>
                <c:pt idx="34">
                  <c:v>63.6</c:v>
                </c:pt>
                <c:pt idx="35">
                  <c:v>63.91</c:v>
                </c:pt>
                <c:pt idx="36">
                  <c:v>64.09</c:v>
                </c:pt>
                <c:pt idx="37">
                  <c:v>64.22</c:v>
                </c:pt>
                <c:pt idx="38">
                  <c:v>64.489999999999995</c:v>
                </c:pt>
                <c:pt idx="39">
                  <c:v>64.5</c:v>
                </c:pt>
                <c:pt idx="40">
                  <c:v>65.45</c:v>
                </c:pt>
                <c:pt idx="41">
                  <c:v>65.680000000000007</c:v>
                </c:pt>
                <c:pt idx="42">
                  <c:v>66.86</c:v>
                </c:pt>
                <c:pt idx="43">
                  <c:v>67.92</c:v>
                </c:pt>
                <c:pt idx="44">
                  <c:v>68.02</c:v>
                </c:pt>
                <c:pt idx="45">
                  <c:v>68.59</c:v>
                </c:pt>
                <c:pt idx="46">
                  <c:v>69.41</c:v>
                </c:pt>
                <c:pt idx="47">
                  <c:v>69.78</c:v>
                </c:pt>
                <c:pt idx="48">
                  <c:v>70.3</c:v>
                </c:pt>
                <c:pt idx="49">
                  <c:v>70.42</c:v>
                </c:pt>
                <c:pt idx="50">
                  <c:v>71</c:v>
                </c:pt>
                <c:pt idx="51">
                  <c:v>71.72</c:v>
                </c:pt>
                <c:pt idx="52">
                  <c:v>71.95</c:v>
                </c:pt>
                <c:pt idx="53">
                  <c:v>72.8</c:v>
                </c:pt>
                <c:pt idx="54">
                  <c:v>73.19</c:v>
                </c:pt>
                <c:pt idx="55">
                  <c:v>73.23</c:v>
                </c:pt>
                <c:pt idx="56">
                  <c:v>73.319999999999993</c:v>
                </c:pt>
                <c:pt idx="57">
                  <c:v>73.739999999999995</c:v>
                </c:pt>
                <c:pt idx="58">
                  <c:v>74.09</c:v>
                </c:pt>
                <c:pt idx="59">
                  <c:v>74.69</c:v>
                </c:pt>
                <c:pt idx="60">
                  <c:v>75.27</c:v>
                </c:pt>
                <c:pt idx="61">
                  <c:v>75.91</c:v>
                </c:pt>
                <c:pt idx="62">
                  <c:v>76.27</c:v>
                </c:pt>
                <c:pt idx="63">
                  <c:v>77.08</c:v>
                </c:pt>
                <c:pt idx="64">
                  <c:v>77.650000000000006</c:v>
                </c:pt>
                <c:pt idx="65">
                  <c:v>78</c:v>
                </c:pt>
                <c:pt idx="66">
                  <c:v>78.319999999999993</c:v>
                </c:pt>
                <c:pt idx="67">
                  <c:v>78.64</c:v>
                </c:pt>
                <c:pt idx="68">
                  <c:v>78.709999999999994</c:v>
                </c:pt>
                <c:pt idx="69">
                  <c:v>78.900000000000006</c:v>
                </c:pt>
                <c:pt idx="70">
                  <c:v>79</c:v>
                </c:pt>
                <c:pt idx="71">
                  <c:v>79.099999999999994</c:v>
                </c:pt>
                <c:pt idx="72">
                  <c:v>79.3</c:v>
                </c:pt>
                <c:pt idx="73">
                  <c:v>79.430000000000007</c:v>
                </c:pt>
                <c:pt idx="74">
                  <c:v>79.81</c:v>
                </c:pt>
                <c:pt idx="75">
                  <c:v>80.17</c:v>
                </c:pt>
                <c:pt idx="76">
                  <c:v>81.180000000000007</c:v>
                </c:pt>
                <c:pt idx="77">
                  <c:v>81.23</c:v>
                </c:pt>
                <c:pt idx="78">
                  <c:v>81.25</c:v>
                </c:pt>
                <c:pt idx="79">
                  <c:v>81.91</c:v>
                </c:pt>
                <c:pt idx="80">
                  <c:v>82.13</c:v>
                </c:pt>
                <c:pt idx="81">
                  <c:v>82.37</c:v>
                </c:pt>
                <c:pt idx="82">
                  <c:v>82.39</c:v>
                </c:pt>
                <c:pt idx="83">
                  <c:v>83.21</c:v>
                </c:pt>
                <c:pt idx="84">
                  <c:v>83.33</c:v>
                </c:pt>
                <c:pt idx="85">
                  <c:v>83.5</c:v>
                </c:pt>
                <c:pt idx="86">
                  <c:v>83.88</c:v>
                </c:pt>
                <c:pt idx="87">
                  <c:v>84.15</c:v>
                </c:pt>
                <c:pt idx="88">
                  <c:v>85.03</c:v>
                </c:pt>
                <c:pt idx="89">
                  <c:v>85.52</c:v>
                </c:pt>
                <c:pt idx="90">
                  <c:v>85.57</c:v>
                </c:pt>
                <c:pt idx="91">
                  <c:v>85.61</c:v>
                </c:pt>
                <c:pt idx="92">
                  <c:v>86.39</c:v>
                </c:pt>
                <c:pt idx="93">
                  <c:v>86.63</c:v>
                </c:pt>
                <c:pt idx="94">
                  <c:v>87.03</c:v>
                </c:pt>
                <c:pt idx="95">
                  <c:v>88.4</c:v>
                </c:pt>
                <c:pt idx="96">
                  <c:v>88.78</c:v>
                </c:pt>
                <c:pt idx="97">
                  <c:v>89.32</c:v>
                </c:pt>
                <c:pt idx="98">
                  <c:v>89.6</c:v>
                </c:pt>
                <c:pt idx="99">
                  <c:v>90.79</c:v>
                </c:pt>
                <c:pt idx="100">
                  <c:v>91.24</c:v>
                </c:pt>
                <c:pt idx="101">
                  <c:v>91.27</c:v>
                </c:pt>
                <c:pt idx="102">
                  <c:v>91.34</c:v>
                </c:pt>
                <c:pt idx="103">
                  <c:v>91.63</c:v>
                </c:pt>
                <c:pt idx="104">
                  <c:v>92.43</c:v>
                </c:pt>
                <c:pt idx="105">
                  <c:v>92.97</c:v>
                </c:pt>
                <c:pt idx="106">
                  <c:v>93.29</c:v>
                </c:pt>
                <c:pt idx="107">
                  <c:v>93.52</c:v>
                </c:pt>
                <c:pt idx="108">
                  <c:v>96.18</c:v>
                </c:pt>
                <c:pt idx="109">
                  <c:v>96.52</c:v>
                </c:pt>
                <c:pt idx="110">
                  <c:v>96.68</c:v>
                </c:pt>
                <c:pt idx="111">
                  <c:v>96.86</c:v>
                </c:pt>
                <c:pt idx="112">
                  <c:v>97.97</c:v>
                </c:pt>
                <c:pt idx="113">
                  <c:v>98.02</c:v>
                </c:pt>
                <c:pt idx="114">
                  <c:v>98.63</c:v>
                </c:pt>
                <c:pt idx="115">
                  <c:v>98.97</c:v>
                </c:pt>
                <c:pt idx="116">
                  <c:v>100.32</c:v>
                </c:pt>
                <c:pt idx="117">
                  <c:v>101.29</c:v>
                </c:pt>
                <c:pt idx="118">
                  <c:v>101.31</c:v>
                </c:pt>
                <c:pt idx="119">
                  <c:v>101.7</c:v>
                </c:pt>
                <c:pt idx="120">
                  <c:v>102.09</c:v>
                </c:pt>
                <c:pt idx="121">
                  <c:v>102.73</c:v>
                </c:pt>
                <c:pt idx="122">
                  <c:v>102.91</c:v>
                </c:pt>
                <c:pt idx="123">
                  <c:v>102.96</c:v>
                </c:pt>
                <c:pt idx="124">
                  <c:v>103.4</c:v>
                </c:pt>
                <c:pt idx="125">
                  <c:v>104.74</c:v>
                </c:pt>
                <c:pt idx="126">
                  <c:v>105.29</c:v>
                </c:pt>
                <c:pt idx="127">
                  <c:v>105.64</c:v>
                </c:pt>
                <c:pt idx="128">
                  <c:v>105.76</c:v>
                </c:pt>
                <c:pt idx="129">
                  <c:v>105.87</c:v>
                </c:pt>
                <c:pt idx="130">
                  <c:v>105.95</c:v>
                </c:pt>
                <c:pt idx="131">
                  <c:v>106.15</c:v>
                </c:pt>
                <c:pt idx="132">
                  <c:v>106.69</c:v>
                </c:pt>
                <c:pt idx="133">
                  <c:v>106.96</c:v>
                </c:pt>
                <c:pt idx="134">
                  <c:v>107.21</c:v>
                </c:pt>
                <c:pt idx="135">
                  <c:v>107.82</c:v>
                </c:pt>
                <c:pt idx="136">
                  <c:v>108.5</c:v>
                </c:pt>
                <c:pt idx="137">
                  <c:v>108.61</c:v>
                </c:pt>
                <c:pt idx="138">
                  <c:v>109.29</c:v>
                </c:pt>
                <c:pt idx="139">
                  <c:v>109.88</c:v>
                </c:pt>
                <c:pt idx="140">
                  <c:v>109.97</c:v>
                </c:pt>
                <c:pt idx="141">
                  <c:v>110.4</c:v>
                </c:pt>
                <c:pt idx="142">
                  <c:v>111.24</c:v>
                </c:pt>
                <c:pt idx="143">
                  <c:v>111.27</c:v>
                </c:pt>
                <c:pt idx="144">
                  <c:v>111.7</c:v>
                </c:pt>
                <c:pt idx="145">
                  <c:v>111.75</c:v>
                </c:pt>
                <c:pt idx="146">
                  <c:v>112.55</c:v>
                </c:pt>
                <c:pt idx="147">
                  <c:v>112.69</c:v>
                </c:pt>
                <c:pt idx="148">
                  <c:v>113.01</c:v>
                </c:pt>
                <c:pt idx="149">
                  <c:v>113.51</c:v>
                </c:pt>
                <c:pt idx="150">
                  <c:v>113.57</c:v>
                </c:pt>
                <c:pt idx="151">
                  <c:v>113.88</c:v>
                </c:pt>
                <c:pt idx="152">
                  <c:v>114.03</c:v>
                </c:pt>
                <c:pt idx="153">
                  <c:v>114.44</c:v>
                </c:pt>
                <c:pt idx="154">
                  <c:v>114.93</c:v>
                </c:pt>
                <c:pt idx="155">
                  <c:v>116.14</c:v>
                </c:pt>
                <c:pt idx="156">
                  <c:v>116.92</c:v>
                </c:pt>
                <c:pt idx="157">
                  <c:v>117.03</c:v>
                </c:pt>
                <c:pt idx="158">
                  <c:v>117.13</c:v>
                </c:pt>
                <c:pt idx="159">
                  <c:v>118.65</c:v>
                </c:pt>
                <c:pt idx="160">
                  <c:v>119.51</c:v>
                </c:pt>
                <c:pt idx="161">
                  <c:v>120.56</c:v>
                </c:pt>
                <c:pt idx="162">
                  <c:v>121.57</c:v>
                </c:pt>
                <c:pt idx="163">
                  <c:v>121.7</c:v>
                </c:pt>
                <c:pt idx="164">
                  <c:v>122.46</c:v>
                </c:pt>
                <c:pt idx="165">
                  <c:v>122.55</c:v>
                </c:pt>
                <c:pt idx="166">
                  <c:v>122.58</c:v>
                </c:pt>
                <c:pt idx="167">
                  <c:v>122.99</c:v>
                </c:pt>
                <c:pt idx="168">
                  <c:v>123.7</c:v>
                </c:pt>
                <c:pt idx="169">
                  <c:v>123.73</c:v>
                </c:pt>
                <c:pt idx="170">
                  <c:v>124.17</c:v>
                </c:pt>
                <c:pt idx="171">
                  <c:v>125.68</c:v>
                </c:pt>
                <c:pt idx="172">
                  <c:v>125.8</c:v>
                </c:pt>
                <c:pt idx="173">
                  <c:v>125.89</c:v>
                </c:pt>
                <c:pt idx="174">
                  <c:v>126.26</c:v>
                </c:pt>
                <c:pt idx="175">
                  <c:v>127.18</c:v>
                </c:pt>
                <c:pt idx="176">
                  <c:v>127.66</c:v>
                </c:pt>
                <c:pt idx="177">
                  <c:v>128.01</c:v>
                </c:pt>
                <c:pt idx="178">
                  <c:v>128.74</c:v>
                </c:pt>
                <c:pt idx="179">
                  <c:v>129.1</c:v>
                </c:pt>
                <c:pt idx="180">
                  <c:v>129.63999999999999</c:v>
                </c:pt>
                <c:pt idx="181">
                  <c:v>129.82</c:v>
                </c:pt>
                <c:pt idx="182">
                  <c:v>130.84</c:v>
                </c:pt>
                <c:pt idx="183">
                  <c:v>130.91999999999999</c:v>
                </c:pt>
                <c:pt idx="184">
                  <c:v>131.36000000000001</c:v>
                </c:pt>
                <c:pt idx="185">
                  <c:v>131.47999999999999</c:v>
                </c:pt>
                <c:pt idx="186">
                  <c:v>131.85</c:v>
                </c:pt>
                <c:pt idx="187">
                  <c:v>131.9</c:v>
                </c:pt>
                <c:pt idx="188">
                  <c:v>132.52000000000001</c:v>
                </c:pt>
                <c:pt idx="189">
                  <c:v>132.66999999999999</c:v>
                </c:pt>
                <c:pt idx="190">
                  <c:v>133.04</c:v>
                </c:pt>
                <c:pt idx="191">
                  <c:v>135.65</c:v>
                </c:pt>
                <c:pt idx="192">
                  <c:v>135.80000000000001</c:v>
                </c:pt>
                <c:pt idx="193">
                  <c:v>136.1</c:v>
                </c:pt>
                <c:pt idx="194">
                  <c:v>136.19999999999999</c:v>
                </c:pt>
                <c:pt idx="195">
                  <c:v>136.53</c:v>
                </c:pt>
                <c:pt idx="196">
                  <c:v>136.66999999999999</c:v>
                </c:pt>
                <c:pt idx="197">
                  <c:v>137.75</c:v>
                </c:pt>
                <c:pt idx="198">
                  <c:v>138.19999999999999</c:v>
                </c:pt>
                <c:pt idx="199">
                  <c:v>138.35</c:v>
                </c:pt>
                <c:pt idx="200">
                  <c:v>138.44</c:v>
                </c:pt>
                <c:pt idx="201">
                  <c:v>138.88</c:v>
                </c:pt>
                <c:pt idx="202">
                  <c:v>139.1</c:v>
                </c:pt>
                <c:pt idx="203">
                  <c:v>139.83000000000001</c:v>
                </c:pt>
                <c:pt idx="204">
                  <c:v>140.31</c:v>
                </c:pt>
                <c:pt idx="205">
                  <c:v>140.87</c:v>
                </c:pt>
                <c:pt idx="206">
                  <c:v>141.09</c:v>
                </c:pt>
                <c:pt idx="207">
                  <c:v>141.63</c:v>
                </c:pt>
                <c:pt idx="208">
                  <c:v>142.02000000000001</c:v>
                </c:pt>
                <c:pt idx="209">
                  <c:v>142.43</c:v>
                </c:pt>
                <c:pt idx="210">
                  <c:v>142.69999999999999</c:v>
                </c:pt>
                <c:pt idx="211">
                  <c:v>143.52000000000001</c:v>
                </c:pt>
                <c:pt idx="212">
                  <c:v>143.80000000000001</c:v>
                </c:pt>
                <c:pt idx="213">
                  <c:v>144.38999999999999</c:v>
                </c:pt>
                <c:pt idx="214">
                  <c:v>145.02000000000001</c:v>
                </c:pt>
                <c:pt idx="215">
                  <c:v>145.97999999999999</c:v>
                </c:pt>
                <c:pt idx="216">
                  <c:v>146.07</c:v>
                </c:pt>
                <c:pt idx="217">
                  <c:v>146.59</c:v>
                </c:pt>
                <c:pt idx="218">
                  <c:v>148.97999999999999</c:v>
                </c:pt>
                <c:pt idx="219">
                  <c:v>149.41999999999999</c:v>
                </c:pt>
                <c:pt idx="220">
                  <c:v>149.52000000000001</c:v>
                </c:pt>
                <c:pt idx="221">
                  <c:v>149.88</c:v>
                </c:pt>
                <c:pt idx="222">
                  <c:v>150.11000000000001</c:v>
                </c:pt>
                <c:pt idx="223">
                  <c:v>150.33000000000001</c:v>
                </c:pt>
                <c:pt idx="224">
                  <c:v>151.25</c:v>
                </c:pt>
                <c:pt idx="225">
                  <c:v>151.72999999999999</c:v>
                </c:pt>
                <c:pt idx="226">
                  <c:v>151.81</c:v>
                </c:pt>
                <c:pt idx="227">
                  <c:v>152.33000000000001</c:v>
                </c:pt>
                <c:pt idx="228">
                  <c:v>152.87</c:v>
                </c:pt>
                <c:pt idx="229">
                  <c:v>154.19</c:v>
                </c:pt>
                <c:pt idx="230">
                  <c:v>156.4</c:v>
                </c:pt>
                <c:pt idx="231">
                  <c:v>156.47999999999999</c:v>
                </c:pt>
                <c:pt idx="232">
                  <c:v>156.5</c:v>
                </c:pt>
                <c:pt idx="233">
                  <c:v>157.21</c:v>
                </c:pt>
                <c:pt idx="234">
                  <c:v>157.26</c:v>
                </c:pt>
                <c:pt idx="235">
                  <c:v>158.54</c:v>
                </c:pt>
                <c:pt idx="236">
                  <c:v>158.84</c:v>
                </c:pt>
                <c:pt idx="237">
                  <c:v>159.30000000000001</c:v>
                </c:pt>
                <c:pt idx="238">
                  <c:v>159.44999999999999</c:v>
                </c:pt>
                <c:pt idx="239">
                  <c:v>159.53</c:v>
                </c:pt>
                <c:pt idx="240">
                  <c:v>159.82</c:v>
                </c:pt>
                <c:pt idx="241">
                  <c:v>160.25</c:v>
                </c:pt>
                <c:pt idx="242">
                  <c:v>160.47</c:v>
                </c:pt>
                <c:pt idx="243">
                  <c:v>160.82</c:v>
                </c:pt>
                <c:pt idx="244">
                  <c:v>160.88999999999999</c:v>
                </c:pt>
                <c:pt idx="245">
                  <c:v>161.34</c:v>
                </c:pt>
                <c:pt idx="246">
                  <c:v>161.38</c:v>
                </c:pt>
                <c:pt idx="247">
                  <c:v>161.41</c:v>
                </c:pt>
                <c:pt idx="248">
                  <c:v>161.85</c:v>
                </c:pt>
                <c:pt idx="249">
                  <c:v>162.22</c:v>
                </c:pt>
                <c:pt idx="250">
                  <c:v>162.24</c:v>
                </c:pt>
                <c:pt idx="251">
                  <c:v>162.31</c:v>
                </c:pt>
                <c:pt idx="252">
                  <c:v>162.94999999999999</c:v>
                </c:pt>
                <c:pt idx="253">
                  <c:v>163.13999999999999</c:v>
                </c:pt>
                <c:pt idx="254">
                  <c:v>163.22</c:v>
                </c:pt>
                <c:pt idx="255">
                  <c:v>163.4</c:v>
                </c:pt>
                <c:pt idx="256">
                  <c:v>163.41</c:v>
                </c:pt>
                <c:pt idx="257">
                  <c:v>164.27</c:v>
                </c:pt>
                <c:pt idx="258">
                  <c:v>164.44</c:v>
                </c:pt>
                <c:pt idx="259">
                  <c:v>164.79</c:v>
                </c:pt>
                <c:pt idx="260">
                  <c:v>164.94</c:v>
                </c:pt>
                <c:pt idx="261">
                  <c:v>165.01</c:v>
                </c:pt>
                <c:pt idx="262">
                  <c:v>166</c:v>
                </c:pt>
                <c:pt idx="263">
                  <c:v>166.45</c:v>
                </c:pt>
                <c:pt idx="264">
                  <c:v>166.74</c:v>
                </c:pt>
                <c:pt idx="265">
                  <c:v>167.61</c:v>
                </c:pt>
                <c:pt idx="266">
                  <c:v>167.67</c:v>
                </c:pt>
                <c:pt idx="267">
                  <c:v>169.28</c:v>
                </c:pt>
                <c:pt idx="268">
                  <c:v>169.77</c:v>
                </c:pt>
                <c:pt idx="269">
                  <c:v>170.35</c:v>
                </c:pt>
                <c:pt idx="270">
                  <c:v>170.71</c:v>
                </c:pt>
                <c:pt idx="271">
                  <c:v>170.77</c:v>
                </c:pt>
                <c:pt idx="272">
                  <c:v>171.17</c:v>
                </c:pt>
                <c:pt idx="273">
                  <c:v>171.52</c:v>
                </c:pt>
                <c:pt idx="274">
                  <c:v>171.61</c:v>
                </c:pt>
                <c:pt idx="275">
                  <c:v>171.72</c:v>
                </c:pt>
                <c:pt idx="276">
                  <c:v>172.5</c:v>
                </c:pt>
                <c:pt idx="277">
                  <c:v>173.43</c:v>
                </c:pt>
                <c:pt idx="278">
                  <c:v>173.46</c:v>
                </c:pt>
                <c:pt idx="279">
                  <c:v>175.65</c:v>
                </c:pt>
                <c:pt idx="280">
                  <c:v>175.74</c:v>
                </c:pt>
                <c:pt idx="281">
                  <c:v>176.12</c:v>
                </c:pt>
                <c:pt idx="282">
                  <c:v>177.05</c:v>
                </c:pt>
                <c:pt idx="283">
                  <c:v>178.04</c:v>
                </c:pt>
                <c:pt idx="284">
                  <c:v>178.04</c:v>
                </c:pt>
                <c:pt idx="285">
                  <c:v>178.21</c:v>
                </c:pt>
                <c:pt idx="286">
                  <c:v>178.29</c:v>
                </c:pt>
                <c:pt idx="287">
                  <c:v>178.61</c:v>
                </c:pt>
                <c:pt idx="288">
                  <c:v>179.19</c:v>
                </c:pt>
                <c:pt idx="289">
                  <c:v>180.21</c:v>
                </c:pt>
                <c:pt idx="290">
                  <c:v>181.1</c:v>
                </c:pt>
                <c:pt idx="291">
                  <c:v>181.87</c:v>
                </c:pt>
                <c:pt idx="292">
                  <c:v>182.54</c:v>
                </c:pt>
                <c:pt idx="293">
                  <c:v>182.6</c:v>
                </c:pt>
                <c:pt idx="294">
                  <c:v>182.72</c:v>
                </c:pt>
                <c:pt idx="295">
                  <c:v>182.89</c:v>
                </c:pt>
                <c:pt idx="296">
                  <c:v>182.94</c:v>
                </c:pt>
                <c:pt idx="297">
                  <c:v>183.66</c:v>
                </c:pt>
                <c:pt idx="298">
                  <c:v>183.86</c:v>
                </c:pt>
                <c:pt idx="299">
                  <c:v>184.74</c:v>
                </c:pt>
                <c:pt idx="300">
                  <c:v>185.83</c:v>
                </c:pt>
                <c:pt idx="301">
                  <c:v>186.85</c:v>
                </c:pt>
                <c:pt idx="302">
                  <c:v>187.22</c:v>
                </c:pt>
                <c:pt idx="303">
                  <c:v>188.17</c:v>
                </c:pt>
                <c:pt idx="304">
                  <c:v>189.97</c:v>
                </c:pt>
                <c:pt idx="305">
                  <c:v>190.06</c:v>
                </c:pt>
                <c:pt idx="306">
                  <c:v>190.25</c:v>
                </c:pt>
                <c:pt idx="307">
                  <c:v>190.76</c:v>
                </c:pt>
                <c:pt idx="308">
                  <c:v>191.21</c:v>
                </c:pt>
                <c:pt idx="309">
                  <c:v>192.35</c:v>
                </c:pt>
                <c:pt idx="310">
                  <c:v>192.51</c:v>
                </c:pt>
                <c:pt idx="311">
                  <c:v>193.3</c:v>
                </c:pt>
                <c:pt idx="312">
                  <c:v>193.32</c:v>
                </c:pt>
                <c:pt idx="313">
                  <c:v>193.76</c:v>
                </c:pt>
                <c:pt idx="314">
                  <c:v>193.94</c:v>
                </c:pt>
                <c:pt idx="315">
                  <c:v>194.08</c:v>
                </c:pt>
                <c:pt idx="316">
                  <c:v>194.93</c:v>
                </c:pt>
                <c:pt idx="317">
                  <c:v>195.05</c:v>
                </c:pt>
                <c:pt idx="318">
                  <c:v>195.07</c:v>
                </c:pt>
                <c:pt idx="319">
                  <c:v>195.46</c:v>
                </c:pt>
                <c:pt idx="320">
                  <c:v>195.83</c:v>
                </c:pt>
                <c:pt idx="321">
                  <c:v>196.33</c:v>
                </c:pt>
                <c:pt idx="322">
                  <c:v>196.63</c:v>
                </c:pt>
                <c:pt idx="323">
                  <c:v>197.12</c:v>
                </c:pt>
                <c:pt idx="324">
                  <c:v>197.7</c:v>
                </c:pt>
                <c:pt idx="325">
                  <c:v>197.9</c:v>
                </c:pt>
                <c:pt idx="326">
                  <c:v>197.9</c:v>
                </c:pt>
                <c:pt idx="327">
                  <c:v>198.36</c:v>
                </c:pt>
                <c:pt idx="328">
                  <c:v>198.45</c:v>
                </c:pt>
                <c:pt idx="329">
                  <c:v>198.73</c:v>
                </c:pt>
                <c:pt idx="330">
                  <c:v>198.89</c:v>
                </c:pt>
                <c:pt idx="331">
                  <c:v>199.44</c:v>
                </c:pt>
                <c:pt idx="332">
                  <c:v>199.64</c:v>
                </c:pt>
                <c:pt idx="333">
                  <c:v>201.53</c:v>
                </c:pt>
                <c:pt idx="334">
                  <c:v>201.6</c:v>
                </c:pt>
                <c:pt idx="335">
                  <c:v>201.69</c:v>
                </c:pt>
                <c:pt idx="336">
                  <c:v>201.96</c:v>
                </c:pt>
                <c:pt idx="337">
                  <c:v>203.13</c:v>
                </c:pt>
                <c:pt idx="338">
                  <c:v>203.49</c:v>
                </c:pt>
                <c:pt idx="339">
                  <c:v>204.29</c:v>
                </c:pt>
                <c:pt idx="340">
                  <c:v>204.44</c:v>
                </c:pt>
                <c:pt idx="341">
                  <c:v>204.47</c:v>
                </c:pt>
                <c:pt idx="342">
                  <c:v>204.83</c:v>
                </c:pt>
                <c:pt idx="343">
                  <c:v>205.36</c:v>
                </c:pt>
                <c:pt idx="344">
                  <c:v>205.49</c:v>
                </c:pt>
                <c:pt idx="345">
                  <c:v>206.32</c:v>
                </c:pt>
                <c:pt idx="346">
                  <c:v>206.79</c:v>
                </c:pt>
                <c:pt idx="347">
                  <c:v>207.11</c:v>
                </c:pt>
                <c:pt idx="348">
                  <c:v>207.18</c:v>
                </c:pt>
                <c:pt idx="349">
                  <c:v>207.24</c:v>
                </c:pt>
                <c:pt idx="350">
                  <c:v>207.52</c:v>
                </c:pt>
                <c:pt idx="351">
                  <c:v>207.66</c:v>
                </c:pt>
                <c:pt idx="352">
                  <c:v>208.59</c:v>
                </c:pt>
                <c:pt idx="353">
                  <c:v>208.6</c:v>
                </c:pt>
                <c:pt idx="354">
                  <c:v>209.62</c:v>
                </c:pt>
                <c:pt idx="355">
                  <c:v>209.68</c:v>
                </c:pt>
                <c:pt idx="356">
                  <c:v>209.79</c:v>
                </c:pt>
                <c:pt idx="357">
                  <c:v>210.21</c:v>
                </c:pt>
                <c:pt idx="358">
                  <c:v>210.58</c:v>
                </c:pt>
                <c:pt idx="359">
                  <c:v>210.9</c:v>
                </c:pt>
                <c:pt idx="360">
                  <c:v>211.16</c:v>
                </c:pt>
                <c:pt idx="361">
                  <c:v>211.39</c:v>
                </c:pt>
                <c:pt idx="362">
                  <c:v>211.7</c:v>
                </c:pt>
                <c:pt idx="363">
                  <c:v>212.08</c:v>
                </c:pt>
                <c:pt idx="364">
                  <c:v>212.63</c:v>
                </c:pt>
                <c:pt idx="365">
                  <c:v>212.8</c:v>
                </c:pt>
                <c:pt idx="366">
                  <c:v>213.39</c:v>
                </c:pt>
                <c:pt idx="367">
                  <c:v>214.48</c:v>
                </c:pt>
                <c:pt idx="368">
                  <c:v>214.59</c:v>
                </c:pt>
                <c:pt idx="369">
                  <c:v>214.69</c:v>
                </c:pt>
                <c:pt idx="370">
                  <c:v>214.82</c:v>
                </c:pt>
                <c:pt idx="371">
                  <c:v>215.31</c:v>
                </c:pt>
                <c:pt idx="372">
                  <c:v>215.54</c:v>
                </c:pt>
                <c:pt idx="373">
                  <c:v>216.45</c:v>
                </c:pt>
                <c:pt idx="374">
                  <c:v>216.84</c:v>
                </c:pt>
                <c:pt idx="375">
                  <c:v>217.62</c:v>
                </c:pt>
                <c:pt idx="376">
                  <c:v>217.72</c:v>
                </c:pt>
                <c:pt idx="377">
                  <c:v>217.84</c:v>
                </c:pt>
                <c:pt idx="378">
                  <c:v>218.06</c:v>
                </c:pt>
                <c:pt idx="379">
                  <c:v>218.26</c:v>
                </c:pt>
                <c:pt idx="380">
                  <c:v>218.32</c:v>
                </c:pt>
                <c:pt idx="381">
                  <c:v>218.65</c:v>
                </c:pt>
                <c:pt idx="382">
                  <c:v>218.87</c:v>
                </c:pt>
                <c:pt idx="383">
                  <c:v>220.77</c:v>
                </c:pt>
                <c:pt idx="384">
                  <c:v>221.88</c:v>
                </c:pt>
                <c:pt idx="385">
                  <c:v>222.22</c:v>
                </c:pt>
                <c:pt idx="386">
                  <c:v>222.61</c:v>
                </c:pt>
                <c:pt idx="387">
                  <c:v>222.63</c:v>
                </c:pt>
                <c:pt idx="388">
                  <c:v>223.47</c:v>
                </c:pt>
                <c:pt idx="389">
                  <c:v>223.58</c:v>
                </c:pt>
                <c:pt idx="390">
                  <c:v>224.52</c:v>
                </c:pt>
                <c:pt idx="391">
                  <c:v>225.05</c:v>
                </c:pt>
                <c:pt idx="392">
                  <c:v>225.12</c:v>
                </c:pt>
                <c:pt idx="393">
                  <c:v>226.04</c:v>
                </c:pt>
                <c:pt idx="394">
                  <c:v>226.48</c:v>
                </c:pt>
                <c:pt idx="395">
                  <c:v>226.53</c:v>
                </c:pt>
                <c:pt idx="396">
                  <c:v>227.03</c:v>
                </c:pt>
                <c:pt idx="397">
                  <c:v>227.03</c:v>
                </c:pt>
                <c:pt idx="398">
                  <c:v>227.47</c:v>
                </c:pt>
                <c:pt idx="399">
                  <c:v>227.57</c:v>
                </c:pt>
                <c:pt idx="400">
                  <c:v>227.58</c:v>
                </c:pt>
                <c:pt idx="401">
                  <c:v>227.58</c:v>
                </c:pt>
                <c:pt idx="402">
                  <c:v>228.47</c:v>
                </c:pt>
                <c:pt idx="403">
                  <c:v>228.68</c:v>
                </c:pt>
                <c:pt idx="404">
                  <c:v>228.93</c:v>
                </c:pt>
                <c:pt idx="405">
                  <c:v>229.3</c:v>
                </c:pt>
                <c:pt idx="406">
                  <c:v>229.56</c:v>
                </c:pt>
                <c:pt idx="407">
                  <c:v>229.97</c:v>
                </c:pt>
                <c:pt idx="408">
                  <c:v>231.26</c:v>
                </c:pt>
                <c:pt idx="409">
                  <c:v>233.02</c:v>
                </c:pt>
                <c:pt idx="410">
                  <c:v>234.44</c:v>
                </c:pt>
                <c:pt idx="411">
                  <c:v>234.58</c:v>
                </c:pt>
                <c:pt idx="412">
                  <c:v>235.13</c:v>
                </c:pt>
                <c:pt idx="413">
                  <c:v>235.32</c:v>
                </c:pt>
                <c:pt idx="414">
                  <c:v>235.39</c:v>
                </c:pt>
                <c:pt idx="415">
                  <c:v>235.46</c:v>
                </c:pt>
                <c:pt idx="416">
                  <c:v>235.49</c:v>
                </c:pt>
                <c:pt idx="417">
                  <c:v>235.84</c:v>
                </c:pt>
                <c:pt idx="418">
                  <c:v>236.05</c:v>
                </c:pt>
                <c:pt idx="419">
                  <c:v>236.44</c:v>
                </c:pt>
                <c:pt idx="420">
                  <c:v>236.99</c:v>
                </c:pt>
                <c:pt idx="421">
                  <c:v>237.57</c:v>
                </c:pt>
                <c:pt idx="422">
                  <c:v>238.01</c:v>
                </c:pt>
                <c:pt idx="423">
                  <c:v>238.58</c:v>
                </c:pt>
                <c:pt idx="424">
                  <c:v>238.93</c:v>
                </c:pt>
                <c:pt idx="425">
                  <c:v>239.28</c:v>
                </c:pt>
                <c:pt idx="426">
                  <c:v>239.46</c:v>
                </c:pt>
                <c:pt idx="427">
                  <c:v>240.28</c:v>
                </c:pt>
                <c:pt idx="428">
                  <c:v>240.82</c:v>
                </c:pt>
                <c:pt idx="429">
                  <c:v>241.1</c:v>
                </c:pt>
                <c:pt idx="430">
                  <c:v>241.56</c:v>
                </c:pt>
                <c:pt idx="431">
                  <c:v>241.72</c:v>
                </c:pt>
                <c:pt idx="432">
                  <c:v>242.57</c:v>
                </c:pt>
                <c:pt idx="433">
                  <c:v>242.65</c:v>
                </c:pt>
                <c:pt idx="434">
                  <c:v>242.79</c:v>
                </c:pt>
                <c:pt idx="435">
                  <c:v>244.47</c:v>
                </c:pt>
                <c:pt idx="436">
                  <c:v>244.6</c:v>
                </c:pt>
                <c:pt idx="437">
                  <c:v>245.04</c:v>
                </c:pt>
                <c:pt idx="438">
                  <c:v>245.14</c:v>
                </c:pt>
                <c:pt idx="439">
                  <c:v>245.98</c:v>
                </c:pt>
                <c:pt idx="440">
                  <c:v>246.41</c:v>
                </c:pt>
                <c:pt idx="441">
                  <c:v>246.44</c:v>
                </c:pt>
                <c:pt idx="442">
                  <c:v>246.63</c:v>
                </c:pt>
                <c:pt idx="443">
                  <c:v>246.74</c:v>
                </c:pt>
                <c:pt idx="444">
                  <c:v>247.05</c:v>
                </c:pt>
                <c:pt idx="445">
                  <c:v>247.3</c:v>
                </c:pt>
                <c:pt idx="446">
                  <c:v>247.51</c:v>
                </c:pt>
                <c:pt idx="447">
                  <c:v>249.02</c:v>
                </c:pt>
                <c:pt idx="448">
                  <c:v>249.24</c:v>
                </c:pt>
                <c:pt idx="449">
                  <c:v>249.6</c:v>
                </c:pt>
                <c:pt idx="450">
                  <c:v>249.73</c:v>
                </c:pt>
                <c:pt idx="451">
                  <c:v>249.78</c:v>
                </c:pt>
                <c:pt idx="452">
                  <c:v>249.82</c:v>
                </c:pt>
                <c:pt idx="453">
                  <c:v>250.54</c:v>
                </c:pt>
                <c:pt idx="454">
                  <c:v>250.73</c:v>
                </c:pt>
                <c:pt idx="455">
                  <c:v>251.54</c:v>
                </c:pt>
                <c:pt idx="456">
                  <c:v>251.63</c:v>
                </c:pt>
                <c:pt idx="457">
                  <c:v>251.8</c:v>
                </c:pt>
                <c:pt idx="458">
                  <c:v>251.93</c:v>
                </c:pt>
                <c:pt idx="459">
                  <c:v>253.29</c:v>
                </c:pt>
                <c:pt idx="460">
                  <c:v>253.37</c:v>
                </c:pt>
                <c:pt idx="461">
                  <c:v>253.37</c:v>
                </c:pt>
                <c:pt idx="462">
                  <c:v>254.29</c:v>
                </c:pt>
                <c:pt idx="463">
                  <c:v>254.73</c:v>
                </c:pt>
                <c:pt idx="464">
                  <c:v>254.83</c:v>
                </c:pt>
                <c:pt idx="465">
                  <c:v>255.1</c:v>
                </c:pt>
                <c:pt idx="466">
                  <c:v>255.42</c:v>
                </c:pt>
                <c:pt idx="467">
                  <c:v>255.86</c:v>
                </c:pt>
                <c:pt idx="468">
                  <c:v>255.96</c:v>
                </c:pt>
                <c:pt idx="469">
                  <c:v>256.44</c:v>
                </c:pt>
                <c:pt idx="470">
                  <c:v>256.63</c:v>
                </c:pt>
                <c:pt idx="471">
                  <c:v>257.12</c:v>
                </c:pt>
                <c:pt idx="472">
                  <c:v>257.37</c:v>
                </c:pt>
                <c:pt idx="473">
                  <c:v>257.43</c:v>
                </c:pt>
                <c:pt idx="474">
                  <c:v>257.86</c:v>
                </c:pt>
                <c:pt idx="475">
                  <c:v>258.02</c:v>
                </c:pt>
                <c:pt idx="476">
                  <c:v>258.68</c:v>
                </c:pt>
                <c:pt idx="477">
                  <c:v>260.14</c:v>
                </c:pt>
                <c:pt idx="478">
                  <c:v>260.22000000000003</c:v>
                </c:pt>
                <c:pt idx="479">
                  <c:v>262.61</c:v>
                </c:pt>
                <c:pt idx="480">
                  <c:v>263.14999999999998</c:v>
                </c:pt>
                <c:pt idx="481">
                  <c:v>263.5</c:v>
                </c:pt>
                <c:pt idx="482">
                  <c:v>263.57</c:v>
                </c:pt>
                <c:pt idx="483">
                  <c:v>264.01</c:v>
                </c:pt>
                <c:pt idx="484">
                  <c:v>264.3</c:v>
                </c:pt>
                <c:pt idx="485">
                  <c:v>264.52</c:v>
                </c:pt>
                <c:pt idx="486">
                  <c:v>265.72000000000003</c:v>
                </c:pt>
                <c:pt idx="487">
                  <c:v>266.61</c:v>
                </c:pt>
                <c:pt idx="488">
                  <c:v>266.89999999999998</c:v>
                </c:pt>
                <c:pt idx="489">
                  <c:v>267.85000000000002</c:v>
                </c:pt>
                <c:pt idx="490">
                  <c:v>268.27999999999997</c:v>
                </c:pt>
                <c:pt idx="491">
                  <c:v>268.58999999999997</c:v>
                </c:pt>
                <c:pt idx="492">
                  <c:v>268.8</c:v>
                </c:pt>
                <c:pt idx="493">
                  <c:v>268.93</c:v>
                </c:pt>
                <c:pt idx="494">
                  <c:v>269.77999999999997</c:v>
                </c:pt>
                <c:pt idx="495">
                  <c:v>269.83999999999997</c:v>
                </c:pt>
                <c:pt idx="496">
                  <c:v>270.82</c:v>
                </c:pt>
                <c:pt idx="497">
                  <c:v>273.41000000000003</c:v>
                </c:pt>
                <c:pt idx="498">
                  <c:v>273.48</c:v>
                </c:pt>
                <c:pt idx="499">
                  <c:v>276.08</c:v>
                </c:pt>
                <c:pt idx="500">
                  <c:v>276.25</c:v>
                </c:pt>
                <c:pt idx="501">
                  <c:v>276.48</c:v>
                </c:pt>
                <c:pt idx="502">
                  <c:v>276.77</c:v>
                </c:pt>
                <c:pt idx="503">
                  <c:v>277.29000000000002</c:v>
                </c:pt>
                <c:pt idx="504">
                  <c:v>277.52</c:v>
                </c:pt>
                <c:pt idx="505">
                  <c:v>278.20999999999998</c:v>
                </c:pt>
                <c:pt idx="506">
                  <c:v>278.49</c:v>
                </c:pt>
                <c:pt idx="507">
                  <c:v>278.77999999999997</c:v>
                </c:pt>
                <c:pt idx="508">
                  <c:v>279.08</c:v>
                </c:pt>
                <c:pt idx="509">
                  <c:v>279.33999999999997</c:v>
                </c:pt>
                <c:pt idx="510">
                  <c:v>280.05</c:v>
                </c:pt>
                <c:pt idx="511">
                  <c:v>280.2</c:v>
                </c:pt>
                <c:pt idx="512">
                  <c:v>280.88</c:v>
                </c:pt>
                <c:pt idx="513">
                  <c:v>281.37</c:v>
                </c:pt>
                <c:pt idx="514">
                  <c:v>282.13</c:v>
                </c:pt>
                <c:pt idx="515">
                  <c:v>282.24</c:v>
                </c:pt>
                <c:pt idx="516">
                  <c:v>282.82</c:v>
                </c:pt>
                <c:pt idx="517">
                  <c:v>283.7</c:v>
                </c:pt>
                <c:pt idx="518">
                  <c:v>283.77999999999997</c:v>
                </c:pt>
                <c:pt idx="519">
                  <c:v>286.43</c:v>
                </c:pt>
                <c:pt idx="520">
                  <c:v>287.18</c:v>
                </c:pt>
                <c:pt idx="521">
                  <c:v>287.95</c:v>
                </c:pt>
                <c:pt idx="522">
                  <c:v>288.14999999999998</c:v>
                </c:pt>
                <c:pt idx="523">
                  <c:v>288.33999999999997</c:v>
                </c:pt>
                <c:pt idx="524">
                  <c:v>289.08</c:v>
                </c:pt>
                <c:pt idx="525">
                  <c:v>289.27999999999997</c:v>
                </c:pt>
                <c:pt idx="526">
                  <c:v>290.11</c:v>
                </c:pt>
                <c:pt idx="527">
                  <c:v>290.52999999999997</c:v>
                </c:pt>
                <c:pt idx="528">
                  <c:v>290.56</c:v>
                </c:pt>
                <c:pt idx="529">
                  <c:v>291.08999999999997</c:v>
                </c:pt>
                <c:pt idx="530">
                  <c:v>291.60000000000002</c:v>
                </c:pt>
                <c:pt idx="531">
                  <c:v>292.08</c:v>
                </c:pt>
                <c:pt idx="532">
                  <c:v>292.64</c:v>
                </c:pt>
                <c:pt idx="533">
                  <c:v>293.04000000000002</c:v>
                </c:pt>
                <c:pt idx="534">
                  <c:v>293.43</c:v>
                </c:pt>
                <c:pt idx="535">
                  <c:v>293.64</c:v>
                </c:pt>
                <c:pt idx="536">
                  <c:v>293.99</c:v>
                </c:pt>
                <c:pt idx="537">
                  <c:v>294.61</c:v>
                </c:pt>
                <c:pt idx="538">
                  <c:v>294.99</c:v>
                </c:pt>
                <c:pt idx="539">
                  <c:v>295.54000000000002</c:v>
                </c:pt>
                <c:pt idx="540">
                  <c:v>295.60000000000002</c:v>
                </c:pt>
                <c:pt idx="541">
                  <c:v>295.75</c:v>
                </c:pt>
                <c:pt idx="542">
                  <c:v>297.24</c:v>
                </c:pt>
                <c:pt idx="543">
                  <c:v>297.29000000000002</c:v>
                </c:pt>
                <c:pt idx="544">
                  <c:v>297.45</c:v>
                </c:pt>
                <c:pt idx="545">
                  <c:v>298.32</c:v>
                </c:pt>
                <c:pt idx="546">
                  <c:v>298.38</c:v>
                </c:pt>
                <c:pt idx="547">
                  <c:v>298.73</c:v>
                </c:pt>
                <c:pt idx="548">
                  <c:v>298.93</c:v>
                </c:pt>
                <c:pt idx="549">
                  <c:v>299.08999999999997</c:v>
                </c:pt>
                <c:pt idx="550">
                  <c:v>299.27999999999997</c:v>
                </c:pt>
                <c:pt idx="551">
                  <c:v>299.31</c:v>
                </c:pt>
                <c:pt idx="552">
                  <c:v>299.75</c:v>
                </c:pt>
                <c:pt idx="553">
                  <c:v>300.73</c:v>
                </c:pt>
                <c:pt idx="554">
                  <c:v>301.01</c:v>
                </c:pt>
                <c:pt idx="555">
                  <c:v>301.16000000000003</c:v>
                </c:pt>
                <c:pt idx="556">
                  <c:v>301.39</c:v>
                </c:pt>
                <c:pt idx="557">
                  <c:v>301.39999999999998</c:v>
                </c:pt>
                <c:pt idx="558">
                  <c:v>301.60000000000002</c:v>
                </c:pt>
                <c:pt idx="559">
                  <c:v>302.07</c:v>
                </c:pt>
                <c:pt idx="560">
                  <c:v>302.60000000000002</c:v>
                </c:pt>
                <c:pt idx="561">
                  <c:v>302.74</c:v>
                </c:pt>
                <c:pt idx="562">
                  <c:v>303.08999999999997</c:v>
                </c:pt>
                <c:pt idx="563">
                  <c:v>303.13</c:v>
                </c:pt>
                <c:pt idx="564">
                  <c:v>303.93</c:v>
                </c:pt>
                <c:pt idx="565">
                  <c:v>304.79000000000002</c:v>
                </c:pt>
                <c:pt idx="566">
                  <c:v>305.29000000000002</c:v>
                </c:pt>
                <c:pt idx="567">
                  <c:v>305.45</c:v>
                </c:pt>
                <c:pt idx="568">
                  <c:v>305.54000000000002</c:v>
                </c:pt>
                <c:pt idx="569">
                  <c:v>305.73</c:v>
                </c:pt>
                <c:pt idx="570">
                  <c:v>306.17</c:v>
                </c:pt>
                <c:pt idx="571">
                  <c:v>306.48</c:v>
                </c:pt>
                <c:pt idx="572">
                  <c:v>307.61</c:v>
                </c:pt>
                <c:pt idx="573">
                  <c:v>308.54000000000002</c:v>
                </c:pt>
                <c:pt idx="574">
                  <c:v>308.58</c:v>
                </c:pt>
                <c:pt idx="575">
                  <c:v>308.87</c:v>
                </c:pt>
                <c:pt idx="576">
                  <c:v>309.22000000000003</c:v>
                </c:pt>
                <c:pt idx="577">
                  <c:v>309.52999999999997</c:v>
                </c:pt>
                <c:pt idx="578">
                  <c:v>310.16000000000003</c:v>
                </c:pt>
                <c:pt idx="579">
                  <c:v>310.17</c:v>
                </c:pt>
                <c:pt idx="580">
                  <c:v>310.23</c:v>
                </c:pt>
                <c:pt idx="581">
                  <c:v>311.74</c:v>
                </c:pt>
                <c:pt idx="582">
                  <c:v>311.89999999999998</c:v>
                </c:pt>
                <c:pt idx="583">
                  <c:v>312.93</c:v>
                </c:pt>
                <c:pt idx="584">
                  <c:v>314.32</c:v>
                </c:pt>
                <c:pt idx="585">
                  <c:v>314.36</c:v>
                </c:pt>
                <c:pt idx="586">
                  <c:v>315.02999999999997</c:v>
                </c:pt>
                <c:pt idx="587">
                  <c:v>317.08999999999997</c:v>
                </c:pt>
                <c:pt idx="588">
                  <c:v>318.45</c:v>
                </c:pt>
                <c:pt idx="589">
                  <c:v>318.83999999999997</c:v>
                </c:pt>
                <c:pt idx="590">
                  <c:v>319.38</c:v>
                </c:pt>
                <c:pt idx="591">
                  <c:v>319.39</c:v>
                </c:pt>
                <c:pt idx="592">
                  <c:v>319.66000000000003</c:v>
                </c:pt>
                <c:pt idx="593">
                  <c:v>320.5</c:v>
                </c:pt>
                <c:pt idx="594">
                  <c:v>320.94</c:v>
                </c:pt>
                <c:pt idx="595">
                  <c:v>321.26</c:v>
                </c:pt>
                <c:pt idx="596">
                  <c:v>322.39999999999998</c:v>
                </c:pt>
                <c:pt idx="597">
                  <c:v>323.39</c:v>
                </c:pt>
                <c:pt idx="598">
                  <c:v>323.39999999999998</c:v>
                </c:pt>
                <c:pt idx="599">
                  <c:v>324.11</c:v>
                </c:pt>
                <c:pt idx="600">
                  <c:v>324.22000000000003</c:v>
                </c:pt>
                <c:pt idx="601">
                  <c:v>324.39</c:v>
                </c:pt>
                <c:pt idx="602">
                  <c:v>324.41000000000003</c:v>
                </c:pt>
                <c:pt idx="603">
                  <c:v>325.42</c:v>
                </c:pt>
                <c:pt idx="604">
                  <c:v>326.08</c:v>
                </c:pt>
                <c:pt idx="605">
                  <c:v>326.82</c:v>
                </c:pt>
                <c:pt idx="606">
                  <c:v>327.05</c:v>
                </c:pt>
                <c:pt idx="607">
                  <c:v>327.32</c:v>
                </c:pt>
                <c:pt idx="608">
                  <c:v>328.21</c:v>
                </c:pt>
                <c:pt idx="609">
                  <c:v>328.36</c:v>
                </c:pt>
                <c:pt idx="610">
                  <c:v>329.41</c:v>
                </c:pt>
                <c:pt idx="611">
                  <c:v>330.27</c:v>
                </c:pt>
                <c:pt idx="612">
                  <c:v>330.36</c:v>
                </c:pt>
                <c:pt idx="613">
                  <c:v>331.57</c:v>
                </c:pt>
                <c:pt idx="614">
                  <c:v>332.14</c:v>
                </c:pt>
                <c:pt idx="615">
                  <c:v>332.67</c:v>
                </c:pt>
                <c:pt idx="616">
                  <c:v>332.79</c:v>
                </c:pt>
                <c:pt idx="617">
                  <c:v>333.15</c:v>
                </c:pt>
                <c:pt idx="618">
                  <c:v>333.18</c:v>
                </c:pt>
                <c:pt idx="619">
                  <c:v>333.32</c:v>
                </c:pt>
                <c:pt idx="620">
                  <c:v>333.41</c:v>
                </c:pt>
                <c:pt idx="621">
                  <c:v>333.56</c:v>
                </c:pt>
                <c:pt idx="622">
                  <c:v>333.63</c:v>
                </c:pt>
                <c:pt idx="623">
                  <c:v>333.8</c:v>
                </c:pt>
                <c:pt idx="624">
                  <c:v>334.22</c:v>
                </c:pt>
                <c:pt idx="625">
                  <c:v>334.45</c:v>
                </c:pt>
                <c:pt idx="626">
                  <c:v>334.67</c:v>
                </c:pt>
                <c:pt idx="627">
                  <c:v>335.32</c:v>
                </c:pt>
                <c:pt idx="628">
                  <c:v>335.8</c:v>
                </c:pt>
                <c:pt idx="629">
                  <c:v>336.89</c:v>
                </c:pt>
                <c:pt idx="630">
                  <c:v>336.96</c:v>
                </c:pt>
                <c:pt idx="631">
                  <c:v>337.17</c:v>
                </c:pt>
                <c:pt idx="632">
                  <c:v>337.21</c:v>
                </c:pt>
                <c:pt idx="633">
                  <c:v>337.33</c:v>
                </c:pt>
                <c:pt idx="634">
                  <c:v>338.2</c:v>
                </c:pt>
                <c:pt idx="635">
                  <c:v>338.6</c:v>
                </c:pt>
                <c:pt idx="636">
                  <c:v>338.89</c:v>
                </c:pt>
                <c:pt idx="637">
                  <c:v>338.96</c:v>
                </c:pt>
                <c:pt idx="638">
                  <c:v>339.12</c:v>
                </c:pt>
                <c:pt idx="639">
                  <c:v>339.32</c:v>
                </c:pt>
                <c:pt idx="640">
                  <c:v>339.63</c:v>
                </c:pt>
                <c:pt idx="641">
                  <c:v>340.31</c:v>
                </c:pt>
                <c:pt idx="642">
                  <c:v>340.55</c:v>
                </c:pt>
                <c:pt idx="643">
                  <c:v>341.24</c:v>
                </c:pt>
                <c:pt idx="644">
                  <c:v>341.91</c:v>
                </c:pt>
                <c:pt idx="645">
                  <c:v>342.39</c:v>
                </c:pt>
                <c:pt idx="646">
                  <c:v>342.99</c:v>
                </c:pt>
                <c:pt idx="647">
                  <c:v>343.77</c:v>
                </c:pt>
                <c:pt idx="648">
                  <c:v>343.77</c:v>
                </c:pt>
                <c:pt idx="649">
                  <c:v>343.81</c:v>
                </c:pt>
                <c:pt idx="650">
                  <c:v>344.43</c:v>
                </c:pt>
                <c:pt idx="651">
                  <c:v>344.81</c:v>
                </c:pt>
                <c:pt idx="652">
                  <c:v>345.04</c:v>
                </c:pt>
                <c:pt idx="653">
                  <c:v>345.49</c:v>
                </c:pt>
                <c:pt idx="654">
                  <c:v>346.36</c:v>
                </c:pt>
                <c:pt idx="655">
                  <c:v>346.58</c:v>
                </c:pt>
                <c:pt idx="656">
                  <c:v>347.09</c:v>
                </c:pt>
                <c:pt idx="657">
                  <c:v>347.99</c:v>
                </c:pt>
                <c:pt idx="658">
                  <c:v>348.5</c:v>
                </c:pt>
                <c:pt idx="659">
                  <c:v>348.63</c:v>
                </c:pt>
                <c:pt idx="660">
                  <c:v>349</c:v>
                </c:pt>
                <c:pt idx="661">
                  <c:v>351.36</c:v>
                </c:pt>
                <c:pt idx="662">
                  <c:v>351.54</c:v>
                </c:pt>
                <c:pt idx="663">
                  <c:v>351.71</c:v>
                </c:pt>
                <c:pt idx="664">
                  <c:v>352.35</c:v>
                </c:pt>
                <c:pt idx="665">
                  <c:v>352.87</c:v>
                </c:pt>
                <c:pt idx="666">
                  <c:v>353.4</c:v>
                </c:pt>
                <c:pt idx="667">
                  <c:v>354.16</c:v>
                </c:pt>
                <c:pt idx="668">
                  <c:v>354.7</c:v>
                </c:pt>
                <c:pt idx="669">
                  <c:v>354.87</c:v>
                </c:pt>
                <c:pt idx="670">
                  <c:v>354.92</c:v>
                </c:pt>
                <c:pt idx="671">
                  <c:v>355.28</c:v>
                </c:pt>
                <c:pt idx="672">
                  <c:v>355.31</c:v>
                </c:pt>
                <c:pt idx="673">
                  <c:v>356.22</c:v>
                </c:pt>
                <c:pt idx="674">
                  <c:v>356.45</c:v>
                </c:pt>
                <c:pt idx="675">
                  <c:v>356.87</c:v>
                </c:pt>
                <c:pt idx="676">
                  <c:v>358.11</c:v>
                </c:pt>
                <c:pt idx="677">
                  <c:v>358.5</c:v>
                </c:pt>
                <c:pt idx="678">
                  <c:v>358.72</c:v>
                </c:pt>
                <c:pt idx="679">
                  <c:v>359.45</c:v>
                </c:pt>
                <c:pt idx="680">
                  <c:v>359.75</c:v>
                </c:pt>
                <c:pt idx="681">
                  <c:v>359.94</c:v>
                </c:pt>
                <c:pt idx="682">
                  <c:v>360.91</c:v>
                </c:pt>
                <c:pt idx="683">
                  <c:v>360.92</c:v>
                </c:pt>
                <c:pt idx="684">
                  <c:v>361.27</c:v>
                </c:pt>
                <c:pt idx="685">
                  <c:v>361.4</c:v>
                </c:pt>
                <c:pt idx="686">
                  <c:v>361.48</c:v>
                </c:pt>
                <c:pt idx="687">
                  <c:v>362.01</c:v>
                </c:pt>
                <c:pt idx="688">
                  <c:v>362.3</c:v>
                </c:pt>
                <c:pt idx="689">
                  <c:v>363.84</c:v>
                </c:pt>
                <c:pt idx="690">
                  <c:v>363.91</c:v>
                </c:pt>
                <c:pt idx="691">
                  <c:v>363.98</c:v>
                </c:pt>
                <c:pt idx="692">
                  <c:v>364.48</c:v>
                </c:pt>
                <c:pt idx="693">
                  <c:v>364.98</c:v>
                </c:pt>
                <c:pt idx="694">
                  <c:v>365.1</c:v>
                </c:pt>
                <c:pt idx="695">
                  <c:v>365.37</c:v>
                </c:pt>
                <c:pt idx="696">
                  <c:v>365.38</c:v>
                </c:pt>
                <c:pt idx="697">
                  <c:v>365.88</c:v>
                </c:pt>
                <c:pt idx="698">
                  <c:v>365.88</c:v>
                </c:pt>
                <c:pt idx="699">
                  <c:v>366.16</c:v>
                </c:pt>
                <c:pt idx="700">
                  <c:v>366.77</c:v>
                </c:pt>
                <c:pt idx="701">
                  <c:v>367.56</c:v>
                </c:pt>
                <c:pt idx="702">
                  <c:v>367.7</c:v>
                </c:pt>
                <c:pt idx="703">
                  <c:v>367.99</c:v>
                </c:pt>
                <c:pt idx="704">
                  <c:v>368.4</c:v>
                </c:pt>
                <c:pt idx="705">
                  <c:v>368.91</c:v>
                </c:pt>
                <c:pt idx="706">
                  <c:v>369.73</c:v>
                </c:pt>
                <c:pt idx="707">
                  <c:v>370.05</c:v>
                </c:pt>
                <c:pt idx="708">
                  <c:v>370.17</c:v>
                </c:pt>
                <c:pt idx="709">
                  <c:v>370.38</c:v>
                </c:pt>
                <c:pt idx="710">
                  <c:v>370.54</c:v>
                </c:pt>
                <c:pt idx="711">
                  <c:v>370.73</c:v>
                </c:pt>
                <c:pt idx="712">
                  <c:v>371.12</c:v>
                </c:pt>
                <c:pt idx="713">
                  <c:v>371.19</c:v>
                </c:pt>
                <c:pt idx="714">
                  <c:v>371.32</c:v>
                </c:pt>
                <c:pt idx="715">
                  <c:v>371.58</c:v>
                </c:pt>
                <c:pt idx="716">
                  <c:v>371.84</c:v>
                </c:pt>
                <c:pt idx="717">
                  <c:v>372.26</c:v>
                </c:pt>
                <c:pt idx="718">
                  <c:v>372.49</c:v>
                </c:pt>
                <c:pt idx="719">
                  <c:v>372.6</c:v>
                </c:pt>
                <c:pt idx="720">
                  <c:v>373.01</c:v>
                </c:pt>
                <c:pt idx="721">
                  <c:v>373.05</c:v>
                </c:pt>
                <c:pt idx="722">
                  <c:v>373.49</c:v>
                </c:pt>
                <c:pt idx="723">
                  <c:v>373.69</c:v>
                </c:pt>
                <c:pt idx="724">
                  <c:v>374.36</c:v>
                </c:pt>
                <c:pt idx="725">
                  <c:v>375.45</c:v>
                </c:pt>
                <c:pt idx="726">
                  <c:v>375.7</c:v>
                </c:pt>
                <c:pt idx="727">
                  <c:v>377.67</c:v>
                </c:pt>
                <c:pt idx="728">
                  <c:v>377.77</c:v>
                </c:pt>
                <c:pt idx="729">
                  <c:v>378.14</c:v>
                </c:pt>
                <c:pt idx="730">
                  <c:v>378.47</c:v>
                </c:pt>
                <c:pt idx="731">
                  <c:v>378.59</c:v>
                </c:pt>
                <c:pt idx="732">
                  <c:v>378.71</c:v>
                </c:pt>
                <c:pt idx="733">
                  <c:v>378.87</c:v>
                </c:pt>
                <c:pt idx="734">
                  <c:v>378.87</c:v>
                </c:pt>
                <c:pt idx="735">
                  <c:v>379.2</c:v>
                </c:pt>
                <c:pt idx="736">
                  <c:v>379.21</c:v>
                </c:pt>
                <c:pt idx="737">
                  <c:v>380.99</c:v>
                </c:pt>
                <c:pt idx="738">
                  <c:v>381.3</c:v>
                </c:pt>
                <c:pt idx="739">
                  <c:v>382.24</c:v>
                </c:pt>
                <c:pt idx="740">
                  <c:v>382.49</c:v>
                </c:pt>
                <c:pt idx="741">
                  <c:v>382.94</c:v>
                </c:pt>
                <c:pt idx="742">
                  <c:v>383.13</c:v>
                </c:pt>
                <c:pt idx="743">
                  <c:v>383.33</c:v>
                </c:pt>
                <c:pt idx="744">
                  <c:v>384.26</c:v>
                </c:pt>
                <c:pt idx="745">
                  <c:v>385.08</c:v>
                </c:pt>
                <c:pt idx="746">
                  <c:v>385.32</c:v>
                </c:pt>
                <c:pt idx="747">
                  <c:v>388.01</c:v>
                </c:pt>
                <c:pt idx="748">
                  <c:v>388.26</c:v>
                </c:pt>
                <c:pt idx="749">
                  <c:v>388.82</c:v>
                </c:pt>
                <c:pt idx="750">
                  <c:v>389.47</c:v>
                </c:pt>
                <c:pt idx="751">
                  <c:v>389.7</c:v>
                </c:pt>
                <c:pt idx="752">
                  <c:v>390.44</c:v>
                </c:pt>
                <c:pt idx="753">
                  <c:v>390.51</c:v>
                </c:pt>
                <c:pt idx="754">
                  <c:v>390.83</c:v>
                </c:pt>
                <c:pt idx="755">
                  <c:v>391.38</c:v>
                </c:pt>
                <c:pt idx="756">
                  <c:v>391.87</c:v>
                </c:pt>
                <c:pt idx="757">
                  <c:v>392.08</c:v>
                </c:pt>
                <c:pt idx="758">
                  <c:v>392.27</c:v>
                </c:pt>
                <c:pt idx="759">
                  <c:v>393.03</c:v>
                </c:pt>
                <c:pt idx="760">
                  <c:v>393.09</c:v>
                </c:pt>
                <c:pt idx="761">
                  <c:v>393.35</c:v>
                </c:pt>
                <c:pt idx="762">
                  <c:v>393.45</c:v>
                </c:pt>
                <c:pt idx="763">
                  <c:v>393.48</c:v>
                </c:pt>
                <c:pt idx="764">
                  <c:v>393.78</c:v>
                </c:pt>
                <c:pt idx="765">
                  <c:v>395.01</c:v>
                </c:pt>
                <c:pt idx="766">
                  <c:v>395.18</c:v>
                </c:pt>
                <c:pt idx="767">
                  <c:v>395.97</c:v>
                </c:pt>
                <c:pt idx="768">
                  <c:v>396.76</c:v>
                </c:pt>
                <c:pt idx="769">
                  <c:v>396.82</c:v>
                </c:pt>
                <c:pt idx="770">
                  <c:v>397.25</c:v>
                </c:pt>
                <c:pt idx="771">
                  <c:v>397.78</c:v>
                </c:pt>
                <c:pt idx="772">
                  <c:v>398.97</c:v>
                </c:pt>
                <c:pt idx="773">
                  <c:v>399.24</c:v>
                </c:pt>
                <c:pt idx="774">
                  <c:v>399.56</c:v>
                </c:pt>
                <c:pt idx="775">
                  <c:v>399.58</c:v>
                </c:pt>
                <c:pt idx="776">
                  <c:v>399.95</c:v>
                </c:pt>
                <c:pt idx="777">
                  <c:v>400.86</c:v>
                </c:pt>
                <c:pt idx="778">
                  <c:v>401.43</c:v>
                </c:pt>
                <c:pt idx="779">
                  <c:v>401.75</c:v>
                </c:pt>
                <c:pt idx="780">
                  <c:v>402.82</c:v>
                </c:pt>
                <c:pt idx="781">
                  <c:v>402.86</c:v>
                </c:pt>
                <c:pt idx="782">
                  <c:v>403.03</c:v>
                </c:pt>
                <c:pt idx="783">
                  <c:v>403.57</c:v>
                </c:pt>
                <c:pt idx="784">
                  <c:v>404.12</c:v>
                </c:pt>
                <c:pt idx="785">
                  <c:v>404.57</c:v>
                </c:pt>
                <c:pt idx="786">
                  <c:v>405.66</c:v>
                </c:pt>
                <c:pt idx="787">
                  <c:v>405.7</c:v>
                </c:pt>
                <c:pt idx="788">
                  <c:v>407.29</c:v>
                </c:pt>
                <c:pt idx="789">
                  <c:v>407.88</c:v>
                </c:pt>
                <c:pt idx="790">
                  <c:v>407.91</c:v>
                </c:pt>
                <c:pt idx="791">
                  <c:v>408.51</c:v>
                </c:pt>
                <c:pt idx="792">
                  <c:v>408.81</c:v>
                </c:pt>
                <c:pt idx="793">
                  <c:v>409.98</c:v>
                </c:pt>
                <c:pt idx="794">
                  <c:v>410.29</c:v>
                </c:pt>
                <c:pt idx="795">
                  <c:v>411.4</c:v>
                </c:pt>
                <c:pt idx="796">
                  <c:v>411.62</c:v>
                </c:pt>
                <c:pt idx="797">
                  <c:v>411.81</c:v>
                </c:pt>
                <c:pt idx="798">
                  <c:v>411.83</c:v>
                </c:pt>
                <c:pt idx="799">
                  <c:v>411.95</c:v>
                </c:pt>
                <c:pt idx="800">
                  <c:v>413.7</c:v>
                </c:pt>
                <c:pt idx="801">
                  <c:v>414.06</c:v>
                </c:pt>
                <c:pt idx="802">
                  <c:v>414.8</c:v>
                </c:pt>
                <c:pt idx="803">
                  <c:v>414.83</c:v>
                </c:pt>
                <c:pt idx="804">
                  <c:v>415.3</c:v>
                </c:pt>
                <c:pt idx="805">
                  <c:v>416.96</c:v>
                </c:pt>
                <c:pt idx="806">
                  <c:v>418.51</c:v>
                </c:pt>
                <c:pt idx="807">
                  <c:v>418.62</c:v>
                </c:pt>
                <c:pt idx="808">
                  <c:v>418.83</c:v>
                </c:pt>
                <c:pt idx="809">
                  <c:v>419.13</c:v>
                </c:pt>
                <c:pt idx="810">
                  <c:v>419.53</c:v>
                </c:pt>
                <c:pt idx="811">
                  <c:v>419.98</c:v>
                </c:pt>
                <c:pt idx="812">
                  <c:v>421.5</c:v>
                </c:pt>
                <c:pt idx="813">
                  <c:v>421.95</c:v>
                </c:pt>
                <c:pt idx="814">
                  <c:v>422.09</c:v>
                </c:pt>
                <c:pt idx="815">
                  <c:v>422.31</c:v>
                </c:pt>
                <c:pt idx="816">
                  <c:v>422.92</c:v>
                </c:pt>
                <c:pt idx="817">
                  <c:v>423.23</c:v>
                </c:pt>
                <c:pt idx="818">
                  <c:v>423.92</c:v>
                </c:pt>
                <c:pt idx="819">
                  <c:v>424.18</c:v>
                </c:pt>
                <c:pt idx="820">
                  <c:v>424.27</c:v>
                </c:pt>
                <c:pt idx="821">
                  <c:v>424.39</c:v>
                </c:pt>
                <c:pt idx="822">
                  <c:v>425.18</c:v>
                </c:pt>
                <c:pt idx="823">
                  <c:v>425.21</c:v>
                </c:pt>
                <c:pt idx="824">
                  <c:v>425.69</c:v>
                </c:pt>
                <c:pt idx="825">
                  <c:v>425.82</c:v>
                </c:pt>
                <c:pt idx="826">
                  <c:v>426.21</c:v>
                </c:pt>
                <c:pt idx="827">
                  <c:v>426.22</c:v>
                </c:pt>
                <c:pt idx="828">
                  <c:v>426.87</c:v>
                </c:pt>
                <c:pt idx="829">
                  <c:v>426.89</c:v>
                </c:pt>
                <c:pt idx="830">
                  <c:v>427.1</c:v>
                </c:pt>
                <c:pt idx="831">
                  <c:v>427.48</c:v>
                </c:pt>
                <c:pt idx="832">
                  <c:v>427.82</c:v>
                </c:pt>
                <c:pt idx="833">
                  <c:v>427.86</c:v>
                </c:pt>
                <c:pt idx="834">
                  <c:v>427.94</c:v>
                </c:pt>
                <c:pt idx="835">
                  <c:v>429.24</c:v>
                </c:pt>
                <c:pt idx="836">
                  <c:v>429.24</c:v>
                </c:pt>
                <c:pt idx="837">
                  <c:v>430.75</c:v>
                </c:pt>
                <c:pt idx="838">
                  <c:v>430.75</c:v>
                </c:pt>
                <c:pt idx="839">
                  <c:v>430.9</c:v>
                </c:pt>
                <c:pt idx="840">
                  <c:v>431.78</c:v>
                </c:pt>
                <c:pt idx="841">
                  <c:v>432.42</c:v>
                </c:pt>
                <c:pt idx="842">
                  <c:v>432.84</c:v>
                </c:pt>
                <c:pt idx="843">
                  <c:v>433.14</c:v>
                </c:pt>
                <c:pt idx="844">
                  <c:v>433.82</c:v>
                </c:pt>
                <c:pt idx="845">
                  <c:v>433.99</c:v>
                </c:pt>
                <c:pt idx="846">
                  <c:v>434.86</c:v>
                </c:pt>
                <c:pt idx="847">
                  <c:v>435.23</c:v>
                </c:pt>
                <c:pt idx="848">
                  <c:v>435.37</c:v>
                </c:pt>
                <c:pt idx="849">
                  <c:v>435.52</c:v>
                </c:pt>
                <c:pt idx="850">
                  <c:v>436.54</c:v>
                </c:pt>
                <c:pt idx="851">
                  <c:v>436.57</c:v>
                </c:pt>
                <c:pt idx="852">
                  <c:v>437.06</c:v>
                </c:pt>
                <c:pt idx="853">
                  <c:v>437.3</c:v>
                </c:pt>
                <c:pt idx="854">
                  <c:v>437.4</c:v>
                </c:pt>
                <c:pt idx="855">
                  <c:v>437.59</c:v>
                </c:pt>
                <c:pt idx="856">
                  <c:v>437.97</c:v>
                </c:pt>
                <c:pt idx="857">
                  <c:v>438.26</c:v>
                </c:pt>
                <c:pt idx="858">
                  <c:v>438.42</c:v>
                </c:pt>
                <c:pt idx="859">
                  <c:v>439.24</c:v>
                </c:pt>
                <c:pt idx="860">
                  <c:v>439.31</c:v>
                </c:pt>
                <c:pt idx="861">
                  <c:v>439.91</c:v>
                </c:pt>
                <c:pt idx="862">
                  <c:v>440.62</c:v>
                </c:pt>
                <c:pt idx="863">
                  <c:v>441.15</c:v>
                </c:pt>
                <c:pt idx="864">
                  <c:v>441.73</c:v>
                </c:pt>
                <c:pt idx="865">
                  <c:v>441.87</c:v>
                </c:pt>
                <c:pt idx="866">
                  <c:v>442.15</c:v>
                </c:pt>
                <c:pt idx="867">
                  <c:v>442.18</c:v>
                </c:pt>
                <c:pt idx="868">
                  <c:v>442.29</c:v>
                </c:pt>
                <c:pt idx="869">
                  <c:v>443.11</c:v>
                </c:pt>
                <c:pt idx="870">
                  <c:v>443.52</c:v>
                </c:pt>
                <c:pt idx="871">
                  <c:v>444.05</c:v>
                </c:pt>
                <c:pt idx="872">
                  <c:v>444.87</c:v>
                </c:pt>
                <c:pt idx="873">
                  <c:v>445.34</c:v>
                </c:pt>
                <c:pt idx="874">
                  <c:v>445.93</c:v>
                </c:pt>
                <c:pt idx="875">
                  <c:v>446.03</c:v>
                </c:pt>
                <c:pt idx="876">
                  <c:v>446.11</c:v>
                </c:pt>
                <c:pt idx="877">
                  <c:v>446.69</c:v>
                </c:pt>
                <c:pt idx="878">
                  <c:v>446.86</c:v>
                </c:pt>
                <c:pt idx="879">
                  <c:v>446.92</c:v>
                </c:pt>
                <c:pt idx="880">
                  <c:v>447.53</c:v>
                </c:pt>
                <c:pt idx="881">
                  <c:v>448.68</c:v>
                </c:pt>
                <c:pt idx="882">
                  <c:v>449.13</c:v>
                </c:pt>
                <c:pt idx="883">
                  <c:v>449.18</c:v>
                </c:pt>
                <c:pt idx="884">
                  <c:v>449.72</c:v>
                </c:pt>
                <c:pt idx="885">
                  <c:v>450.47</c:v>
                </c:pt>
                <c:pt idx="886">
                  <c:v>450.52</c:v>
                </c:pt>
                <c:pt idx="887">
                  <c:v>450.66</c:v>
                </c:pt>
                <c:pt idx="888">
                  <c:v>453.37</c:v>
                </c:pt>
                <c:pt idx="889">
                  <c:v>454.15</c:v>
                </c:pt>
                <c:pt idx="890">
                  <c:v>454.36</c:v>
                </c:pt>
                <c:pt idx="891">
                  <c:v>454.38</c:v>
                </c:pt>
                <c:pt idx="892">
                  <c:v>454.39</c:v>
                </c:pt>
                <c:pt idx="893">
                  <c:v>454.57</c:v>
                </c:pt>
                <c:pt idx="894">
                  <c:v>454.93</c:v>
                </c:pt>
                <c:pt idx="895">
                  <c:v>455.44</c:v>
                </c:pt>
                <c:pt idx="896">
                  <c:v>455.55</c:v>
                </c:pt>
                <c:pt idx="897">
                  <c:v>455.81</c:v>
                </c:pt>
                <c:pt idx="898">
                  <c:v>456.83</c:v>
                </c:pt>
                <c:pt idx="899">
                  <c:v>457.18</c:v>
                </c:pt>
                <c:pt idx="900">
                  <c:v>457.39</c:v>
                </c:pt>
                <c:pt idx="901">
                  <c:v>459.3</c:v>
                </c:pt>
                <c:pt idx="902">
                  <c:v>459.39</c:v>
                </c:pt>
                <c:pt idx="903">
                  <c:v>459.51</c:v>
                </c:pt>
                <c:pt idx="904">
                  <c:v>460.37</c:v>
                </c:pt>
                <c:pt idx="905">
                  <c:v>460.88</c:v>
                </c:pt>
                <c:pt idx="906">
                  <c:v>461</c:v>
                </c:pt>
                <c:pt idx="907">
                  <c:v>461.09</c:v>
                </c:pt>
                <c:pt idx="908">
                  <c:v>461.16</c:v>
                </c:pt>
                <c:pt idx="909">
                  <c:v>461.34</c:v>
                </c:pt>
                <c:pt idx="910">
                  <c:v>461.71</c:v>
                </c:pt>
                <c:pt idx="911">
                  <c:v>461.81</c:v>
                </c:pt>
                <c:pt idx="912">
                  <c:v>462.24</c:v>
                </c:pt>
                <c:pt idx="913">
                  <c:v>462.3</c:v>
                </c:pt>
                <c:pt idx="914">
                  <c:v>462.48</c:v>
                </c:pt>
                <c:pt idx="915">
                  <c:v>462.96</c:v>
                </c:pt>
                <c:pt idx="916">
                  <c:v>463.07</c:v>
                </c:pt>
                <c:pt idx="917">
                  <c:v>463.15</c:v>
                </c:pt>
                <c:pt idx="918">
                  <c:v>463.67</c:v>
                </c:pt>
                <c:pt idx="919">
                  <c:v>464.76</c:v>
                </c:pt>
                <c:pt idx="920">
                  <c:v>465.07</c:v>
                </c:pt>
                <c:pt idx="921">
                  <c:v>465.48</c:v>
                </c:pt>
                <c:pt idx="922">
                  <c:v>465.85</c:v>
                </c:pt>
                <c:pt idx="923">
                  <c:v>466.74</c:v>
                </c:pt>
                <c:pt idx="924">
                  <c:v>467.32</c:v>
                </c:pt>
                <c:pt idx="925">
                  <c:v>467.5</c:v>
                </c:pt>
                <c:pt idx="926">
                  <c:v>467.58</c:v>
                </c:pt>
                <c:pt idx="927">
                  <c:v>468.16</c:v>
                </c:pt>
                <c:pt idx="928">
                  <c:v>468.6</c:v>
                </c:pt>
                <c:pt idx="929">
                  <c:v>469.22</c:v>
                </c:pt>
                <c:pt idx="930">
                  <c:v>469.9</c:v>
                </c:pt>
                <c:pt idx="931">
                  <c:v>470.38</c:v>
                </c:pt>
                <c:pt idx="932">
                  <c:v>471.31</c:v>
                </c:pt>
                <c:pt idx="933">
                  <c:v>472.52</c:v>
                </c:pt>
                <c:pt idx="934">
                  <c:v>472.53</c:v>
                </c:pt>
                <c:pt idx="935">
                  <c:v>472.61</c:v>
                </c:pt>
                <c:pt idx="936">
                  <c:v>473.28</c:v>
                </c:pt>
                <c:pt idx="937">
                  <c:v>473.5</c:v>
                </c:pt>
                <c:pt idx="938">
                  <c:v>473.77</c:v>
                </c:pt>
                <c:pt idx="939">
                  <c:v>473.96</c:v>
                </c:pt>
                <c:pt idx="940">
                  <c:v>474.03</c:v>
                </c:pt>
                <c:pt idx="941">
                  <c:v>474.42</c:v>
                </c:pt>
                <c:pt idx="942">
                  <c:v>474.56</c:v>
                </c:pt>
                <c:pt idx="943">
                  <c:v>474.99</c:v>
                </c:pt>
                <c:pt idx="944">
                  <c:v>475.64</c:v>
                </c:pt>
                <c:pt idx="945">
                  <c:v>475.65</c:v>
                </c:pt>
                <c:pt idx="946">
                  <c:v>476.11</c:v>
                </c:pt>
                <c:pt idx="947">
                  <c:v>476.42</c:v>
                </c:pt>
                <c:pt idx="948">
                  <c:v>476.48</c:v>
                </c:pt>
                <c:pt idx="949">
                  <c:v>476.63</c:v>
                </c:pt>
                <c:pt idx="950">
                  <c:v>477.35</c:v>
                </c:pt>
                <c:pt idx="951">
                  <c:v>478.85</c:v>
                </c:pt>
                <c:pt idx="952">
                  <c:v>479.62</c:v>
                </c:pt>
                <c:pt idx="953">
                  <c:v>480.52</c:v>
                </c:pt>
                <c:pt idx="954">
                  <c:v>481.21</c:v>
                </c:pt>
                <c:pt idx="955">
                  <c:v>481.78</c:v>
                </c:pt>
                <c:pt idx="956">
                  <c:v>481.84</c:v>
                </c:pt>
                <c:pt idx="957">
                  <c:v>482.5</c:v>
                </c:pt>
                <c:pt idx="958">
                  <c:v>483.23</c:v>
                </c:pt>
                <c:pt idx="959">
                  <c:v>483.38</c:v>
                </c:pt>
                <c:pt idx="960">
                  <c:v>483.66</c:v>
                </c:pt>
                <c:pt idx="961">
                  <c:v>483.77</c:v>
                </c:pt>
                <c:pt idx="962">
                  <c:v>485.42</c:v>
                </c:pt>
                <c:pt idx="963">
                  <c:v>485.76</c:v>
                </c:pt>
                <c:pt idx="964">
                  <c:v>485.77</c:v>
                </c:pt>
                <c:pt idx="965">
                  <c:v>486.07</c:v>
                </c:pt>
                <c:pt idx="966">
                  <c:v>486.4</c:v>
                </c:pt>
                <c:pt idx="967">
                  <c:v>487.25</c:v>
                </c:pt>
                <c:pt idx="968">
                  <c:v>487.95</c:v>
                </c:pt>
                <c:pt idx="969">
                  <c:v>487.96</c:v>
                </c:pt>
                <c:pt idx="970">
                  <c:v>489.05</c:v>
                </c:pt>
                <c:pt idx="971">
                  <c:v>489.1</c:v>
                </c:pt>
                <c:pt idx="972">
                  <c:v>489.27</c:v>
                </c:pt>
                <c:pt idx="973">
                  <c:v>489.66</c:v>
                </c:pt>
                <c:pt idx="974">
                  <c:v>489.67</c:v>
                </c:pt>
                <c:pt idx="975">
                  <c:v>489.81</c:v>
                </c:pt>
                <c:pt idx="976">
                  <c:v>490.11</c:v>
                </c:pt>
                <c:pt idx="977">
                  <c:v>490.34</c:v>
                </c:pt>
                <c:pt idx="978">
                  <c:v>490.41</c:v>
                </c:pt>
                <c:pt idx="979">
                  <c:v>490.41</c:v>
                </c:pt>
                <c:pt idx="980">
                  <c:v>490.75</c:v>
                </c:pt>
                <c:pt idx="981">
                  <c:v>491.18</c:v>
                </c:pt>
                <c:pt idx="982">
                  <c:v>491.49</c:v>
                </c:pt>
                <c:pt idx="983">
                  <c:v>491.51</c:v>
                </c:pt>
                <c:pt idx="984">
                  <c:v>491.92</c:v>
                </c:pt>
                <c:pt idx="985">
                  <c:v>492.51</c:v>
                </c:pt>
                <c:pt idx="986">
                  <c:v>492.74</c:v>
                </c:pt>
                <c:pt idx="987">
                  <c:v>492.83</c:v>
                </c:pt>
                <c:pt idx="988">
                  <c:v>494.18</c:v>
                </c:pt>
                <c:pt idx="989">
                  <c:v>494.34</c:v>
                </c:pt>
                <c:pt idx="990">
                  <c:v>494.81</c:v>
                </c:pt>
                <c:pt idx="991">
                  <c:v>494.97</c:v>
                </c:pt>
                <c:pt idx="992">
                  <c:v>495.8</c:v>
                </c:pt>
                <c:pt idx="993">
                  <c:v>495.95</c:v>
                </c:pt>
                <c:pt idx="994">
                  <c:v>496.11</c:v>
                </c:pt>
                <c:pt idx="995">
                  <c:v>497.75</c:v>
                </c:pt>
                <c:pt idx="996">
                  <c:v>497.76</c:v>
                </c:pt>
                <c:pt idx="997">
                  <c:v>497.8</c:v>
                </c:pt>
                <c:pt idx="998">
                  <c:v>498.23</c:v>
                </c:pt>
                <c:pt idx="999">
                  <c:v>498.33</c:v>
                </c:pt>
              </c:numCache>
            </c:numRef>
          </c:cat>
          <c:val>
            <c:numRef>
              <c:f>Customers!$C$4:$C$1003</c:f>
              <c:numCache>
                <c:formatCode>General</c:formatCode>
                <c:ptCount val="1000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-100</c:v>
                </c:pt>
                <c:pt idx="27">
                  <c:v>-100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-100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-100</c:v>
                </c:pt>
                <c:pt idx="67">
                  <c:v>-100</c:v>
                </c:pt>
                <c:pt idx="68">
                  <c:v>-100</c:v>
                </c:pt>
                <c:pt idx="69">
                  <c:v>-100</c:v>
                </c:pt>
                <c:pt idx="70">
                  <c:v>-100</c:v>
                </c:pt>
                <c:pt idx="71">
                  <c:v>-100</c:v>
                </c:pt>
                <c:pt idx="72">
                  <c:v>-100</c:v>
                </c:pt>
                <c:pt idx="73">
                  <c:v>-100</c:v>
                </c:pt>
                <c:pt idx="74">
                  <c:v>-100</c:v>
                </c:pt>
                <c:pt idx="75">
                  <c:v>-100</c:v>
                </c:pt>
                <c:pt idx="76">
                  <c:v>-100</c:v>
                </c:pt>
                <c:pt idx="77">
                  <c:v>-100</c:v>
                </c:pt>
                <c:pt idx="78">
                  <c:v>-100</c:v>
                </c:pt>
                <c:pt idx="79">
                  <c:v>-100</c:v>
                </c:pt>
                <c:pt idx="80">
                  <c:v>-100</c:v>
                </c:pt>
                <c:pt idx="81">
                  <c:v>-100</c:v>
                </c:pt>
                <c:pt idx="82">
                  <c:v>-100</c:v>
                </c:pt>
                <c:pt idx="83">
                  <c:v>-100</c:v>
                </c:pt>
                <c:pt idx="84">
                  <c:v>-100</c:v>
                </c:pt>
                <c:pt idx="85">
                  <c:v>-100</c:v>
                </c:pt>
                <c:pt idx="86">
                  <c:v>-100</c:v>
                </c:pt>
                <c:pt idx="87">
                  <c:v>-100</c:v>
                </c:pt>
                <c:pt idx="88">
                  <c:v>-100</c:v>
                </c:pt>
                <c:pt idx="89">
                  <c:v>-100</c:v>
                </c:pt>
                <c:pt idx="90">
                  <c:v>-100</c:v>
                </c:pt>
                <c:pt idx="91">
                  <c:v>-100</c:v>
                </c:pt>
                <c:pt idx="92">
                  <c:v>-100</c:v>
                </c:pt>
                <c:pt idx="93">
                  <c:v>-100</c:v>
                </c:pt>
                <c:pt idx="94">
                  <c:v>-100</c:v>
                </c:pt>
                <c:pt idx="95">
                  <c:v>-100</c:v>
                </c:pt>
                <c:pt idx="96">
                  <c:v>-100</c:v>
                </c:pt>
                <c:pt idx="97">
                  <c:v>-100</c:v>
                </c:pt>
                <c:pt idx="98">
                  <c:v>-100</c:v>
                </c:pt>
                <c:pt idx="99">
                  <c:v>-100</c:v>
                </c:pt>
                <c:pt idx="100">
                  <c:v>-100</c:v>
                </c:pt>
                <c:pt idx="101">
                  <c:v>-100</c:v>
                </c:pt>
                <c:pt idx="102">
                  <c:v>-100</c:v>
                </c:pt>
                <c:pt idx="103">
                  <c:v>-100</c:v>
                </c:pt>
                <c:pt idx="104">
                  <c:v>-100</c:v>
                </c:pt>
                <c:pt idx="105">
                  <c:v>-100</c:v>
                </c:pt>
                <c:pt idx="106">
                  <c:v>-100</c:v>
                </c:pt>
                <c:pt idx="107">
                  <c:v>-100</c:v>
                </c:pt>
                <c:pt idx="108">
                  <c:v>-100</c:v>
                </c:pt>
                <c:pt idx="109">
                  <c:v>-100</c:v>
                </c:pt>
                <c:pt idx="110">
                  <c:v>-100</c:v>
                </c:pt>
                <c:pt idx="111">
                  <c:v>-100</c:v>
                </c:pt>
                <c:pt idx="112">
                  <c:v>-100</c:v>
                </c:pt>
                <c:pt idx="113">
                  <c:v>-100</c:v>
                </c:pt>
                <c:pt idx="114">
                  <c:v>-100</c:v>
                </c:pt>
                <c:pt idx="115">
                  <c:v>-100</c:v>
                </c:pt>
                <c:pt idx="116">
                  <c:v>-100</c:v>
                </c:pt>
                <c:pt idx="117">
                  <c:v>-100</c:v>
                </c:pt>
                <c:pt idx="118">
                  <c:v>-100</c:v>
                </c:pt>
                <c:pt idx="119">
                  <c:v>-100</c:v>
                </c:pt>
                <c:pt idx="120">
                  <c:v>-100</c:v>
                </c:pt>
                <c:pt idx="121">
                  <c:v>-100</c:v>
                </c:pt>
                <c:pt idx="122">
                  <c:v>-100</c:v>
                </c:pt>
                <c:pt idx="123">
                  <c:v>-100</c:v>
                </c:pt>
                <c:pt idx="124">
                  <c:v>-100</c:v>
                </c:pt>
                <c:pt idx="125">
                  <c:v>-100</c:v>
                </c:pt>
                <c:pt idx="126">
                  <c:v>-100</c:v>
                </c:pt>
                <c:pt idx="127">
                  <c:v>-100</c:v>
                </c:pt>
                <c:pt idx="128">
                  <c:v>-100</c:v>
                </c:pt>
                <c:pt idx="129">
                  <c:v>-100</c:v>
                </c:pt>
                <c:pt idx="130">
                  <c:v>-100</c:v>
                </c:pt>
                <c:pt idx="131">
                  <c:v>-100</c:v>
                </c:pt>
                <c:pt idx="132">
                  <c:v>-100</c:v>
                </c:pt>
                <c:pt idx="133">
                  <c:v>-100</c:v>
                </c:pt>
                <c:pt idx="134">
                  <c:v>-100</c:v>
                </c:pt>
                <c:pt idx="135">
                  <c:v>-100</c:v>
                </c:pt>
                <c:pt idx="136">
                  <c:v>-100</c:v>
                </c:pt>
                <c:pt idx="137">
                  <c:v>-100</c:v>
                </c:pt>
                <c:pt idx="138">
                  <c:v>-100</c:v>
                </c:pt>
                <c:pt idx="139">
                  <c:v>-100</c:v>
                </c:pt>
                <c:pt idx="140">
                  <c:v>-100</c:v>
                </c:pt>
                <c:pt idx="141">
                  <c:v>-100</c:v>
                </c:pt>
                <c:pt idx="142">
                  <c:v>-100</c:v>
                </c:pt>
                <c:pt idx="143">
                  <c:v>-100</c:v>
                </c:pt>
                <c:pt idx="144">
                  <c:v>-100</c:v>
                </c:pt>
                <c:pt idx="145">
                  <c:v>-100</c:v>
                </c:pt>
                <c:pt idx="146">
                  <c:v>-100</c:v>
                </c:pt>
                <c:pt idx="147">
                  <c:v>-100</c:v>
                </c:pt>
                <c:pt idx="148">
                  <c:v>-100</c:v>
                </c:pt>
                <c:pt idx="149">
                  <c:v>-100</c:v>
                </c:pt>
                <c:pt idx="150">
                  <c:v>-100</c:v>
                </c:pt>
                <c:pt idx="151">
                  <c:v>-100</c:v>
                </c:pt>
                <c:pt idx="152">
                  <c:v>-100</c:v>
                </c:pt>
                <c:pt idx="153">
                  <c:v>-100</c:v>
                </c:pt>
                <c:pt idx="154">
                  <c:v>-100</c:v>
                </c:pt>
                <c:pt idx="155">
                  <c:v>-100</c:v>
                </c:pt>
                <c:pt idx="156">
                  <c:v>-100</c:v>
                </c:pt>
                <c:pt idx="157">
                  <c:v>-100</c:v>
                </c:pt>
                <c:pt idx="158">
                  <c:v>-100</c:v>
                </c:pt>
                <c:pt idx="159">
                  <c:v>-100</c:v>
                </c:pt>
                <c:pt idx="160">
                  <c:v>-100</c:v>
                </c:pt>
                <c:pt idx="161">
                  <c:v>-100</c:v>
                </c:pt>
                <c:pt idx="162">
                  <c:v>-100</c:v>
                </c:pt>
                <c:pt idx="163">
                  <c:v>-100</c:v>
                </c:pt>
                <c:pt idx="164">
                  <c:v>-100</c:v>
                </c:pt>
                <c:pt idx="165">
                  <c:v>-100</c:v>
                </c:pt>
                <c:pt idx="166">
                  <c:v>-100</c:v>
                </c:pt>
                <c:pt idx="167">
                  <c:v>-100</c:v>
                </c:pt>
                <c:pt idx="168">
                  <c:v>-100</c:v>
                </c:pt>
                <c:pt idx="169">
                  <c:v>-100</c:v>
                </c:pt>
                <c:pt idx="170">
                  <c:v>-100</c:v>
                </c:pt>
                <c:pt idx="171">
                  <c:v>-100</c:v>
                </c:pt>
                <c:pt idx="172">
                  <c:v>-100</c:v>
                </c:pt>
                <c:pt idx="173">
                  <c:v>-100</c:v>
                </c:pt>
                <c:pt idx="174">
                  <c:v>-100</c:v>
                </c:pt>
                <c:pt idx="175">
                  <c:v>-100</c:v>
                </c:pt>
                <c:pt idx="176">
                  <c:v>-100</c:v>
                </c:pt>
                <c:pt idx="177">
                  <c:v>-100</c:v>
                </c:pt>
                <c:pt idx="178">
                  <c:v>-100</c:v>
                </c:pt>
                <c:pt idx="179">
                  <c:v>-100</c:v>
                </c:pt>
                <c:pt idx="180">
                  <c:v>-100</c:v>
                </c:pt>
                <c:pt idx="181">
                  <c:v>-100</c:v>
                </c:pt>
                <c:pt idx="182">
                  <c:v>-100</c:v>
                </c:pt>
                <c:pt idx="183">
                  <c:v>-100</c:v>
                </c:pt>
                <c:pt idx="184">
                  <c:v>-100</c:v>
                </c:pt>
                <c:pt idx="185">
                  <c:v>-100</c:v>
                </c:pt>
                <c:pt idx="186">
                  <c:v>-100</c:v>
                </c:pt>
                <c:pt idx="187">
                  <c:v>-100</c:v>
                </c:pt>
                <c:pt idx="188">
                  <c:v>-100</c:v>
                </c:pt>
                <c:pt idx="189">
                  <c:v>-100</c:v>
                </c:pt>
                <c:pt idx="190">
                  <c:v>-100</c:v>
                </c:pt>
                <c:pt idx="191">
                  <c:v>-100</c:v>
                </c:pt>
                <c:pt idx="192">
                  <c:v>-100</c:v>
                </c:pt>
                <c:pt idx="193">
                  <c:v>-100</c:v>
                </c:pt>
                <c:pt idx="194">
                  <c:v>-100</c:v>
                </c:pt>
                <c:pt idx="195">
                  <c:v>-100</c:v>
                </c:pt>
                <c:pt idx="196">
                  <c:v>-100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  <c:pt idx="200">
                  <c:v>-100</c:v>
                </c:pt>
                <c:pt idx="201">
                  <c:v>-100</c:v>
                </c:pt>
                <c:pt idx="202">
                  <c:v>-100</c:v>
                </c:pt>
                <c:pt idx="203">
                  <c:v>-100</c:v>
                </c:pt>
                <c:pt idx="204">
                  <c:v>-100</c:v>
                </c:pt>
                <c:pt idx="205">
                  <c:v>-100</c:v>
                </c:pt>
                <c:pt idx="206">
                  <c:v>-100</c:v>
                </c:pt>
                <c:pt idx="207">
                  <c:v>-100</c:v>
                </c:pt>
                <c:pt idx="208">
                  <c:v>-100</c:v>
                </c:pt>
                <c:pt idx="209">
                  <c:v>-100</c:v>
                </c:pt>
                <c:pt idx="210">
                  <c:v>-100</c:v>
                </c:pt>
                <c:pt idx="211">
                  <c:v>-100</c:v>
                </c:pt>
                <c:pt idx="212">
                  <c:v>-100</c:v>
                </c:pt>
                <c:pt idx="213">
                  <c:v>-100</c:v>
                </c:pt>
                <c:pt idx="214">
                  <c:v>-100</c:v>
                </c:pt>
                <c:pt idx="215">
                  <c:v>-100</c:v>
                </c:pt>
                <c:pt idx="216">
                  <c:v>-100</c:v>
                </c:pt>
                <c:pt idx="217">
                  <c:v>-100</c:v>
                </c:pt>
                <c:pt idx="218">
                  <c:v>-100</c:v>
                </c:pt>
                <c:pt idx="219">
                  <c:v>-100</c:v>
                </c:pt>
                <c:pt idx="220">
                  <c:v>-100</c:v>
                </c:pt>
                <c:pt idx="221">
                  <c:v>-100</c:v>
                </c:pt>
                <c:pt idx="222">
                  <c:v>-100</c:v>
                </c:pt>
                <c:pt idx="223">
                  <c:v>-100</c:v>
                </c:pt>
                <c:pt idx="224">
                  <c:v>-100</c:v>
                </c:pt>
                <c:pt idx="225">
                  <c:v>-100</c:v>
                </c:pt>
                <c:pt idx="226">
                  <c:v>-100</c:v>
                </c:pt>
                <c:pt idx="227">
                  <c:v>-100</c:v>
                </c:pt>
                <c:pt idx="228">
                  <c:v>-100</c:v>
                </c:pt>
                <c:pt idx="229">
                  <c:v>-100</c:v>
                </c:pt>
                <c:pt idx="230">
                  <c:v>-100</c:v>
                </c:pt>
                <c:pt idx="231">
                  <c:v>-100</c:v>
                </c:pt>
                <c:pt idx="232">
                  <c:v>-100</c:v>
                </c:pt>
                <c:pt idx="233">
                  <c:v>-100</c:v>
                </c:pt>
                <c:pt idx="234">
                  <c:v>-100</c:v>
                </c:pt>
                <c:pt idx="235">
                  <c:v>-100</c:v>
                </c:pt>
                <c:pt idx="236">
                  <c:v>-100</c:v>
                </c:pt>
                <c:pt idx="237">
                  <c:v>-100</c:v>
                </c:pt>
                <c:pt idx="238">
                  <c:v>-100</c:v>
                </c:pt>
                <c:pt idx="239">
                  <c:v>-100</c:v>
                </c:pt>
                <c:pt idx="240">
                  <c:v>-100</c:v>
                </c:pt>
                <c:pt idx="241">
                  <c:v>-100</c:v>
                </c:pt>
                <c:pt idx="242">
                  <c:v>-100</c:v>
                </c:pt>
                <c:pt idx="243">
                  <c:v>-100</c:v>
                </c:pt>
                <c:pt idx="244">
                  <c:v>-100</c:v>
                </c:pt>
                <c:pt idx="245">
                  <c:v>-100</c:v>
                </c:pt>
                <c:pt idx="246">
                  <c:v>-100</c:v>
                </c:pt>
                <c:pt idx="247">
                  <c:v>-100</c:v>
                </c:pt>
                <c:pt idx="248">
                  <c:v>-100</c:v>
                </c:pt>
                <c:pt idx="249">
                  <c:v>-100</c:v>
                </c:pt>
                <c:pt idx="250">
                  <c:v>-100</c:v>
                </c:pt>
                <c:pt idx="251">
                  <c:v>-100</c:v>
                </c:pt>
                <c:pt idx="252">
                  <c:v>-100</c:v>
                </c:pt>
                <c:pt idx="253">
                  <c:v>-100</c:v>
                </c:pt>
                <c:pt idx="254">
                  <c:v>-100</c:v>
                </c:pt>
                <c:pt idx="255">
                  <c:v>-100</c:v>
                </c:pt>
                <c:pt idx="256">
                  <c:v>-100</c:v>
                </c:pt>
                <c:pt idx="257">
                  <c:v>-100</c:v>
                </c:pt>
                <c:pt idx="258">
                  <c:v>-100</c:v>
                </c:pt>
                <c:pt idx="259">
                  <c:v>-100</c:v>
                </c:pt>
                <c:pt idx="260">
                  <c:v>-100</c:v>
                </c:pt>
                <c:pt idx="261">
                  <c:v>-100</c:v>
                </c:pt>
                <c:pt idx="262">
                  <c:v>-100</c:v>
                </c:pt>
                <c:pt idx="263">
                  <c:v>-100</c:v>
                </c:pt>
                <c:pt idx="264">
                  <c:v>-100</c:v>
                </c:pt>
                <c:pt idx="265">
                  <c:v>-100</c:v>
                </c:pt>
                <c:pt idx="266">
                  <c:v>-100</c:v>
                </c:pt>
                <c:pt idx="267">
                  <c:v>-100</c:v>
                </c:pt>
                <c:pt idx="268">
                  <c:v>-100</c:v>
                </c:pt>
                <c:pt idx="269">
                  <c:v>-100</c:v>
                </c:pt>
                <c:pt idx="270">
                  <c:v>-100</c:v>
                </c:pt>
                <c:pt idx="271">
                  <c:v>-100</c:v>
                </c:pt>
                <c:pt idx="272">
                  <c:v>-100</c:v>
                </c:pt>
                <c:pt idx="273">
                  <c:v>-100</c:v>
                </c:pt>
                <c:pt idx="274">
                  <c:v>-100</c:v>
                </c:pt>
                <c:pt idx="275">
                  <c:v>-100</c:v>
                </c:pt>
                <c:pt idx="276">
                  <c:v>-100</c:v>
                </c:pt>
                <c:pt idx="277">
                  <c:v>-100</c:v>
                </c:pt>
                <c:pt idx="278">
                  <c:v>-100</c:v>
                </c:pt>
                <c:pt idx="279">
                  <c:v>-100</c:v>
                </c:pt>
                <c:pt idx="280">
                  <c:v>-100</c:v>
                </c:pt>
                <c:pt idx="281">
                  <c:v>-100</c:v>
                </c:pt>
                <c:pt idx="282">
                  <c:v>-100</c:v>
                </c:pt>
                <c:pt idx="283">
                  <c:v>-100</c:v>
                </c:pt>
                <c:pt idx="284">
                  <c:v>-100</c:v>
                </c:pt>
                <c:pt idx="285">
                  <c:v>-100</c:v>
                </c:pt>
                <c:pt idx="286">
                  <c:v>-100</c:v>
                </c:pt>
                <c:pt idx="287">
                  <c:v>-100</c:v>
                </c:pt>
                <c:pt idx="288">
                  <c:v>-100</c:v>
                </c:pt>
                <c:pt idx="289">
                  <c:v>-100</c:v>
                </c:pt>
                <c:pt idx="290">
                  <c:v>-100</c:v>
                </c:pt>
                <c:pt idx="291">
                  <c:v>-100</c:v>
                </c:pt>
                <c:pt idx="292">
                  <c:v>-100</c:v>
                </c:pt>
                <c:pt idx="293">
                  <c:v>-100</c:v>
                </c:pt>
                <c:pt idx="294">
                  <c:v>-100</c:v>
                </c:pt>
                <c:pt idx="295">
                  <c:v>-100</c:v>
                </c:pt>
                <c:pt idx="296">
                  <c:v>-100</c:v>
                </c:pt>
                <c:pt idx="297">
                  <c:v>-100</c:v>
                </c:pt>
                <c:pt idx="298">
                  <c:v>-100</c:v>
                </c:pt>
                <c:pt idx="299">
                  <c:v>-100</c:v>
                </c:pt>
                <c:pt idx="300">
                  <c:v>-100</c:v>
                </c:pt>
                <c:pt idx="301">
                  <c:v>-100</c:v>
                </c:pt>
                <c:pt idx="302">
                  <c:v>-100</c:v>
                </c:pt>
                <c:pt idx="303">
                  <c:v>-100</c:v>
                </c:pt>
                <c:pt idx="304">
                  <c:v>-100</c:v>
                </c:pt>
                <c:pt idx="305">
                  <c:v>-100</c:v>
                </c:pt>
                <c:pt idx="306">
                  <c:v>-100</c:v>
                </c:pt>
                <c:pt idx="307">
                  <c:v>-100</c:v>
                </c:pt>
                <c:pt idx="308">
                  <c:v>-100</c:v>
                </c:pt>
                <c:pt idx="309">
                  <c:v>-100</c:v>
                </c:pt>
                <c:pt idx="310">
                  <c:v>-100</c:v>
                </c:pt>
                <c:pt idx="311">
                  <c:v>-100</c:v>
                </c:pt>
                <c:pt idx="312">
                  <c:v>-100</c:v>
                </c:pt>
                <c:pt idx="313">
                  <c:v>-100</c:v>
                </c:pt>
                <c:pt idx="314">
                  <c:v>-100</c:v>
                </c:pt>
                <c:pt idx="315">
                  <c:v>-100</c:v>
                </c:pt>
                <c:pt idx="316">
                  <c:v>-100</c:v>
                </c:pt>
                <c:pt idx="317">
                  <c:v>-100</c:v>
                </c:pt>
                <c:pt idx="318">
                  <c:v>-100</c:v>
                </c:pt>
                <c:pt idx="319">
                  <c:v>-100</c:v>
                </c:pt>
                <c:pt idx="320">
                  <c:v>-100</c:v>
                </c:pt>
                <c:pt idx="321">
                  <c:v>-100</c:v>
                </c:pt>
                <c:pt idx="322">
                  <c:v>-100</c:v>
                </c:pt>
                <c:pt idx="323">
                  <c:v>-100</c:v>
                </c:pt>
                <c:pt idx="324">
                  <c:v>-100</c:v>
                </c:pt>
                <c:pt idx="325">
                  <c:v>-100</c:v>
                </c:pt>
                <c:pt idx="326">
                  <c:v>-100</c:v>
                </c:pt>
                <c:pt idx="327">
                  <c:v>-100</c:v>
                </c:pt>
                <c:pt idx="328">
                  <c:v>-100</c:v>
                </c:pt>
                <c:pt idx="329">
                  <c:v>-100</c:v>
                </c:pt>
                <c:pt idx="330">
                  <c:v>-100</c:v>
                </c:pt>
                <c:pt idx="331">
                  <c:v>-100</c:v>
                </c:pt>
                <c:pt idx="332">
                  <c:v>-100</c:v>
                </c:pt>
                <c:pt idx="333">
                  <c:v>-100</c:v>
                </c:pt>
                <c:pt idx="334">
                  <c:v>-100</c:v>
                </c:pt>
                <c:pt idx="335">
                  <c:v>-100</c:v>
                </c:pt>
                <c:pt idx="336">
                  <c:v>-100</c:v>
                </c:pt>
                <c:pt idx="337">
                  <c:v>-100</c:v>
                </c:pt>
                <c:pt idx="338">
                  <c:v>-100</c:v>
                </c:pt>
                <c:pt idx="339">
                  <c:v>-100</c:v>
                </c:pt>
                <c:pt idx="340">
                  <c:v>-100</c:v>
                </c:pt>
                <c:pt idx="341">
                  <c:v>-100</c:v>
                </c:pt>
                <c:pt idx="342">
                  <c:v>-100</c:v>
                </c:pt>
                <c:pt idx="343">
                  <c:v>-100</c:v>
                </c:pt>
                <c:pt idx="344">
                  <c:v>-100</c:v>
                </c:pt>
                <c:pt idx="345">
                  <c:v>-100</c:v>
                </c:pt>
                <c:pt idx="346">
                  <c:v>-100</c:v>
                </c:pt>
                <c:pt idx="347">
                  <c:v>-100</c:v>
                </c:pt>
                <c:pt idx="348">
                  <c:v>-100</c:v>
                </c:pt>
                <c:pt idx="349">
                  <c:v>-100</c:v>
                </c:pt>
                <c:pt idx="350">
                  <c:v>-100</c:v>
                </c:pt>
                <c:pt idx="351">
                  <c:v>-100</c:v>
                </c:pt>
                <c:pt idx="352">
                  <c:v>-100</c:v>
                </c:pt>
                <c:pt idx="353">
                  <c:v>-100</c:v>
                </c:pt>
                <c:pt idx="354">
                  <c:v>-100</c:v>
                </c:pt>
                <c:pt idx="355">
                  <c:v>-100</c:v>
                </c:pt>
                <c:pt idx="356">
                  <c:v>-100</c:v>
                </c:pt>
                <c:pt idx="357">
                  <c:v>-100</c:v>
                </c:pt>
                <c:pt idx="358">
                  <c:v>-100</c:v>
                </c:pt>
                <c:pt idx="359">
                  <c:v>-100</c:v>
                </c:pt>
                <c:pt idx="360">
                  <c:v>-100</c:v>
                </c:pt>
                <c:pt idx="361">
                  <c:v>-100</c:v>
                </c:pt>
                <c:pt idx="362">
                  <c:v>-100</c:v>
                </c:pt>
                <c:pt idx="363">
                  <c:v>-100</c:v>
                </c:pt>
                <c:pt idx="364">
                  <c:v>-100</c:v>
                </c:pt>
                <c:pt idx="365">
                  <c:v>-100</c:v>
                </c:pt>
                <c:pt idx="366">
                  <c:v>-100</c:v>
                </c:pt>
                <c:pt idx="367">
                  <c:v>-100</c:v>
                </c:pt>
                <c:pt idx="368">
                  <c:v>-100</c:v>
                </c:pt>
                <c:pt idx="369">
                  <c:v>-100</c:v>
                </c:pt>
                <c:pt idx="370">
                  <c:v>-100</c:v>
                </c:pt>
                <c:pt idx="371">
                  <c:v>-100</c:v>
                </c:pt>
                <c:pt idx="372">
                  <c:v>-100</c:v>
                </c:pt>
                <c:pt idx="373">
                  <c:v>-100</c:v>
                </c:pt>
                <c:pt idx="374">
                  <c:v>-100</c:v>
                </c:pt>
                <c:pt idx="375">
                  <c:v>-100</c:v>
                </c:pt>
                <c:pt idx="376">
                  <c:v>-100</c:v>
                </c:pt>
                <c:pt idx="377">
                  <c:v>-100</c:v>
                </c:pt>
                <c:pt idx="378">
                  <c:v>-100</c:v>
                </c:pt>
                <c:pt idx="379">
                  <c:v>-100</c:v>
                </c:pt>
                <c:pt idx="380">
                  <c:v>-100</c:v>
                </c:pt>
                <c:pt idx="381">
                  <c:v>-100</c:v>
                </c:pt>
                <c:pt idx="382">
                  <c:v>-100</c:v>
                </c:pt>
                <c:pt idx="383">
                  <c:v>-100</c:v>
                </c:pt>
                <c:pt idx="384">
                  <c:v>-100</c:v>
                </c:pt>
                <c:pt idx="385">
                  <c:v>-100</c:v>
                </c:pt>
                <c:pt idx="386">
                  <c:v>-100</c:v>
                </c:pt>
                <c:pt idx="387">
                  <c:v>-100</c:v>
                </c:pt>
                <c:pt idx="388">
                  <c:v>-100</c:v>
                </c:pt>
                <c:pt idx="389">
                  <c:v>-100</c:v>
                </c:pt>
                <c:pt idx="390">
                  <c:v>-100</c:v>
                </c:pt>
                <c:pt idx="391">
                  <c:v>-100</c:v>
                </c:pt>
                <c:pt idx="392">
                  <c:v>-100</c:v>
                </c:pt>
                <c:pt idx="393">
                  <c:v>-100</c:v>
                </c:pt>
                <c:pt idx="394">
                  <c:v>-100</c:v>
                </c:pt>
                <c:pt idx="395">
                  <c:v>-100</c:v>
                </c:pt>
                <c:pt idx="396">
                  <c:v>-100</c:v>
                </c:pt>
                <c:pt idx="397">
                  <c:v>-100</c:v>
                </c:pt>
                <c:pt idx="398">
                  <c:v>-100</c:v>
                </c:pt>
                <c:pt idx="399">
                  <c:v>-100</c:v>
                </c:pt>
                <c:pt idx="400">
                  <c:v>-100</c:v>
                </c:pt>
                <c:pt idx="401">
                  <c:v>-100</c:v>
                </c:pt>
                <c:pt idx="402">
                  <c:v>-100</c:v>
                </c:pt>
                <c:pt idx="403">
                  <c:v>-100</c:v>
                </c:pt>
                <c:pt idx="404">
                  <c:v>-100</c:v>
                </c:pt>
                <c:pt idx="405">
                  <c:v>-100</c:v>
                </c:pt>
                <c:pt idx="406">
                  <c:v>-100</c:v>
                </c:pt>
                <c:pt idx="407">
                  <c:v>-100</c:v>
                </c:pt>
                <c:pt idx="408">
                  <c:v>-100</c:v>
                </c:pt>
                <c:pt idx="409">
                  <c:v>-100</c:v>
                </c:pt>
                <c:pt idx="410">
                  <c:v>-100</c:v>
                </c:pt>
                <c:pt idx="411">
                  <c:v>-100</c:v>
                </c:pt>
                <c:pt idx="412">
                  <c:v>-100</c:v>
                </c:pt>
                <c:pt idx="413">
                  <c:v>-100</c:v>
                </c:pt>
                <c:pt idx="414">
                  <c:v>-100</c:v>
                </c:pt>
                <c:pt idx="415">
                  <c:v>-100</c:v>
                </c:pt>
                <c:pt idx="416">
                  <c:v>-100</c:v>
                </c:pt>
                <c:pt idx="417">
                  <c:v>-100</c:v>
                </c:pt>
                <c:pt idx="418">
                  <c:v>-100</c:v>
                </c:pt>
                <c:pt idx="419">
                  <c:v>-100</c:v>
                </c:pt>
                <c:pt idx="420">
                  <c:v>-100</c:v>
                </c:pt>
                <c:pt idx="421">
                  <c:v>-100</c:v>
                </c:pt>
                <c:pt idx="422">
                  <c:v>-100</c:v>
                </c:pt>
                <c:pt idx="423">
                  <c:v>-100</c:v>
                </c:pt>
                <c:pt idx="424">
                  <c:v>-100</c:v>
                </c:pt>
                <c:pt idx="425">
                  <c:v>-100</c:v>
                </c:pt>
                <c:pt idx="426">
                  <c:v>-100</c:v>
                </c:pt>
                <c:pt idx="427">
                  <c:v>-100</c:v>
                </c:pt>
                <c:pt idx="428">
                  <c:v>-100</c:v>
                </c:pt>
                <c:pt idx="429">
                  <c:v>-100</c:v>
                </c:pt>
                <c:pt idx="430">
                  <c:v>-100</c:v>
                </c:pt>
                <c:pt idx="431">
                  <c:v>-100</c:v>
                </c:pt>
                <c:pt idx="432">
                  <c:v>-100</c:v>
                </c:pt>
                <c:pt idx="433">
                  <c:v>-100</c:v>
                </c:pt>
                <c:pt idx="434">
                  <c:v>-100</c:v>
                </c:pt>
                <c:pt idx="435">
                  <c:v>-100</c:v>
                </c:pt>
                <c:pt idx="436">
                  <c:v>-100</c:v>
                </c:pt>
                <c:pt idx="437">
                  <c:v>-100</c:v>
                </c:pt>
                <c:pt idx="438">
                  <c:v>-100</c:v>
                </c:pt>
                <c:pt idx="439">
                  <c:v>-100</c:v>
                </c:pt>
                <c:pt idx="440">
                  <c:v>-100</c:v>
                </c:pt>
                <c:pt idx="441">
                  <c:v>-100</c:v>
                </c:pt>
                <c:pt idx="442">
                  <c:v>-100</c:v>
                </c:pt>
                <c:pt idx="443">
                  <c:v>-100</c:v>
                </c:pt>
                <c:pt idx="444">
                  <c:v>-100</c:v>
                </c:pt>
                <c:pt idx="445">
                  <c:v>-100</c:v>
                </c:pt>
                <c:pt idx="446">
                  <c:v>-100</c:v>
                </c:pt>
                <c:pt idx="447">
                  <c:v>-100</c:v>
                </c:pt>
                <c:pt idx="448">
                  <c:v>-100</c:v>
                </c:pt>
                <c:pt idx="449">
                  <c:v>-100</c:v>
                </c:pt>
                <c:pt idx="450">
                  <c:v>-100</c:v>
                </c:pt>
                <c:pt idx="451">
                  <c:v>-100</c:v>
                </c:pt>
                <c:pt idx="452">
                  <c:v>-100</c:v>
                </c:pt>
                <c:pt idx="453">
                  <c:v>-100</c:v>
                </c:pt>
                <c:pt idx="454">
                  <c:v>-100</c:v>
                </c:pt>
                <c:pt idx="455">
                  <c:v>-100</c:v>
                </c:pt>
                <c:pt idx="456">
                  <c:v>-100</c:v>
                </c:pt>
                <c:pt idx="457">
                  <c:v>-100</c:v>
                </c:pt>
                <c:pt idx="458">
                  <c:v>-100</c:v>
                </c:pt>
                <c:pt idx="459">
                  <c:v>-100</c:v>
                </c:pt>
                <c:pt idx="460">
                  <c:v>-100</c:v>
                </c:pt>
                <c:pt idx="461">
                  <c:v>-100</c:v>
                </c:pt>
                <c:pt idx="462">
                  <c:v>-100</c:v>
                </c:pt>
                <c:pt idx="463">
                  <c:v>-100</c:v>
                </c:pt>
                <c:pt idx="464">
                  <c:v>-100</c:v>
                </c:pt>
                <c:pt idx="465">
                  <c:v>-100</c:v>
                </c:pt>
                <c:pt idx="466">
                  <c:v>-100</c:v>
                </c:pt>
                <c:pt idx="467">
                  <c:v>-100</c:v>
                </c:pt>
                <c:pt idx="468">
                  <c:v>-100</c:v>
                </c:pt>
                <c:pt idx="469">
                  <c:v>-100</c:v>
                </c:pt>
                <c:pt idx="470">
                  <c:v>-100</c:v>
                </c:pt>
                <c:pt idx="471">
                  <c:v>-100</c:v>
                </c:pt>
                <c:pt idx="472">
                  <c:v>-100</c:v>
                </c:pt>
                <c:pt idx="473">
                  <c:v>-100</c:v>
                </c:pt>
                <c:pt idx="474">
                  <c:v>-100</c:v>
                </c:pt>
                <c:pt idx="475">
                  <c:v>-100</c:v>
                </c:pt>
                <c:pt idx="476">
                  <c:v>-100</c:v>
                </c:pt>
                <c:pt idx="477">
                  <c:v>-100</c:v>
                </c:pt>
                <c:pt idx="478">
                  <c:v>-100</c:v>
                </c:pt>
                <c:pt idx="479">
                  <c:v>-100</c:v>
                </c:pt>
                <c:pt idx="480">
                  <c:v>-100</c:v>
                </c:pt>
                <c:pt idx="481">
                  <c:v>-100</c:v>
                </c:pt>
                <c:pt idx="482">
                  <c:v>-100</c:v>
                </c:pt>
                <c:pt idx="483">
                  <c:v>-100</c:v>
                </c:pt>
                <c:pt idx="484">
                  <c:v>-100</c:v>
                </c:pt>
                <c:pt idx="485">
                  <c:v>-100</c:v>
                </c:pt>
                <c:pt idx="486">
                  <c:v>-100</c:v>
                </c:pt>
                <c:pt idx="487">
                  <c:v>-100</c:v>
                </c:pt>
                <c:pt idx="488">
                  <c:v>-100</c:v>
                </c:pt>
                <c:pt idx="489">
                  <c:v>-100</c:v>
                </c:pt>
                <c:pt idx="490">
                  <c:v>-100</c:v>
                </c:pt>
                <c:pt idx="491">
                  <c:v>-100</c:v>
                </c:pt>
                <c:pt idx="492">
                  <c:v>-100</c:v>
                </c:pt>
                <c:pt idx="493">
                  <c:v>-100</c:v>
                </c:pt>
                <c:pt idx="494">
                  <c:v>-100</c:v>
                </c:pt>
                <c:pt idx="495">
                  <c:v>-100</c:v>
                </c:pt>
                <c:pt idx="496">
                  <c:v>-100</c:v>
                </c:pt>
                <c:pt idx="497">
                  <c:v>-100</c:v>
                </c:pt>
                <c:pt idx="498">
                  <c:v>-100</c:v>
                </c:pt>
                <c:pt idx="499">
                  <c:v>-100</c:v>
                </c:pt>
                <c:pt idx="500">
                  <c:v>-100</c:v>
                </c:pt>
                <c:pt idx="501">
                  <c:v>-100</c:v>
                </c:pt>
                <c:pt idx="502">
                  <c:v>-100</c:v>
                </c:pt>
                <c:pt idx="503">
                  <c:v>-100</c:v>
                </c:pt>
                <c:pt idx="504">
                  <c:v>-100</c:v>
                </c:pt>
                <c:pt idx="505">
                  <c:v>-100</c:v>
                </c:pt>
                <c:pt idx="506">
                  <c:v>-100</c:v>
                </c:pt>
                <c:pt idx="507">
                  <c:v>-100</c:v>
                </c:pt>
                <c:pt idx="508">
                  <c:v>-100</c:v>
                </c:pt>
                <c:pt idx="509">
                  <c:v>-100</c:v>
                </c:pt>
                <c:pt idx="510">
                  <c:v>-100</c:v>
                </c:pt>
                <c:pt idx="511">
                  <c:v>-100</c:v>
                </c:pt>
                <c:pt idx="512">
                  <c:v>-100</c:v>
                </c:pt>
                <c:pt idx="513">
                  <c:v>-100</c:v>
                </c:pt>
                <c:pt idx="514">
                  <c:v>-100</c:v>
                </c:pt>
                <c:pt idx="515">
                  <c:v>-100</c:v>
                </c:pt>
                <c:pt idx="516">
                  <c:v>-100</c:v>
                </c:pt>
                <c:pt idx="517">
                  <c:v>-100</c:v>
                </c:pt>
                <c:pt idx="518">
                  <c:v>-100</c:v>
                </c:pt>
                <c:pt idx="519">
                  <c:v>-100</c:v>
                </c:pt>
                <c:pt idx="520">
                  <c:v>-100</c:v>
                </c:pt>
                <c:pt idx="521">
                  <c:v>-100</c:v>
                </c:pt>
                <c:pt idx="522">
                  <c:v>-100</c:v>
                </c:pt>
                <c:pt idx="523">
                  <c:v>-100</c:v>
                </c:pt>
                <c:pt idx="524">
                  <c:v>-100</c:v>
                </c:pt>
                <c:pt idx="525">
                  <c:v>-100</c:v>
                </c:pt>
                <c:pt idx="526">
                  <c:v>-100</c:v>
                </c:pt>
                <c:pt idx="527">
                  <c:v>-100</c:v>
                </c:pt>
                <c:pt idx="528">
                  <c:v>-100</c:v>
                </c:pt>
                <c:pt idx="529">
                  <c:v>-100</c:v>
                </c:pt>
                <c:pt idx="530">
                  <c:v>-100</c:v>
                </c:pt>
                <c:pt idx="531">
                  <c:v>-100</c:v>
                </c:pt>
                <c:pt idx="532">
                  <c:v>-100</c:v>
                </c:pt>
                <c:pt idx="533">
                  <c:v>-100</c:v>
                </c:pt>
                <c:pt idx="534">
                  <c:v>-100</c:v>
                </c:pt>
                <c:pt idx="535">
                  <c:v>-100</c:v>
                </c:pt>
                <c:pt idx="536">
                  <c:v>-100</c:v>
                </c:pt>
                <c:pt idx="537">
                  <c:v>-100</c:v>
                </c:pt>
                <c:pt idx="538">
                  <c:v>-100</c:v>
                </c:pt>
                <c:pt idx="539">
                  <c:v>-100</c:v>
                </c:pt>
                <c:pt idx="540">
                  <c:v>-100</c:v>
                </c:pt>
                <c:pt idx="541">
                  <c:v>-100</c:v>
                </c:pt>
                <c:pt idx="542">
                  <c:v>-100</c:v>
                </c:pt>
                <c:pt idx="543">
                  <c:v>-100</c:v>
                </c:pt>
                <c:pt idx="544">
                  <c:v>-100</c:v>
                </c:pt>
                <c:pt idx="545">
                  <c:v>-100</c:v>
                </c:pt>
                <c:pt idx="546">
                  <c:v>-100</c:v>
                </c:pt>
                <c:pt idx="547">
                  <c:v>-100</c:v>
                </c:pt>
                <c:pt idx="548">
                  <c:v>-100</c:v>
                </c:pt>
                <c:pt idx="549">
                  <c:v>-100</c:v>
                </c:pt>
                <c:pt idx="550">
                  <c:v>-100</c:v>
                </c:pt>
                <c:pt idx="551">
                  <c:v>-100</c:v>
                </c:pt>
                <c:pt idx="552">
                  <c:v>-100</c:v>
                </c:pt>
                <c:pt idx="553">
                  <c:v>-100</c:v>
                </c:pt>
                <c:pt idx="554">
                  <c:v>-100</c:v>
                </c:pt>
                <c:pt idx="555">
                  <c:v>-100</c:v>
                </c:pt>
                <c:pt idx="556">
                  <c:v>-100</c:v>
                </c:pt>
                <c:pt idx="557">
                  <c:v>-100</c:v>
                </c:pt>
                <c:pt idx="558">
                  <c:v>-100</c:v>
                </c:pt>
                <c:pt idx="559">
                  <c:v>-100</c:v>
                </c:pt>
                <c:pt idx="560">
                  <c:v>-100</c:v>
                </c:pt>
                <c:pt idx="561">
                  <c:v>-100</c:v>
                </c:pt>
                <c:pt idx="562">
                  <c:v>-100</c:v>
                </c:pt>
                <c:pt idx="563">
                  <c:v>-100</c:v>
                </c:pt>
                <c:pt idx="564">
                  <c:v>-100</c:v>
                </c:pt>
                <c:pt idx="565">
                  <c:v>-100</c:v>
                </c:pt>
                <c:pt idx="566">
                  <c:v>-100</c:v>
                </c:pt>
                <c:pt idx="567">
                  <c:v>-100</c:v>
                </c:pt>
                <c:pt idx="568">
                  <c:v>-100</c:v>
                </c:pt>
                <c:pt idx="569">
                  <c:v>-100</c:v>
                </c:pt>
                <c:pt idx="570">
                  <c:v>-100</c:v>
                </c:pt>
                <c:pt idx="571">
                  <c:v>-100</c:v>
                </c:pt>
                <c:pt idx="572">
                  <c:v>-100</c:v>
                </c:pt>
                <c:pt idx="573">
                  <c:v>-100</c:v>
                </c:pt>
                <c:pt idx="574">
                  <c:v>-100</c:v>
                </c:pt>
                <c:pt idx="575">
                  <c:v>-100</c:v>
                </c:pt>
                <c:pt idx="576">
                  <c:v>-100</c:v>
                </c:pt>
                <c:pt idx="577">
                  <c:v>-100</c:v>
                </c:pt>
                <c:pt idx="578">
                  <c:v>-100</c:v>
                </c:pt>
                <c:pt idx="579">
                  <c:v>-100</c:v>
                </c:pt>
                <c:pt idx="580">
                  <c:v>-100</c:v>
                </c:pt>
                <c:pt idx="581">
                  <c:v>-100</c:v>
                </c:pt>
                <c:pt idx="582">
                  <c:v>-100</c:v>
                </c:pt>
                <c:pt idx="583">
                  <c:v>-100</c:v>
                </c:pt>
                <c:pt idx="584">
                  <c:v>-100</c:v>
                </c:pt>
                <c:pt idx="585">
                  <c:v>-100</c:v>
                </c:pt>
                <c:pt idx="586">
                  <c:v>-100</c:v>
                </c:pt>
                <c:pt idx="587">
                  <c:v>-100</c:v>
                </c:pt>
                <c:pt idx="588">
                  <c:v>-100</c:v>
                </c:pt>
                <c:pt idx="589">
                  <c:v>-100</c:v>
                </c:pt>
                <c:pt idx="590">
                  <c:v>-100</c:v>
                </c:pt>
                <c:pt idx="591">
                  <c:v>-100</c:v>
                </c:pt>
                <c:pt idx="592">
                  <c:v>-100</c:v>
                </c:pt>
                <c:pt idx="593">
                  <c:v>-100</c:v>
                </c:pt>
                <c:pt idx="594">
                  <c:v>-100</c:v>
                </c:pt>
                <c:pt idx="595">
                  <c:v>-100</c:v>
                </c:pt>
                <c:pt idx="596">
                  <c:v>-100</c:v>
                </c:pt>
                <c:pt idx="597">
                  <c:v>-100</c:v>
                </c:pt>
                <c:pt idx="598">
                  <c:v>-100</c:v>
                </c:pt>
                <c:pt idx="599">
                  <c:v>-100</c:v>
                </c:pt>
                <c:pt idx="600">
                  <c:v>-100</c:v>
                </c:pt>
                <c:pt idx="601">
                  <c:v>-100</c:v>
                </c:pt>
                <c:pt idx="602">
                  <c:v>-100</c:v>
                </c:pt>
                <c:pt idx="603">
                  <c:v>-100</c:v>
                </c:pt>
                <c:pt idx="604">
                  <c:v>-100</c:v>
                </c:pt>
                <c:pt idx="605">
                  <c:v>-100</c:v>
                </c:pt>
                <c:pt idx="606">
                  <c:v>-100</c:v>
                </c:pt>
                <c:pt idx="607">
                  <c:v>-100</c:v>
                </c:pt>
                <c:pt idx="608">
                  <c:v>-100</c:v>
                </c:pt>
                <c:pt idx="609">
                  <c:v>-100</c:v>
                </c:pt>
                <c:pt idx="610">
                  <c:v>-100</c:v>
                </c:pt>
                <c:pt idx="611">
                  <c:v>-100</c:v>
                </c:pt>
                <c:pt idx="612">
                  <c:v>-100</c:v>
                </c:pt>
                <c:pt idx="613">
                  <c:v>-100</c:v>
                </c:pt>
                <c:pt idx="614">
                  <c:v>-100</c:v>
                </c:pt>
                <c:pt idx="615">
                  <c:v>-100</c:v>
                </c:pt>
                <c:pt idx="616">
                  <c:v>-100</c:v>
                </c:pt>
                <c:pt idx="617">
                  <c:v>-100</c:v>
                </c:pt>
                <c:pt idx="618">
                  <c:v>-100</c:v>
                </c:pt>
                <c:pt idx="619">
                  <c:v>-100</c:v>
                </c:pt>
                <c:pt idx="620">
                  <c:v>-100</c:v>
                </c:pt>
                <c:pt idx="621">
                  <c:v>-100</c:v>
                </c:pt>
                <c:pt idx="622">
                  <c:v>-100</c:v>
                </c:pt>
                <c:pt idx="623">
                  <c:v>-100</c:v>
                </c:pt>
                <c:pt idx="624">
                  <c:v>-100</c:v>
                </c:pt>
                <c:pt idx="625">
                  <c:v>-100</c:v>
                </c:pt>
                <c:pt idx="626">
                  <c:v>-100</c:v>
                </c:pt>
                <c:pt idx="627">
                  <c:v>-100</c:v>
                </c:pt>
                <c:pt idx="628">
                  <c:v>-100</c:v>
                </c:pt>
                <c:pt idx="629">
                  <c:v>-100</c:v>
                </c:pt>
                <c:pt idx="630">
                  <c:v>-100</c:v>
                </c:pt>
                <c:pt idx="631">
                  <c:v>-100</c:v>
                </c:pt>
                <c:pt idx="632">
                  <c:v>-100</c:v>
                </c:pt>
                <c:pt idx="633">
                  <c:v>-100</c:v>
                </c:pt>
                <c:pt idx="634">
                  <c:v>-100</c:v>
                </c:pt>
                <c:pt idx="635">
                  <c:v>-100</c:v>
                </c:pt>
                <c:pt idx="636">
                  <c:v>-100</c:v>
                </c:pt>
                <c:pt idx="637">
                  <c:v>-100</c:v>
                </c:pt>
                <c:pt idx="638">
                  <c:v>-100</c:v>
                </c:pt>
                <c:pt idx="639">
                  <c:v>-100</c:v>
                </c:pt>
                <c:pt idx="640">
                  <c:v>-100</c:v>
                </c:pt>
                <c:pt idx="641">
                  <c:v>-100</c:v>
                </c:pt>
                <c:pt idx="642">
                  <c:v>-100</c:v>
                </c:pt>
                <c:pt idx="643">
                  <c:v>-100</c:v>
                </c:pt>
                <c:pt idx="644">
                  <c:v>-100</c:v>
                </c:pt>
                <c:pt idx="645">
                  <c:v>-100</c:v>
                </c:pt>
                <c:pt idx="646">
                  <c:v>-100</c:v>
                </c:pt>
                <c:pt idx="647">
                  <c:v>-100</c:v>
                </c:pt>
                <c:pt idx="648">
                  <c:v>-100</c:v>
                </c:pt>
                <c:pt idx="649">
                  <c:v>-100</c:v>
                </c:pt>
                <c:pt idx="650">
                  <c:v>-100</c:v>
                </c:pt>
                <c:pt idx="651">
                  <c:v>-100</c:v>
                </c:pt>
                <c:pt idx="652">
                  <c:v>-100</c:v>
                </c:pt>
                <c:pt idx="653">
                  <c:v>-100</c:v>
                </c:pt>
                <c:pt idx="654">
                  <c:v>-100</c:v>
                </c:pt>
                <c:pt idx="655">
                  <c:v>-100</c:v>
                </c:pt>
                <c:pt idx="656">
                  <c:v>-100</c:v>
                </c:pt>
                <c:pt idx="657">
                  <c:v>-100</c:v>
                </c:pt>
                <c:pt idx="658">
                  <c:v>-100</c:v>
                </c:pt>
                <c:pt idx="659">
                  <c:v>-100</c:v>
                </c:pt>
                <c:pt idx="660">
                  <c:v>-100</c:v>
                </c:pt>
                <c:pt idx="661">
                  <c:v>-100</c:v>
                </c:pt>
                <c:pt idx="662">
                  <c:v>-100</c:v>
                </c:pt>
                <c:pt idx="663">
                  <c:v>-100</c:v>
                </c:pt>
                <c:pt idx="664">
                  <c:v>-100</c:v>
                </c:pt>
                <c:pt idx="665">
                  <c:v>-100</c:v>
                </c:pt>
                <c:pt idx="666">
                  <c:v>-100</c:v>
                </c:pt>
                <c:pt idx="667">
                  <c:v>-100</c:v>
                </c:pt>
                <c:pt idx="668">
                  <c:v>-100</c:v>
                </c:pt>
                <c:pt idx="669">
                  <c:v>-100</c:v>
                </c:pt>
                <c:pt idx="670">
                  <c:v>-100</c:v>
                </c:pt>
                <c:pt idx="671">
                  <c:v>-100</c:v>
                </c:pt>
                <c:pt idx="672">
                  <c:v>-100</c:v>
                </c:pt>
                <c:pt idx="673">
                  <c:v>-100</c:v>
                </c:pt>
                <c:pt idx="674">
                  <c:v>-100</c:v>
                </c:pt>
                <c:pt idx="675">
                  <c:v>-100</c:v>
                </c:pt>
                <c:pt idx="676">
                  <c:v>-100</c:v>
                </c:pt>
                <c:pt idx="677">
                  <c:v>-100</c:v>
                </c:pt>
                <c:pt idx="678">
                  <c:v>-100</c:v>
                </c:pt>
                <c:pt idx="679">
                  <c:v>-100</c:v>
                </c:pt>
                <c:pt idx="680">
                  <c:v>-100</c:v>
                </c:pt>
                <c:pt idx="681">
                  <c:v>-100</c:v>
                </c:pt>
                <c:pt idx="682">
                  <c:v>-100</c:v>
                </c:pt>
                <c:pt idx="683">
                  <c:v>-100</c:v>
                </c:pt>
                <c:pt idx="684">
                  <c:v>-100</c:v>
                </c:pt>
                <c:pt idx="685">
                  <c:v>-100</c:v>
                </c:pt>
                <c:pt idx="686">
                  <c:v>-100</c:v>
                </c:pt>
                <c:pt idx="687">
                  <c:v>-100</c:v>
                </c:pt>
                <c:pt idx="688">
                  <c:v>-100</c:v>
                </c:pt>
                <c:pt idx="689">
                  <c:v>-100</c:v>
                </c:pt>
                <c:pt idx="690">
                  <c:v>-100</c:v>
                </c:pt>
                <c:pt idx="691">
                  <c:v>-100</c:v>
                </c:pt>
                <c:pt idx="692">
                  <c:v>-100</c:v>
                </c:pt>
                <c:pt idx="693">
                  <c:v>-100</c:v>
                </c:pt>
                <c:pt idx="694">
                  <c:v>-100</c:v>
                </c:pt>
                <c:pt idx="695">
                  <c:v>-100</c:v>
                </c:pt>
                <c:pt idx="696">
                  <c:v>-100</c:v>
                </c:pt>
                <c:pt idx="697">
                  <c:v>-100</c:v>
                </c:pt>
                <c:pt idx="698">
                  <c:v>-100</c:v>
                </c:pt>
                <c:pt idx="699">
                  <c:v>-100</c:v>
                </c:pt>
                <c:pt idx="700">
                  <c:v>-100</c:v>
                </c:pt>
                <c:pt idx="701">
                  <c:v>-100</c:v>
                </c:pt>
                <c:pt idx="702">
                  <c:v>-100</c:v>
                </c:pt>
                <c:pt idx="703">
                  <c:v>-100</c:v>
                </c:pt>
                <c:pt idx="704">
                  <c:v>-100</c:v>
                </c:pt>
                <c:pt idx="705">
                  <c:v>-100</c:v>
                </c:pt>
                <c:pt idx="706">
                  <c:v>-100</c:v>
                </c:pt>
                <c:pt idx="707">
                  <c:v>-100</c:v>
                </c:pt>
                <c:pt idx="708">
                  <c:v>-100</c:v>
                </c:pt>
                <c:pt idx="709">
                  <c:v>-100</c:v>
                </c:pt>
                <c:pt idx="710">
                  <c:v>-100</c:v>
                </c:pt>
                <c:pt idx="711">
                  <c:v>-100</c:v>
                </c:pt>
                <c:pt idx="712">
                  <c:v>-100</c:v>
                </c:pt>
                <c:pt idx="713">
                  <c:v>-100</c:v>
                </c:pt>
                <c:pt idx="714">
                  <c:v>-100</c:v>
                </c:pt>
                <c:pt idx="715">
                  <c:v>-100</c:v>
                </c:pt>
                <c:pt idx="716">
                  <c:v>-100</c:v>
                </c:pt>
                <c:pt idx="717">
                  <c:v>-100</c:v>
                </c:pt>
                <c:pt idx="718">
                  <c:v>-100</c:v>
                </c:pt>
                <c:pt idx="719">
                  <c:v>-100</c:v>
                </c:pt>
                <c:pt idx="720">
                  <c:v>-100</c:v>
                </c:pt>
                <c:pt idx="721">
                  <c:v>-100</c:v>
                </c:pt>
                <c:pt idx="722">
                  <c:v>-100</c:v>
                </c:pt>
                <c:pt idx="723">
                  <c:v>-100</c:v>
                </c:pt>
                <c:pt idx="724">
                  <c:v>-100</c:v>
                </c:pt>
                <c:pt idx="725">
                  <c:v>-100</c:v>
                </c:pt>
                <c:pt idx="726">
                  <c:v>-100</c:v>
                </c:pt>
                <c:pt idx="727">
                  <c:v>-100</c:v>
                </c:pt>
                <c:pt idx="728">
                  <c:v>-100</c:v>
                </c:pt>
                <c:pt idx="729">
                  <c:v>-100</c:v>
                </c:pt>
                <c:pt idx="730">
                  <c:v>-100</c:v>
                </c:pt>
                <c:pt idx="731">
                  <c:v>-100</c:v>
                </c:pt>
                <c:pt idx="732">
                  <c:v>-100</c:v>
                </c:pt>
                <c:pt idx="733">
                  <c:v>-100</c:v>
                </c:pt>
                <c:pt idx="734">
                  <c:v>-100</c:v>
                </c:pt>
                <c:pt idx="735">
                  <c:v>-100</c:v>
                </c:pt>
                <c:pt idx="736">
                  <c:v>-100</c:v>
                </c:pt>
                <c:pt idx="737">
                  <c:v>-100</c:v>
                </c:pt>
                <c:pt idx="738">
                  <c:v>-100</c:v>
                </c:pt>
                <c:pt idx="739">
                  <c:v>-100</c:v>
                </c:pt>
                <c:pt idx="740">
                  <c:v>-100</c:v>
                </c:pt>
                <c:pt idx="741">
                  <c:v>-100</c:v>
                </c:pt>
                <c:pt idx="742">
                  <c:v>-100</c:v>
                </c:pt>
                <c:pt idx="743">
                  <c:v>-100</c:v>
                </c:pt>
                <c:pt idx="744">
                  <c:v>-100</c:v>
                </c:pt>
                <c:pt idx="745">
                  <c:v>-100</c:v>
                </c:pt>
                <c:pt idx="746">
                  <c:v>-100</c:v>
                </c:pt>
                <c:pt idx="747">
                  <c:v>-100</c:v>
                </c:pt>
                <c:pt idx="748">
                  <c:v>-100</c:v>
                </c:pt>
                <c:pt idx="749">
                  <c:v>-100</c:v>
                </c:pt>
                <c:pt idx="750">
                  <c:v>-100</c:v>
                </c:pt>
                <c:pt idx="751">
                  <c:v>-100</c:v>
                </c:pt>
                <c:pt idx="752">
                  <c:v>-100</c:v>
                </c:pt>
                <c:pt idx="753">
                  <c:v>-100</c:v>
                </c:pt>
                <c:pt idx="754">
                  <c:v>-100</c:v>
                </c:pt>
                <c:pt idx="755">
                  <c:v>-100</c:v>
                </c:pt>
                <c:pt idx="756">
                  <c:v>-100</c:v>
                </c:pt>
                <c:pt idx="757">
                  <c:v>-100</c:v>
                </c:pt>
                <c:pt idx="758">
                  <c:v>-100</c:v>
                </c:pt>
                <c:pt idx="759">
                  <c:v>-100</c:v>
                </c:pt>
                <c:pt idx="760">
                  <c:v>-100</c:v>
                </c:pt>
                <c:pt idx="761">
                  <c:v>-100</c:v>
                </c:pt>
                <c:pt idx="762">
                  <c:v>-100</c:v>
                </c:pt>
                <c:pt idx="763">
                  <c:v>-100</c:v>
                </c:pt>
                <c:pt idx="764">
                  <c:v>-100</c:v>
                </c:pt>
                <c:pt idx="765">
                  <c:v>-100</c:v>
                </c:pt>
                <c:pt idx="766">
                  <c:v>-100</c:v>
                </c:pt>
                <c:pt idx="767">
                  <c:v>-100</c:v>
                </c:pt>
                <c:pt idx="768">
                  <c:v>-100</c:v>
                </c:pt>
                <c:pt idx="769">
                  <c:v>-100</c:v>
                </c:pt>
                <c:pt idx="770">
                  <c:v>-100</c:v>
                </c:pt>
                <c:pt idx="771">
                  <c:v>-100</c:v>
                </c:pt>
                <c:pt idx="772">
                  <c:v>-100</c:v>
                </c:pt>
                <c:pt idx="773">
                  <c:v>-100</c:v>
                </c:pt>
                <c:pt idx="774">
                  <c:v>-100</c:v>
                </c:pt>
                <c:pt idx="775">
                  <c:v>-100</c:v>
                </c:pt>
                <c:pt idx="776">
                  <c:v>-100</c:v>
                </c:pt>
                <c:pt idx="777">
                  <c:v>-100</c:v>
                </c:pt>
                <c:pt idx="778">
                  <c:v>-100</c:v>
                </c:pt>
                <c:pt idx="779">
                  <c:v>-100</c:v>
                </c:pt>
                <c:pt idx="780">
                  <c:v>-100</c:v>
                </c:pt>
                <c:pt idx="781">
                  <c:v>-100</c:v>
                </c:pt>
                <c:pt idx="782">
                  <c:v>-100</c:v>
                </c:pt>
                <c:pt idx="783">
                  <c:v>-100</c:v>
                </c:pt>
                <c:pt idx="784">
                  <c:v>-100</c:v>
                </c:pt>
                <c:pt idx="785">
                  <c:v>-100</c:v>
                </c:pt>
                <c:pt idx="786">
                  <c:v>-100</c:v>
                </c:pt>
                <c:pt idx="787">
                  <c:v>-100</c:v>
                </c:pt>
                <c:pt idx="788">
                  <c:v>-100</c:v>
                </c:pt>
                <c:pt idx="789">
                  <c:v>-100</c:v>
                </c:pt>
                <c:pt idx="790">
                  <c:v>-100</c:v>
                </c:pt>
                <c:pt idx="791">
                  <c:v>-100</c:v>
                </c:pt>
                <c:pt idx="792">
                  <c:v>-100</c:v>
                </c:pt>
                <c:pt idx="793">
                  <c:v>-100</c:v>
                </c:pt>
                <c:pt idx="794">
                  <c:v>-100</c:v>
                </c:pt>
                <c:pt idx="795">
                  <c:v>-100</c:v>
                </c:pt>
                <c:pt idx="796">
                  <c:v>-100</c:v>
                </c:pt>
                <c:pt idx="797">
                  <c:v>-100</c:v>
                </c:pt>
                <c:pt idx="798">
                  <c:v>-100</c:v>
                </c:pt>
                <c:pt idx="799">
                  <c:v>-100</c:v>
                </c:pt>
                <c:pt idx="800">
                  <c:v>-100</c:v>
                </c:pt>
                <c:pt idx="801">
                  <c:v>-100</c:v>
                </c:pt>
                <c:pt idx="802">
                  <c:v>-100</c:v>
                </c:pt>
                <c:pt idx="803">
                  <c:v>-100</c:v>
                </c:pt>
                <c:pt idx="804">
                  <c:v>-100</c:v>
                </c:pt>
                <c:pt idx="805">
                  <c:v>-100</c:v>
                </c:pt>
                <c:pt idx="806">
                  <c:v>-100</c:v>
                </c:pt>
                <c:pt idx="807">
                  <c:v>-100</c:v>
                </c:pt>
                <c:pt idx="808">
                  <c:v>-100</c:v>
                </c:pt>
                <c:pt idx="809">
                  <c:v>-100</c:v>
                </c:pt>
                <c:pt idx="810">
                  <c:v>-100</c:v>
                </c:pt>
                <c:pt idx="811">
                  <c:v>-100</c:v>
                </c:pt>
                <c:pt idx="812">
                  <c:v>-100</c:v>
                </c:pt>
                <c:pt idx="813">
                  <c:v>-100</c:v>
                </c:pt>
                <c:pt idx="814">
                  <c:v>-100</c:v>
                </c:pt>
                <c:pt idx="815">
                  <c:v>-100</c:v>
                </c:pt>
                <c:pt idx="816">
                  <c:v>-100</c:v>
                </c:pt>
                <c:pt idx="817">
                  <c:v>-100</c:v>
                </c:pt>
                <c:pt idx="818">
                  <c:v>-100</c:v>
                </c:pt>
                <c:pt idx="819">
                  <c:v>-100</c:v>
                </c:pt>
                <c:pt idx="820">
                  <c:v>-100</c:v>
                </c:pt>
                <c:pt idx="821">
                  <c:v>-100</c:v>
                </c:pt>
                <c:pt idx="822">
                  <c:v>-100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-100</c:v>
                </c:pt>
                <c:pt idx="827">
                  <c:v>-100</c:v>
                </c:pt>
                <c:pt idx="828">
                  <c:v>-100</c:v>
                </c:pt>
                <c:pt idx="829">
                  <c:v>-100</c:v>
                </c:pt>
                <c:pt idx="830">
                  <c:v>-100</c:v>
                </c:pt>
                <c:pt idx="831">
                  <c:v>-100</c:v>
                </c:pt>
                <c:pt idx="832">
                  <c:v>-100</c:v>
                </c:pt>
                <c:pt idx="833">
                  <c:v>-100</c:v>
                </c:pt>
                <c:pt idx="834">
                  <c:v>-100</c:v>
                </c:pt>
                <c:pt idx="835">
                  <c:v>-100</c:v>
                </c:pt>
                <c:pt idx="836">
                  <c:v>-100</c:v>
                </c:pt>
                <c:pt idx="837">
                  <c:v>-100</c:v>
                </c:pt>
                <c:pt idx="838">
                  <c:v>-100</c:v>
                </c:pt>
                <c:pt idx="839">
                  <c:v>-100</c:v>
                </c:pt>
                <c:pt idx="840">
                  <c:v>-100</c:v>
                </c:pt>
                <c:pt idx="841">
                  <c:v>-100</c:v>
                </c:pt>
                <c:pt idx="842">
                  <c:v>-100</c:v>
                </c:pt>
                <c:pt idx="843">
                  <c:v>-100</c:v>
                </c:pt>
                <c:pt idx="844">
                  <c:v>-100</c:v>
                </c:pt>
                <c:pt idx="845">
                  <c:v>-100</c:v>
                </c:pt>
                <c:pt idx="846">
                  <c:v>-100</c:v>
                </c:pt>
                <c:pt idx="847">
                  <c:v>-100</c:v>
                </c:pt>
                <c:pt idx="848">
                  <c:v>-100</c:v>
                </c:pt>
                <c:pt idx="849">
                  <c:v>-100</c:v>
                </c:pt>
                <c:pt idx="850">
                  <c:v>-100</c:v>
                </c:pt>
                <c:pt idx="851">
                  <c:v>-100</c:v>
                </c:pt>
                <c:pt idx="852">
                  <c:v>-100</c:v>
                </c:pt>
                <c:pt idx="853">
                  <c:v>-100</c:v>
                </c:pt>
                <c:pt idx="854">
                  <c:v>-100</c:v>
                </c:pt>
                <c:pt idx="855">
                  <c:v>-100</c:v>
                </c:pt>
                <c:pt idx="856">
                  <c:v>-100</c:v>
                </c:pt>
                <c:pt idx="857">
                  <c:v>-100</c:v>
                </c:pt>
                <c:pt idx="858">
                  <c:v>-100</c:v>
                </c:pt>
                <c:pt idx="859">
                  <c:v>-100</c:v>
                </c:pt>
                <c:pt idx="860">
                  <c:v>-100</c:v>
                </c:pt>
                <c:pt idx="861">
                  <c:v>-100</c:v>
                </c:pt>
                <c:pt idx="862">
                  <c:v>-100</c:v>
                </c:pt>
                <c:pt idx="863">
                  <c:v>-100</c:v>
                </c:pt>
                <c:pt idx="864">
                  <c:v>-100</c:v>
                </c:pt>
                <c:pt idx="865">
                  <c:v>-100</c:v>
                </c:pt>
                <c:pt idx="866">
                  <c:v>-100</c:v>
                </c:pt>
                <c:pt idx="867">
                  <c:v>-100</c:v>
                </c:pt>
                <c:pt idx="868">
                  <c:v>-100</c:v>
                </c:pt>
                <c:pt idx="869">
                  <c:v>-100</c:v>
                </c:pt>
                <c:pt idx="870">
                  <c:v>-100</c:v>
                </c:pt>
                <c:pt idx="871">
                  <c:v>1.3288002825497436E-3</c:v>
                </c:pt>
                <c:pt idx="872">
                  <c:v>1.318174392192311E-3</c:v>
                </c:pt>
                <c:pt idx="873">
                  <c:v>1.3120993045097947E-3</c:v>
                </c:pt>
                <c:pt idx="874">
                  <c:v>1.304489170954848E-3</c:v>
                </c:pt>
                <c:pt idx="875">
                  <c:v>1.3032011006657478E-3</c:v>
                </c:pt>
                <c:pt idx="876">
                  <c:v>1.302171018317569E-3</c:v>
                </c:pt>
                <c:pt idx="877">
                  <c:v>1.2947129075079724E-3</c:v>
                </c:pt>
                <c:pt idx="878">
                  <c:v>1.2925302527178821E-3</c:v>
                </c:pt>
                <c:pt idx="879">
                  <c:v>1.2917602676172917E-3</c:v>
                </c:pt>
                <c:pt idx="880">
                  <c:v>1.2839429103451475E-3</c:v>
                </c:pt>
                <c:pt idx="881">
                  <c:v>1.2692594581225922E-3</c:v>
                </c:pt>
                <c:pt idx="882">
                  <c:v>1.2635332846013866E-3</c:v>
                </c:pt>
                <c:pt idx="883">
                  <c:v>1.2628977274289374E-3</c:v>
                </c:pt>
                <c:pt idx="884">
                  <c:v>1.2560424816875488E-3</c:v>
                </c:pt>
                <c:pt idx="885">
                  <c:v>1.2465481405857369E-3</c:v>
                </c:pt>
                <c:pt idx="886">
                  <c:v>1.2459163019647227E-3</c:v>
                </c:pt>
                <c:pt idx="887">
                  <c:v>1.2441479006606354E-3</c:v>
                </c:pt>
                <c:pt idx="888">
                  <c:v>1.2101368290981641E-3</c:v>
                </c:pt>
                <c:pt idx="889">
                  <c:v>1.200426666146906E-3</c:v>
                </c:pt>
                <c:pt idx="890">
                  <c:v>1.1978185330079427E-3</c:v>
                </c:pt>
                <c:pt idx="891">
                  <c:v>1.1975702759013727E-3</c:v>
                </c:pt>
                <c:pt idx="892">
                  <c:v>1.1974461562617798E-3</c:v>
                </c:pt>
                <c:pt idx="893">
                  <c:v>1.1952130198891735E-3</c:v>
                </c:pt>
                <c:pt idx="894">
                  <c:v>1.190752543312824E-3</c:v>
                </c:pt>
                <c:pt idx="895">
                  <c:v>1.1844468269760131E-3</c:v>
                </c:pt>
                <c:pt idx="896">
                  <c:v>1.1830888225801825E-3</c:v>
                </c:pt>
                <c:pt idx="897">
                  <c:v>1.1798818998443898E-3</c:v>
                </c:pt>
                <c:pt idx="898">
                  <c:v>1.1673405714938327E-3</c:v>
                </c:pt>
                <c:pt idx="899">
                  <c:v>1.1630518480401199E-3</c:v>
                </c:pt>
                <c:pt idx="900">
                  <c:v>1.1604822366829853E-3</c:v>
                </c:pt>
                <c:pt idx="901">
                  <c:v>1.1372370087830246E-3</c:v>
                </c:pt>
                <c:pt idx="902">
                  <c:v>1.1361473343780026E-3</c:v>
                </c:pt>
                <c:pt idx="903">
                  <c:v>1.1346952327741635E-3</c:v>
                </c:pt>
                <c:pt idx="904">
                  <c:v>1.1243152882490575E-3</c:v>
                </c:pt>
                <c:pt idx="905">
                  <c:v>1.1181820676715261E-3</c:v>
                </c:pt>
                <c:pt idx="906">
                  <c:v>1.1167413860915475E-3</c:v>
                </c:pt>
                <c:pt idx="907">
                  <c:v>1.1156614837756042E-3</c:v>
                </c:pt>
                <c:pt idx="908">
                  <c:v>1.1148219209262582E-3</c:v>
                </c:pt>
                <c:pt idx="909">
                  <c:v>1.1126644979391224E-3</c:v>
                </c:pt>
                <c:pt idx="910">
                  <c:v>1.1082363800046266E-3</c:v>
                </c:pt>
                <c:pt idx="911">
                  <c:v>1.1070411156944395E-3</c:v>
                </c:pt>
                <c:pt idx="912">
                  <c:v>1.101908893756294E-3</c:v>
                </c:pt>
                <c:pt idx="913">
                  <c:v>1.1011937282313538E-3</c:v>
                </c:pt>
                <c:pt idx="914">
                  <c:v>1.0990496432591093E-3</c:v>
                </c:pt>
                <c:pt idx="915">
                  <c:v>1.0933424604448775E-3</c:v>
                </c:pt>
                <c:pt idx="916">
                  <c:v>1.0920366957737869E-3</c:v>
                </c:pt>
                <c:pt idx="917">
                  <c:v>1.0910875490447284E-3</c:v>
                </c:pt>
                <c:pt idx="918">
                  <c:v>1.0849283888499871E-3</c:v>
                </c:pt>
                <c:pt idx="919">
                  <c:v>1.0720760584352351E-3</c:v>
                </c:pt>
                <c:pt idx="920">
                  <c:v>1.0684352943344192E-3</c:v>
                </c:pt>
                <c:pt idx="921">
                  <c:v>1.0636299989319458E-3</c:v>
                </c:pt>
                <c:pt idx="922">
                  <c:v>1.059303232293645E-3</c:v>
                </c:pt>
                <c:pt idx="923">
                  <c:v>1.0489335601101117E-3</c:v>
                </c:pt>
                <c:pt idx="924">
                  <c:v>1.0422048097093557E-3</c:v>
                </c:pt>
                <c:pt idx="925">
                  <c:v>1.0401212541221608E-3</c:v>
                </c:pt>
                <c:pt idx="926">
                  <c:v>1.0391959422697526E-3</c:v>
                </c:pt>
                <c:pt idx="927">
                  <c:v>1.0325005812437929E-3</c:v>
                </c:pt>
                <c:pt idx="928">
                  <c:v>1.0274368055757895E-3</c:v>
                </c:pt>
                <c:pt idx="929">
                  <c:v>1.0203242299554E-3</c:v>
                </c:pt>
                <c:pt idx="930">
                  <c:v>1.0125540748725005E-3</c:v>
                </c:pt>
                <c:pt idx="931">
                  <c:v>1.0070887068169253E-3</c:v>
                </c:pt>
                <c:pt idx="932">
                  <c:v>9.9654559595447256E-4</c:v>
                </c:pt>
                <c:pt idx="933">
                  <c:v>9.8291970652920261E-4</c:v>
                </c:pt>
                <c:pt idx="934">
                  <c:v>9.8280752911714423E-4</c:v>
                </c:pt>
                <c:pt idx="935">
                  <c:v>9.8191036626863685E-4</c:v>
                </c:pt>
                <c:pt idx="936">
                  <c:v>9.744145559046159E-4</c:v>
                </c:pt>
                <c:pt idx="937">
                  <c:v>9.7196024596753357E-4</c:v>
                </c:pt>
                <c:pt idx="938">
                  <c:v>9.6895288079959562E-4</c:v>
                </c:pt>
                <c:pt idx="939">
                  <c:v>9.6683972436871989E-4</c:v>
                </c:pt>
                <c:pt idx="940">
                  <c:v>9.6606184715564039E-4</c:v>
                </c:pt>
                <c:pt idx="941">
                  <c:v>9.6173441629661155E-4</c:v>
                </c:pt>
                <c:pt idx="942">
                  <c:v>9.6018365334395791E-4</c:v>
                </c:pt>
                <c:pt idx="943">
                  <c:v>9.5542944537934499E-4</c:v>
                </c:pt>
                <c:pt idx="944">
                  <c:v>9.4826826167419527E-4</c:v>
                </c:pt>
                <c:pt idx="945">
                  <c:v>9.481583290351631E-4</c:v>
                </c:pt>
                <c:pt idx="946">
                  <c:v>9.4310928772314536E-4</c:v>
                </c:pt>
                <c:pt idx="947">
                  <c:v>9.3971536414196217E-4</c:v>
                </c:pt>
                <c:pt idx="948">
                  <c:v>9.3905928531100291E-4</c:v>
                </c:pt>
                <c:pt idx="949">
                  <c:v>9.3742023812968633E-4</c:v>
                </c:pt>
                <c:pt idx="950">
                  <c:v>9.2957571795124108E-4</c:v>
                </c:pt>
                <c:pt idx="951">
                  <c:v>9.1335526463792347E-4</c:v>
                </c:pt>
                <c:pt idx="952">
                  <c:v>9.05093294249537E-4</c:v>
                </c:pt>
                <c:pt idx="953">
                  <c:v>8.9549222639403558E-4</c:v>
                </c:pt>
                <c:pt idx="954">
                  <c:v>8.8817227626896182E-4</c:v>
                </c:pt>
                <c:pt idx="955">
                  <c:v>8.8215220280350108E-4</c:v>
                </c:pt>
                <c:pt idx="956">
                  <c:v>8.8151992633681226E-4</c:v>
                </c:pt>
                <c:pt idx="957">
                  <c:v>8.745827126769815E-4</c:v>
                </c:pt>
                <c:pt idx="958">
                  <c:v>8.6694787803642424E-4</c:v>
                </c:pt>
                <c:pt idx="959">
                  <c:v>8.6538404887414797E-4</c:v>
                </c:pt>
                <c:pt idx="960">
                  <c:v>8.624694435718903E-4</c:v>
                </c:pt>
                <c:pt idx="961">
                  <c:v>8.6132603973231438E-4</c:v>
                </c:pt>
                <c:pt idx="962">
                  <c:v>8.4428490278291282E-4</c:v>
                </c:pt>
                <c:pt idx="963">
                  <c:v>8.4079907121667084E-4</c:v>
                </c:pt>
                <c:pt idx="964">
                  <c:v>8.4069667988674352E-4</c:v>
                </c:pt>
                <c:pt idx="965">
                  <c:v>8.376284799766578E-4</c:v>
                </c:pt>
                <c:pt idx="966">
                  <c:v>8.3426137927146437E-4</c:v>
                </c:pt>
                <c:pt idx="967">
                  <c:v>8.2562681086056997E-4</c:v>
                </c:pt>
                <c:pt idx="968">
                  <c:v>8.1855746599286813E-4</c:v>
                </c:pt>
                <c:pt idx="969">
                  <c:v>8.1845674718831259E-4</c:v>
                </c:pt>
                <c:pt idx="970">
                  <c:v>8.0752438247129194E-4</c:v>
                </c:pt>
                <c:pt idx="971">
                  <c:v>8.0702508628083616E-4</c:v>
                </c:pt>
                <c:pt idx="972">
                  <c:v>8.0532891684239466E-4</c:v>
                </c:pt>
                <c:pt idx="973">
                  <c:v>8.0144610407507618E-4</c:v>
                </c:pt>
                <c:pt idx="974">
                  <c:v>8.0134669868512135E-4</c:v>
                </c:pt>
                <c:pt idx="975">
                  <c:v>7.9995583163155158E-4</c:v>
                </c:pt>
                <c:pt idx="976">
                  <c:v>7.9698048553901012E-4</c:v>
                </c:pt>
                <c:pt idx="977">
                  <c:v>7.9470408380214049E-4</c:v>
                </c:pt>
                <c:pt idx="978">
                  <c:v>7.9401207542545578E-4</c:v>
                </c:pt>
                <c:pt idx="979">
                  <c:v>7.9401207542545578E-4</c:v>
                </c:pt>
                <c:pt idx="980">
                  <c:v>7.9065626842283944E-4</c:v>
                </c:pt>
                <c:pt idx="981">
                  <c:v>7.8642493809019198E-4</c:v>
                </c:pt>
                <c:pt idx="982">
                  <c:v>7.8338330481317407E-4</c:v>
                </c:pt>
                <c:pt idx="983">
                  <c:v>7.8318732547823461E-4</c:v>
                </c:pt>
                <c:pt idx="984">
                  <c:v>7.7917656616568738E-4</c:v>
                </c:pt>
                <c:pt idx="985">
                  <c:v>7.734278154827945E-4</c:v>
                </c:pt>
                <c:pt idx="986">
                  <c:v>7.7119408087809069E-4</c:v>
                </c:pt>
                <c:pt idx="987">
                  <c:v>7.7032112679145052E-4</c:v>
                </c:pt>
                <c:pt idx="988">
                  <c:v>7.5730222047587948E-4</c:v>
                </c:pt>
                <c:pt idx="989">
                  <c:v>7.5576861897860435E-4</c:v>
                </c:pt>
                <c:pt idx="990">
                  <c:v>7.5127517289545807E-4</c:v>
                </c:pt>
                <c:pt idx="991">
                  <c:v>7.4974940842275674E-4</c:v>
                </c:pt>
                <c:pt idx="992">
                  <c:v>7.4186647704907677E-4</c:v>
                </c:pt>
                <c:pt idx="993">
                  <c:v>7.4044757355452829E-4</c:v>
                </c:pt>
                <c:pt idx="994">
                  <c:v>7.3893600836399931E-4</c:v>
                </c:pt>
                <c:pt idx="995">
                  <c:v>7.2355753052138095E-4</c:v>
                </c:pt>
                <c:pt idx="996">
                  <c:v>7.234644028853175E-4</c:v>
                </c:pt>
                <c:pt idx="997">
                  <c:v>7.2309197039336606E-4</c:v>
                </c:pt>
                <c:pt idx="998">
                  <c:v>7.1909620942257749E-4</c:v>
                </c:pt>
                <c:pt idx="999">
                  <c:v>7.1816903171031325E-4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5-4B81-9496-A2A8BC51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47551"/>
        <c:axId val="677434111"/>
      </c:areaChart>
      <c:lineChart>
        <c:grouping val="standard"/>
        <c:varyColors val="0"/>
        <c:ser>
          <c:idx val="0"/>
          <c:order val="0"/>
          <c:tx>
            <c:strRef>
              <c:f>Customers!$B$3</c:f>
              <c:strCache>
                <c:ptCount val="1"/>
                <c:pt idx="0">
                  <c:v>Density Value</c:v>
                </c:pt>
              </c:strCache>
            </c:strRef>
          </c:tx>
          <c:spPr>
            <a:ln w="28575" cap="rnd">
              <a:solidFill>
                <a:srgbClr val="3396D3"/>
              </a:solidFill>
              <a:round/>
            </a:ln>
            <a:effectLst/>
          </c:spPr>
          <c:marker>
            <c:symbol val="none"/>
          </c:marker>
          <c:cat>
            <c:numRef>
              <c:f>Customers!$A$4:$A$1003</c:f>
              <c:numCache>
                <c:formatCode>"$"#,##0.00_);[Red]\("$"#,##0.00\)</c:formatCode>
                <c:ptCount val="1000"/>
                <c:pt idx="0">
                  <c:v>50.71</c:v>
                </c:pt>
                <c:pt idx="1">
                  <c:v>50.78</c:v>
                </c:pt>
                <c:pt idx="2">
                  <c:v>50.79</c:v>
                </c:pt>
                <c:pt idx="3">
                  <c:v>51.22</c:v>
                </c:pt>
                <c:pt idx="4">
                  <c:v>51.44</c:v>
                </c:pt>
                <c:pt idx="5">
                  <c:v>51.86</c:v>
                </c:pt>
                <c:pt idx="6">
                  <c:v>52.24</c:v>
                </c:pt>
                <c:pt idx="7">
                  <c:v>52.34</c:v>
                </c:pt>
                <c:pt idx="8">
                  <c:v>52.79</c:v>
                </c:pt>
                <c:pt idx="9">
                  <c:v>53.45</c:v>
                </c:pt>
                <c:pt idx="10">
                  <c:v>53.67</c:v>
                </c:pt>
                <c:pt idx="11">
                  <c:v>53.87</c:v>
                </c:pt>
                <c:pt idx="12">
                  <c:v>54.17</c:v>
                </c:pt>
                <c:pt idx="13">
                  <c:v>54.46</c:v>
                </c:pt>
                <c:pt idx="14">
                  <c:v>54.71</c:v>
                </c:pt>
                <c:pt idx="15">
                  <c:v>54.74</c:v>
                </c:pt>
                <c:pt idx="16">
                  <c:v>55.73</c:v>
                </c:pt>
                <c:pt idx="17">
                  <c:v>56.02</c:v>
                </c:pt>
                <c:pt idx="18">
                  <c:v>56.74</c:v>
                </c:pt>
                <c:pt idx="19">
                  <c:v>56.85</c:v>
                </c:pt>
                <c:pt idx="20">
                  <c:v>57.39</c:v>
                </c:pt>
                <c:pt idx="21">
                  <c:v>57.5</c:v>
                </c:pt>
                <c:pt idx="22">
                  <c:v>58.27</c:v>
                </c:pt>
                <c:pt idx="23">
                  <c:v>58.29</c:v>
                </c:pt>
                <c:pt idx="24">
                  <c:v>58.32</c:v>
                </c:pt>
                <c:pt idx="25">
                  <c:v>58.49</c:v>
                </c:pt>
                <c:pt idx="26">
                  <c:v>58.51</c:v>
                </c:pt>
                <c:pt idx="27">
                  <c:v>59.15</c:v>
                </c:pt>
                <c:pt idx="28">
                  <c:v>61.19</c:v>
                </c:pt>
                <c:pt idx="29">
                  <c:v>61.21</c:v>
                </c:pt>
                <c:pt idx="30">
                  <c:v>61.22</c:v>
                </c:pt>
                <c:pt idx="31">
                  <c:v>61.5</c:v>
                </c:pt>
                <c:pt idx="32">
                  <c:v>61.71</c:v>
                </c:pt>
                <c:pt idx="33">
                  <c:v>61.86</c:v>
                </c:pt>
                <c:pt idx="34">
                  <c:v>63.6</c:v>
                </c:pt>
                <c:pt idx="35">
                  <c:v>63.91</c:v>
                </c:pt>
                <c:pt idx="36">
                  <c:v>64.09</c:v>
                </c:pt>
                <c:pt idx="37">
                  <c:v>64.22</c:v>
                </c:pt>
                <c:pt idx="38">
                  <c:v>64.489999999999995</c:v>
                </c:pt>
                <c:pt idx="39">
                  <c:v>64.5</c:v>
                </c:pt>
                <c:pt idx="40">
                  <c:v>65.45</c:v>
                </c:pt>
                <c:pt idx="41">
                  <c:v>65.680000000000007</c:v>
                </c:pt>
                <c:pt idx="42">
                  <c:v>66.86</c:v>
                </c:pt>
                <c:pt idx="43">
                  <c:v>67.92</c:v>
                </c:pt>
                <c:pt idx="44">
                  <c:v>68.02</c:v>
                </c:pt>
                <c:pt idx="45">
                  <c:v>68.59</c:v>
                </c:pt>
                <c:pt idx="46">
                  <c:v>69.41</c:v>
                </c:pt>
                <c:pt idx="47">
                  <c:v>69.78</c:v>
                </c:pt>
                <c:pt idx="48">
                  <c:v>70.3</c:v>
                </c:pt>
                <c:pt idx="49">
                  <c:v>70.42</c:v>
                </c:pt>
                <c:pt idx="50">
                  <c:v>71</c:v>
                </c:pt>
                <c:pt idx="51">
                  <c:v>71.72</c:v>
                </c:pt>
                <c:pt idx="52">
                  <c:v>71.95</c:v>
                </c:pt>
                <c:pt idx="53">
                  <c:v>72.8</c:v>
                </c:pt>
                <c:pt idx="54">
                  <c:v>73.19</c:v>
                </c:pt>
                <c:pt idx="55">
                  <c:v>73.23</c:v>
                </c:pt>
                <c:pt idx="56">
                  <c:v>73.319999999999993</c:v>
                </c:pt>
                <c:pt idx="57">
                  <c:v>73.739999999999995</c:v>
                </c:pt>
                <c:pt idx="58">
                  <c:v>74.09</c:v>
                </c:pt>
                <c:pt idx="59">
                  <c:v>74.69</c:v>
                </c:pt>
                <c:pt idx="60">
                  <c:v>75.27</c:v>
                </c:pt>
                <c:pt idx="61">
                  <c:v>75.91</c:v>
                </c:pt>
                <c:pt idx="62">
                  <c:v>76.27</c:v>
                </c:pt>
                <c:pt idx="63">
                  <c:v>77.08</c:v>
                </c:pt>
                <c:pt idx="64">
                  <c:v>77.650000000000006</c:v>
                </c:pt>
                <c:pt idx="65">
                  <c:v>78</c:v>
                </c:pt>
                <c:pt idx="66">
                  <c:v>78.319999999999993</c:v>
                </c:pt>
                <c:pt idx="67">
                  <c:v>78.64</c:v>
                </c:pt>
                <c:pt idx="68">
                  <c:v>78.709999999999994</c:v>
                </c:pt>
                <c:pt idx="69">
                  <c:v>78.900000000000006</c:v>
                </c:pt>
                <c:pt idx="70">
                  <c:v>79</c:v>
                </c:pt>
                <c:pt idx="71">
                  <c:v>79.099999999999994</c:v>
                </c:pt>
                <c:pt idx="72">
                  <c:v>79.3</c:v>
                </c:pt>
                <c:pt idx="73">
                  <c:v>79.430000000000007</c:v>
                </c:pt>
                <c:pt idx="74">
                  <c:v>79.81</c:v>
                </c:pt>
                <c:pt idx="75">
                  <c:v>80.17</c:v>
                </c:pt>
                <c:pt idx="76">
                  <c:v>81.180000000000007</c:v>
                </c:pt>
                <c:pt idx="77">
                  <c:v>81.23</c:v>
                </c:pt>
                <c:pt idx="78">
                  <c:v>81.25</c:v>
                </c:pt>
                <c:pt idx="79">
                  <c:v>81.91</c:v>
                </c:pt>
                <c:pt idx="80">
                  <c:v>82.13</c:v>
                </c:pt>
                <c:pt idx="81">
                  <c:v>82.37</c:v>
                </c:pt>
                <c:pt idx="82">
                  <c:v>82.39</c:v>
                </c:pt>
                <c:pt idx="83">
                  <c:v>83.21</c:v>
                </c:pt>
                <c:pt idx="84">
                  <c:v>83.33</c:v>
                </c:pt>
                <c:pt idx="85">
                  <c:v>83.5</c:v>
                </c:pt>
                <c:pt idx="86">
                  <c:v>83.88</c:v>
                </c:pt>
                <c:pt idx="87">
                  <c:v>84.15</c:v>
                </c:pt>
                <c:pt idx="88">
                  <c:v>85.03</c:v>
                </c:pt>
                <c:pt idx="89">
                  <c:v>85.52</c:v>
                </c:pt>
                <c:pt idx="90">
                  <c:v>85.57</c:v>
                </c:pt>
                <c:pt idx="91">
                  <c:v>85.61</c:v>
                </c:pt>
                <c:pt idx="92">
                  <c:v>86.39</c:v>
                </c:pt>
                <c:pt idx="93">
                  <c:v>86.63</c:v>
                </c:pt>
                <c:pt idx="94">
                  <c:v>87.03</c:v>
                </c:pt>
                <c:pt idx="95">
                  <c:v>88.4</c:v>
                </c:pt>
                <c:pt idx="96">
                  <c:v>88.78</c:v>
                </c:pt>
                <c:pt idx="97">
                  <c:v>89.32</c:v>
                </c:pt>
                <c:pt idx="98">
                  <c:v>89.6</c:v>
                </c:pt>
                <c:pt idx="99">
                  <c:v>90.79</c:v>
                </c:pt>
                <c:pt idx="100">
                  <c:v>91.24</c:v>
                </c:pt>
                <c:pt idx="101">
                  <c:v>91.27</c:v>
                </c:pt>
                <c:pt idx="102">
                  <c:v>91.34</c:v>
                </c:pt>
                <c:pt idx="103">
                  <c:v>91.63</c:v>
                </c:pt>
                <c:pt idx="104">
                  <c:v>92.43</c:v>
                </c:pt>
                <c:pt idx="105">
                  <c:v>92.97</c:v>
                </c:pt>
                <c:pt idx="106">
                  <c:v>93.29</c:v>
                </c:pt>
                <c:pt idx="107">
                  <c:v>93.52</c:v>
                </c:pt>
                <c:pt idx="108">
                  <c:v>96.18</c:v>
                </c:pt>
                <c:pt idx="109">
                  <c:v>96.52</c:v>
                </c:pt>
                <c:pt idx="110">
                  <c:v>96.68</c:v>
                </c:pt>
                <c:pt idx="111">
                  <c:v>96.86</c:v>
                </c:pt>
                <c:pt idx="112">
                  <c:v>97.97</c:v>
                </c:pt>
                <c:pt idx="113">
                  <c:v>98.02</c:v>
                </c:pt>
                <c:pt idx="114">
                  <c:v>98.63</c:v>
                </c:pt>
                <c:pt idx="115">
                  <c:v>98.97</c:v>
                </c:pt>
                <c:pt idx="116">
                  <c:v>100.32</c:v>
                </c:pt>
                <c:pt idx="117">
                  <c:v>101.29</c:v>
                </c:pt>
                <c:pt idx="118">
                  <c:v>101.31</c:v>
                </c:pt>
                <c:pt idx="119">
                  <c:v>101.7</c:v>
                </c:pt>
                <c:pt idx="120">
                  <c:v>102.09</c:v>
                </c:pt>
                <c:pt idx="121">
                  <c:v>102.73</c:v>
                </c:pt>
                <c:pt idx="122">
                  <c:v>102.91</c:v>
                </c:pt>
                <c:pt idx="123">
                  <c:v>102.96</c:v>
                </c:pt>
                <c:pt idx="124">
                  <c:v>103.4</c:v>
                </c:pt>
                <c:pt idx="125">
                  <c:v>104.74</c:v>
                </c:pt>
                <c:pt idx="126">
                  <c:v>105.29</c:v>
                </c:pt>
                <c:pt idx="127">
                  <c:v>105.64</c:v>
                </c:pt>
                <c:pt idx="128">
                  <c:v>105.76</c:v>
                </c:pt>
                <c:pt idx="129">
                  <c:v>105.87</c:v>
                </c:pt>
                <c:pt idx="130">
                  <c:v>105.95</c:v>
                </c:pt>
                <c:pt idx="131">
                  <c:v>106.15</c:v>
                </c:pt>
                <c:pt idx="132">
                  <c:v>106.69</c:v>
                </c:pt>
                <c:pt idx="133">
                  <c:v>106.96</c:v>
                </c:pt>
                <c:pt idx="134">
                  <c:v>107.21</c:v>
                </c:pt>
                <c:pt idx="135">
                  <c:v>107.82</c:v>
                </c:pt>
                <c:pt idx="136">
                  <c:v>108.5</c:v>
                </c:pt>
                <c:pt idx="137">
                  <c:v>108.61</c:v>
                </c:pt>
                <c:pt idx="138">
                  <c:v>109.29</c:v>
                </c:pt>
                <c:pt idx="139">
                  <c:v>109.88</c:v>
                </c:pt>
                <c:pt idx="140">
                  <c:v>109.97</c:v>
                </c:pt>
                <c:pt idx="141">
                  <c:v>110.4</c:v>
                </c:pt>
                <c:pt idx="142">
                  <c:v>111.24</c:v>
                </c:pt>
                <c:pt idx="143">
                  <c:v>111.27</c:v>
                </c:pt>
                <c:pt idx="144">
                  <c:v>111.7</c:v>
                </c:pt>
                <c:pt idx="145">
                  <c:v>111.75</c:v>
                </c:pt>
                <c:pt idx="146">
                  <c:v>112.55</c:v>
                </c:pt>
                <c:pt idx="147">
                  <c:v>112.69</c:v>
                </c:pt>
                <c:pt idx="148">
                  <c:v>113.01</c:v>
                </c:pt>
                <c:pt idx="149">
                  <c:v>113.51</c:v>
                </c:pt>
                <c:pt idx="150">
                  <c:v>113.57</c:v>
                </c:pt>
                <c:pt idx="151">
                  <c:v>113.88</c:v>
                </c:pt>
                <c:pt idx="152">
                  <c:v>114.03</c:v>
                </c:pt>
                <c:pt idx="153">
                  <c:v>114.44</c:v>
                </c:pt>
                <c:pt idx="154">
                  <c:v>114.93</c:v>
                </c:pt>
                <c:pt idx="155">
                  <c:v>116.14</c:v>
                </c:pt>
                <c:pt idx="156">
                  <c:v>116.92</c:v>
                </c:pt>
                <c:pt idx="157">
                  <c:v>117.03</c:v>
                </c:pt>
                <c:pt idx="158">
                  <c:v>117.13</c:v>
                </c:pt>
                <c:pt idx="159">
                  <c:v>118.65</c:v>
                </c:pt>
                <c:pt idx="160">
                  <c:v>119.51</c:v>
                </c:pt>
                <c:pt idx="161">
                  <c:v>120.56</c:v>
                </c:pt>
                <c:pt idx="162">
                  <c:v>121.57</c:v>
                </c:pt>
                <c:pt idx="163">
                  <c:v>121.7</c:v>
                </c:pt>
                <c:pt idx="164">
                  <c:v>122.46</c:v>
                </c:pt>
                <c:pt idx="165">
                  <c:v>122.55</c:v>
                </c:pt>
                <c:pt idx="166">
                  <c:v>122.58</c:v>
                </c:pt>
                <c:pt idx="167">
                  <c:v>122.99</c:v>
                </c:pt>
                <c:pt idx="168">
                  <c:v>123.7</c:v>
                </c:pt>
                <c:pt idx="169">
                  <c:v>123.73</c:v>
                </c:pt>
                <c:pt idx="170">
                  <c:v>124.17</c:v>
                </c:pt>
                <c:pt idx="171">
                  <c:v>125.68</c:v>
                </c:pt>
                <c:pt idx="172">
                  <c:v>125.8</c:v>
                </c:pt>
                <c:pt idx="173">
                  <c:v>125.89</c:v>
                </c:pt>
                <c:pt idx="174">
                  <c:v>126.26</c:v>
                </c:pt>
                <c:pt idx="175">
                  <c:v>127.18</c:v>
                </c:pt>
                <c:pt idx="176">
                  <c:v>127.66</c:v>
                </c:pt>
                <c:pt idx="177">
                  <c:v>128.01</c:v>
                </c:pt>
                <c:pt idx="178">
                  <c:v>128.74</c:v>
                </c:pt>
                <c:pt idx="179">
                  <c:v>129.1</c:v>
                </c:pt>
                <c:pt idx="180">
                  <c:v>129.63999999999999</c:v>
                </c:pt>
                <c:pt idx="181">
                  <c:v>129.82</c:v>
                </c:pt>
                <c:pt idx="182">
                  <c:v>130.84</c:v>
                </c:pt>
                <c:pt idx="183">
                  <c:v>130.91999999999999</c:v>
                </c:pt>
                <c:pt idx="184">
                  <c:v>131.36000000000001</c:v>
                </c:pt>
                <c:pt idx="185">
                  <c:v>131.47999999999999</c:v>
                </c:pt>
                <c:pt idx="186">
                  <c:v>131.85</c:v>
                </c:pt>
                <c:pt idx="187">
                  <c:v>131.9</c:v>
                </c:pt>
                <c:pt idx="188">
                  <c:v>132.52000000000001</c:v>
                </c:pt>
                <c:pt idx="189">
                  <c:v>132.66999999999999</c:v>
                </c:pt>
                <c:pt idx="190">
                  <c:v>133.04</c:v>
                </c:pt>
                <c:pt idx="191">
                  <c:v>135.65</c:v>
                </c:pt>
                <c:pt idx="192">
                  <c:v>135.80000000000001</c:v>
                </c:pt>
                <c:pt idx="193">
                  <c:v>136.1</c:v>
                </c:pt>
                <c:pt idx="194">
                  <c:v>136.19999999999999</c:v>
                </c:pt>
                <c:pt idx="195">
                  <c:v>136.53</c:v>
                </c:pt>
                <c:pt idx="196">
                  <c:v>136.66999999999999</c:v>
                </c:pt>
                <c:pt idx="197">
                  <c:v>137.75</c:v>
                </c:pt>
                <c:pt idx="198">
                  <c:v>138.19999999999999</c:v>
                </c:pt>
                <c:pt idx="199">
                  <c:v>138.35</c:v>
                </c:pt>
                <c:pt idx="200">
                  <c:v>138.44</c:v>
                </c:pt>
                <c:pt idx="201">
                  <c:v>138.88</c:v>
                </c:pt>
                <c:pt idx="202">
                  <c:v>139.1</c:v>
                </c:pt>
                <c:pt idx="203">
                  <c:v>139.83000000000001</c:v>
                </c:pt>
                <c:pt idx="204">
                  <c:v>140.31</c:v>
                </c:pt>
                <c:pt idx="205">
                  <c:v>140.87</c:v>
                </c:pt>
                <c:pt idx="206">
                  <c:v>141.09</c:v>
                </c:pt>
                <c:pt idx="207">
                  <c:v>141.63</c:v>
                </c:pt>
                <c:pt idx="208">
                  <c:v>142.02000000000001</c:v>
                </c:pt>
                <c:pt idx="209">
                  <c:v>142.43</c:v>
                </c:pt>
                <c:pt idx="210">
                  <c:v>142.69999999999999</c:v>
                </c:pt>
                <c:pt idx="211">
                  <c:v>143.52000000000001</c:v>
                </c:pt>
                <c:pt idx="212">
                  <c:v>143.80000000000001</c:v>
                </c:pt>
                <c:pt idx="213">
                  <c:v>144.38999999999999</c:v>
                </c:pt>
                <c:pt idx="214">
                  <c:v>145.02000000000001</c:v>
                </c:pt>
                <c:pt idx="215">
                  <c:v>145.97999999999999</c:v>
                </c:pt>
                <c:pt idx="216">
                  <c:v>146.07</c:v>
                </c:pt>
                <c:pt idx="217">
                  <c:v>146.59</c:v>
                </c:pt>
                <c:pt idx="218">
                  <c:v>148.97999999999999</c:v>
                </c:pt>
                <c:pt idx="219">
                  <c:v>149.41999999999999</c:v>
                </c:pt>
                <c:pt idx="220">
                  <c:v>149.52000000000001</c:v>
                </c:pt>
                <c:pt idx="221">
                  <c:v>149.88</c:v>
                </c:pt>
                <c:pt idx="222">
                  <c:v>150.11000000000001</c:v>
                </c:pt>
                <c:pt idx="223">
                  <c:v>150.33000000000001</c:v>
                </c:pt>
                <c:pt idx="224">
                  <c:v>151.25</c:v>
                </c:pt>
                <c:pt idx="225">
                  <c:v>151.72999999999999</c:v>
                </c:pt>
                <c:pt idx="226">
                  <c:v>151.81</c:v>
                </c:pt>
                <c:pt idx="227">
                  <c:v>152.33000000000001</c:v>
                </c:pt>
                <c:pt idx="228">
                  <c:v>152.87</c:v>
                </c:pt>
                <c:pt idx="229">
                  <c:v>154.19</c:v>
                </c:pt>
                <c:pt idx="230">
                  <c:v>156.4</c:v>
                </c:pt>
                <c:pt idx="231">
                  <c:v>156.47999999999999</c:v>
                </c:pt>
                <c:pt idx="232">
                  <c:v>156.5</c:v>
                </c:pt>
                <c:pt idx="233">
                  <c:v>157.21</c:v>
                </c:pt>
                <c:pt idx="234">
                  <c:v>157.26</c:v>
                </c:pt>
                <c:pt idx="235">
                  <c:v>158.54</c:v>
                </c:pt>
                <c:pt idx="236">
                  <c:v>158.84</c:v>
                </c:pt>
                <c:pt idx="237">
                  <c:v>159.30000000000001</c:v>
                </c:pt>
                <c:pt idx="238">
                  <c:v>159.44999999999999</c:v>
                </c:pt>
                <c:pt idx="239">
                  <c:v>159.53</c:v>
                </c:pt>
                <c:pt idx="240">
                  <c:v>159.82</c:v>
                </c:pt>
                <c:pt idx="241">
                  <c:v>160.25</c:v>
                </c:pt>
                <c:pt idx="242">
                  <c:v>160.47</c:v>
                </c:pt>
                <c:pt idx="243">
                  <c:v>160.82</c:v>
                </c:pt>
                <c:pt idx="244">
                  <c:v>160.88999999999999</c:v>
                </c:pt>
                <c:pt idx="245">
                  <c:v>161.34</c:v>
                </c:pt>
                <c:pt idx="246">
                  <c:v>161.38</c:v>
                </c:pt>
                <c:pt idx="247">
                  <c:v>161.41</c:v>
                </c:pt>
                <c:pt idx="248">
                  <c:v>161.85</c:v>
                </c:pt>
                <c:pt idx="249">
                  <c:v>162.22</c:v>
                </c:pt>
                <c:pt idx="250">
                  <c:v>162.24</c:v>
                </c:pt>
                <c:pt idx="251">
                  <c:v>162.31</c:v>
                </c:pt>
                <c:pt idx="252">
                  <c:v>162.94999999999999</c:v>
                </c:pt>
                <c:pt idx="253">
                  <c:v>163.13999999999999</c:v>
                </c:pt>
                <c:pt idx="254">
                  <c:v>163.22</c:v>
                </c:pt>
                <c:pt idx="255">
                  <c:v>163.4</c:v>
                </c:pt>
                <c:pt idx="256">
                  <c:v>163.41</c:v>
                </c:pt>
                <c:pt idx="257">
                  <c:v>164.27</c:v>
                </c:pt>
                <c:pt idx="258">
                  <c:v>164.44</c:v>
                </c:pt>
                <c:pt idx="259">
                  <c:v>164.79</c:v>
                </c:pt>
                <c:pt idx="260">
                  <c:v>164.94</c:v>
                </c:pt>
                <c:pt idx="261">
                  <c:v>165.01</c:v>
                </c:pt>
                <c:pt idx="262">
                  <c:v>166</c:v>
                </c:pt>
                <c:pt idx="263">
                  <c:v>166.45</c:v>
                </c:pt>
                <c:pt idx="264">
                  <c:v>166.74</c:v>
                </c:pt>
                <c:pt idx="265">
                  <c:v>167.61</c:v>
                </c:pt>
                <c:pt idx="266">
                  <c:v>167.67</c:v>
                </c:pt>
                <c:pt idx="267">
                  <c:v>169.28</c:v>
                </c:pt>
                <c:pt idx="268">
                  <c:v>169.77</c:v>
                </c:pt>
                <c:pt idx="269">
                  <c:v>170.35</c:v>
                </c:pt>
                <c:pt idx="270">
                  <c:v>170.71</c:v>
                </c:pt>
                <c:pt idx="271">
                  <c:v>170.77</c:v>
                </c:pt>
                <c:pt idx="272">
                  <c:v>171.17</c:v>
                </c:pt>
                <c:pt idx="273">
                  <c:v>171.52</c:v>
                </c:pt>
                <c:pt idx="274">
                  <c:v>171.61</c:v>
                </c:pt>
                <c:pt idx="275">
                  <c:v>171.72</c:v>
                </c:pt>
                <c:pt idx="276">
                  <c:v>172.5</c:v>
                </c:pt>
                <c:pt idx="277">
                  <c:v>173.43</c:v>
                </c:pt>
                <c:pt idx="278">
                  <c:v>173.46</c:v>
                </c:pt>
                <c:pt idx="279">
                  <c:v>175.65</c:v>
                </c:pt>
                <c:pt idx="280">
                  <c:v>175.74</c:v>
                </c:pt>
                <c:pt idx="281">
                  <c:v>176.12</c:v>
                </c:pt>
                <c:pt idx="282">
                  <c:v>177.05</c:v>
                </c:pt>
                <c:pt idx="283">
                  <c:v>178.04</c:v>
                </c:pt>
                <c:pt idx="284">
                  <c:v>178.04</c:v>
                </c:pt>
                <c:pt idx="285">
                  <c:v>178.21</c:v>
                </c:pt>
                <c:pt idx="286">
                  <c:v>178.29</c:v>
                </c:pt>
                <c:pt idx="287">
                  <c:v>178.61</c:v>
                </c:pt>
                <c:pt idx="288">
                  <c:v>179.19</c:v>
                </c:pt>
                <c:pt idx="289">
                  <c:v>180.21</c:v>
                </c:pt>
                <c:pt idx="290">
                  <c:v>181.1</c:v>
                </c:pt>
                <c:pt idx="291">
                  <c:v>181.87</c:v>
                </c:pt>
                <c:pt idx="292">
                  <c:v>182.54</c:v>
                </c:pt>
                <c:pt idx="293">
                  <c:v>182.6</c:v>
                </c:pt>
                <c:pt idx="294">
                  <c:v>182.72</c:v>
                </c:pt>
                <c:pt idx="295">
                  <c:v>182.89</c:v>
                </c:pt>
                <c:pt idx="296">
                  <c:v>182.94</c:v>
                </c:pt>
                <c:pt idx="297">
                  <c:v>183.66</c:v>
                </c:pt>
                <c:pt idx="298">
                  <c:v>183.86</c:v>
                </c:pt>
                <c:pt idx="299">
                  <c:v>184.74</c:v>
                </c:pt>
                <c:pt idx="300">
                  <c:v>185.83</c:v>
                </c:pt>
                <c:pt idx="301">
                  <c:v>186.85</c:v>
                </c:pt>
                <c:pt idx="302">
                  <c:v>187.22</c:v>
                </c:pt>
                <c:pt idx="303">
                  <c:v>188.17</c:v>
                </c:pt>
                <c:pt idx="304">
                  <c:v>189.97</c:v>
                </c:pt>
                <c:pt idx="305">
                  <c:v>190.06</c:v>
                </c:pt>
                <c:pt idx="306">
                  <c:v>190.25</c:v>
                </c:pt>
                <c:pt idx="307">
                  <c:v>190.76</c:v>
                </c:pt>
                <c:pt idx="308">
                  <c:v>191.21</c:v>
                </c:pt>
                <c:pt idx="309">
                  <c:v>192.35</c:v>
                </c:pt>
                <c:pt idx="310">
                  <c:v>192.51</c:v>
                </c:pt>
                <c:pt idx="311">
                  <c:v>193.3</c:v>
                </c:pt>
                <c:pt idx="312">
                  <c:v>193.32</c:v>
                </c:pt>
                <c:pt idx="313">
                  <c:v>193.76</c:v>
                </c:pt>
                <c:pt idx="314">
                  <c:v>193.94</c:v>
                </c:pt>
                <c:pt idx="315">
                  <c:v>194.08</c:v>
                </c:pt>
                <c:pt idx="316">
                  <c:v>194.93</c:v>
                </c:pt>
                <c:pt idx="317">
                  <c:v>195.05</c:v>
                </c:pt>
                <c:pt idx="318">
                  <c:v>195.07</c:v>
                </c:pt>
                <c:pt idx="319">
                  <c:v>195.46</c:v>
                </c:pt>
                <c:pt idx="320">
                  <c:v>195.83</c:v>
                </c:pt>
                <c:pt idx="321">
                  <c:v>196.33</c:v>
                </c:pt>
                <c:pt idx="322">
                  <c:v>196.63</c:v>
                </c:pt>
                <c:pt idx="323">
                  <c:v>197.12</c:v>
                </c:pt>
                <c:pt idx="324">
                  <c:v>197.7</c:v>
                </c:pt>
                <c:pt idx="325">
                  <c:v>197.9</c:v>
                </c:pt>
                <c:pt idx="326">
                  <c:v>197.9</c:v>
                </c:pt>
                <c:pt idx="327">
                  <c:v>198.36</c:v>
                </c:pt>
                <c:pt idx="328">
                  <c:v>198.45</c:v>
                </c:pt>
                <c:pt idx="329">
                  <c:v>198.73</c:v>
                </c:pt>
                <c:pt idx="330">
                  <c:v>198.89</c:v>
                </c:pt>
                <c:pt idx="331">
                  <c:v>199.44</c:v>
                </c:pt>
                <c:pt idx="332">
                  <c:v>199.64</c:v>
                </c:pt>
                <c:pt idx="333">
                  <c:v>201.53</c:v>
                </c:pt>
                <c:pt idx="334">
                  <c:v>201.6</c:v>
                </c:pt>
                <c:pt idx="335">
                  <c:v>201.69</c:v>
                </c:pt>
                <c:pt idx="336">
                  <c:v>201.96</c:v>
                </c:pt>
                <c:pt idx="337">
                  <c:v>203.13</c:v>
                </c:pt>
                <c:pt idx="338">
                  <c:v>203.49</c:v>
                </c:pt>
                <c:pt idx="339">
                  <c:v>204.29</c:v>
                </c:pt>
                <c:pt idx="340">
                  <c:v>204.44</c:v>
                </c:pt>
                <c:pt idx="341">
                  <c:v>204.47</c:v>
                </c:pt>
                <c:pt idx="342">
                  <c:v>204.83</c:v>
                </c:pt>
                <c:pt idx="343">
                  <c:v>205.36</c:v>
                </c:pt>
                <c:pt idx="344">
                  <c:v>205.49</c:v>
                </c:pt>
                <c:pt idx="345">
                  <c:v>206.32</c:v>
                </c:pt>
                <c:pt idx="346">
                  <c:v>206.79</c:v>
                </c:pt>
                <c:pt idx="347">
                  <c:v>207.11</c:v>
                </c:pt>
                <c:pt idx="348">
                  <c:v>207.18</c:v>
                </c:pt>
                <c:pt idx="349">
                  <c:v>207.24</c:v>
                </c:pt>
                <c:pt idx="350">
                  <c:v>207.52</c:v>
                </c:pt>
                <c:pt idx="351">
                  <c:v>207.66</c:v>
                </c:pt>
                <c:pt idx="352">
                  <c:v>208.59</c:v>
                </c:pt>
                <c:pt idx="353">
                  <c:v>208.6</c:v>
                </c:pt>
                <c:pt idx="354">
                  <c:v>209.62</c:v>
                </c:pt>
                <c:pt idx="355">
                  <c:v>209.68</c:v>
                </c:pt>
                <c:pt idx="356">
                  <c:v>209.79</c:v>
                </c:pt>
                <c:pt idx="357">
                  <c:v>210.21</c:v>
                </c:pt>
                <c:pt idx="358">
                  <c:v>210.58</c:v>
                </c:pt>
                <c:pt idx="359">
                  <c:v>210.9</c:v>
                </c:pt>
                <c:pt idx="360">
                  <c:v>211.16</c:v>
                </c:pt>
                <c:pt idx="361">
                  <c:v>211.39</c:v>
                </c:pt>
                <c:pt idx="362">
                  <c:v>211.7</c:v>
                </c:pt>
                <c:pt idx="363">
                  <c:v>212.08</c:v>
                </c:pt>
                <c:pt idx="364">
                  <c:v>212.63</c:v>
                </c:pt>
                <c:pt idx="365">
                  <c:v>212.8</c:v>
                </c:pt>
                <c:pt idx="366">
                  <c:v>213.39</c:v>
                </c:pt>
                <c:pt idx="367">
                  <c:v>214.48</c:v>
                </c:pt>
                <c:pt idx="368">
                  <c:v>214.59</c:v>
                </c:pt>
                <c:pt idx="369">
                  <c:v>214.69</c:v>
                </c:pt>
                <c:pt idx="370">
                  <c:v>214.82</c:v>
                </c:pt>
                <c:pt idx="371">
                  <c:v>215.31</c:v>
                </c:pt>
                <c:pt idx="372">
                  <c:v>215.54</c:v>
                </c:pt>
                <c:pt idx="373">
                  <c:v>216.45</c:v>
                </c:pt>
                <c:pt idx="374">
                  <c:v>216.84</c:v>
                </c:pt>
                <c:pt idx="375">
                  <c:v>217.62</c:v>
                </c:pt>
                <c:pt idx="376">
                  <c:v>217.72</c:v>
                </c:pt>
                <c:pt idx="377">
                  <c:v>217.84</c:v>
                </c:pt>
                <c:pt idx="378">
                  <c:v>218.06</c:v>
                </c:pt>
                <c:pt idx="379">
                  <c:v>218.26</c:v>
                </c:pt>
                <c:pt idx="380">
                  <c:v>218.32</c:v>
                </c:pt>
                <c:pt idx="381">
                  <c:v>218.65</c:v>
                </c:pt>
                <c:pt idx="382">
                  <c:v>218.87</c:v>
                </c:pt>
                <c:pt idx="383">
                  <c:v>220.77</c:v>
                </c:pt>
                <c:pt idx="384">
                  <c:v>221.88</c:v>
                </c:pt>
                <c:pt idx="385">
                  <c:v>222.22</c:v>
                </c:pt>
                <c:pt idx="386">
                  <c:v>222.61</c:v>
                </c:pt>
                <c:pt idx="387">
                  <c:v>222.63</c:v>
                </c:pt>
                <c:pt idx="388">
                  <c:v>223.47</c:v>
                </c:pt>
                <c:pt idx="389">
                  <c:v>223.58</c:v>
                </c:pt>
                <c:pt idx="390">
                  <c:v>224.52</c:v>
                </c:pt>
                <c:pt idx="391">
                  <c:v>225.05</c:v>
                </c:pt>
                <c:pt idx="392">
                  <c:v>225.12</c:v>
                </c:pt>
                <c:pt idx="393">
                  <c:v>226.04</c:v>
                </c:pt>
                <c:pt idx="394">
                  <c:v>226.48</c:v>
                </c:pt>
                <c:pt idx="395">
                  <c:v>226.53</c:v>
                </c:pt>
                <c:pt idx="396">
                  <c:v>227.03</c:v>
                </c:pt>
                <c:pt idx="397">
                  <c:v>227.03</c:v>
                </c:pt>
                <c:pt idx="398">
                  <c:v>227.47</c:v>
                </c:pt>
                <c:pt idx="399">
                  <c:v>227.57</c:v>
                </c:pt>
                <c:pt idx="400">
                  <c:v>227.58</c:v>
                </c:pt>
                <c:pt idx="401">
                  <c:v>227.58</c:v>
                </c:pt>
                <c:pt idx="402">
                  <c:v>228.47</c:v>
                </c:pt>
                <c:pt idx="403">
                  <c:v>228.68</c:v>
                </c:pt>
                <c:pt idx="404">
                  <c:v>228.93</c:v>
                </c:pt>
                <c:pt idx="405">
                  <c:v>229.3</c:v>
                </c:pt>
                <c:pt idx="406">
                  <c:v>229.56</c:v>
                </c:pt>
                <c:pt idx="407">
                  <c:v>229.97</c:v>
                </c:pt>
                <c:pt idx="408">
                  <c:v>231.26</c:v>
                </c:pt>
                <c:pt idx="409">
                  <c:v>233.02</c:v>
                </c:pt>
                <c:pt idx="410">
                  <c:v>234.44</c:v>
                </c:pt>
                <c:pt idx="411">
                  <c:v>234.58</c:v>
                </c:pt>
                <c:pt idx="412">
                  <c:v>235.13</c:v>
                </c:pt>
                <c:pt idx="413">
                  <c:v>235.32</c:v>
                </c:pt>
                <c:pt idx="414">
                  <c:v>235.39</c:v>
                </c:pt>
                <c:pt idx="415">
                  <c:v>235.46</c:v>
                </c:pt>
                <c:pt idx="416">
                  <c:v>235.49</c:v>
                </c:pt>
                <c:pt idx="417">
                  <c:v>235.84</c:v>
                </c:pt>
                <c:pt idx="418">
                  <c:v>236.05</c:v>
                </c:pt>
                <c:pt idx="419">
                  <c:v>236.44</c:v>
                </c:pt>
                <c:pt idx="420">
                  <c:v>236.99</c:v>
                </c:pt>
                <c:pt idx="421">
                  <c:v>237.57</c:v>
                </c:pt>
                <c:pt idx="422">
                  <c:v>238.01</c:v>
                </c:pt>
                <c:pt idx="423">
                  <c:v>238.58</c:v>
                </c:pt>
                <c:pt idx="424">
                  <c:v>238.93</c:v>
                </c:pt>
                <c:pt idx="425">
                  <c:v>239.28</c:v>
                </c:pt>
                <c:pt idx="426">
                  <c:v>239.46</c:v>
                </c:pt>
                <c:pt idx="427">
                  <c:v>240.28</c:v>
                </c:pt>
                <c:pt idx="428">
                  <c:v>240.82</c:v>
                </c:pt>
                <c:pt idx="429">
                  <c:v>241.1</c:v>
                </c:pt>
                <c:pt idx="430">
                  <c:v>241.56</c:v>
                </c:pt>
                <c:pt idx="431">
                  <c:v>241.72</c:v>
                </c:pt>
                <c:pt idx="432">
                  <c:v>242.57</c:v>
                </c:pt>
                <c:pt idx="433">
                  <c:v>242.65</c:v>
                </c:pt>
                <c:pt idx="434">
                  <c:v>242.79</c:v>
                </c:pt>
                <c:pt idx="435">
                  <c:v>244.47</c:v>
                </c:pt>
                <c:pt idx="436">
                  <c:v>244.6</c:v>
                </c:pt>
                <c:pt idx="437">
                  <c:v>245.04</c:v>
                </c:pt>
                <c:pt idx="438">
                  <c:v>245.14</c:v>
                </c:pt>
                <c:pt idx="439">
                  <c:v>245.98</c:v>
                </c:pt>
                <c:pt idx="440">
                  <c:v>246.41</c:v>
                </c:pt>
                <c:pt idx="441">
                  <c:v>246.44</c:v>
                </c:pt>
                <c:pt idx="442">
                  <c:v>246.63</c:v>
                </c:pt>
                <c:pt idx="443">
                  <c:v>246.74</c:v>
                </c:pt>
                <c:pt idx="444">
                  <c:v>247.05</c:v>
                </c:pt>
                <c:pt idx="445">
                  <c:v>247.3</c:v>
                </c:pt>
                <c:pt idx="446">
                  <c:v>247.51</c:v>
                </c:pt>
                <c:pt idx="447">
                  <c:v>249.02</c:v>
                </c:pt>
                <c:pt idx="448">
                  <c:v>249.24</c:v>
                </c:pt>
                <c:pt idx="449">
                  <c:v>249.6</c:v>
                </c:pt>
                <c:pt idx="450">
                  <c:v>249.73</c:v>
                </c:pt>
                <c:pt idx="451">
                  <c:v>249.78</c:v>
                </c:pt>
                <c:pt idx="452">
                  <c:v>249.82</c:v>
                </c:pt>
                <c:pt idx="453">
                  <c:v>250.54</c:v>
                </c:pt>
                <c:pt idx="454">
                  <c:v>250.73</c:v>
                </c:pt>
                <c:pt idx="455">
                  <c:v>251.54</c:v>
                </c:pt>
                <c:pt idx="456">
                  <c:v>251.63</c:v>
                </c:pt>
                <c:pt idx="457">
                  <c:v>251.8</c:v>
                </c:pt>
                <c:pt idx="458">
                  <c:v>251.93</c:v>
                </c:pt>
                <c:pt idx="459">
                  <c:v>253.29</c:v>
                </c:pt>
                <c:pt idx="460">
                  <c:v>253.37</c:v>
                </c:pt>
                <c:pt idx="461">
                  <c:v>253.37</c:v>
                </c:pt>
                <c:pt idx="462">
                  <c:v>254.29</c:v>
                </c:pt>
                <c:pt idx="463">
                  <c:v>254.73</c:v>
                </c:pt>
                <c:pt idx="464">
                  <c:v>254.83</c:v>
                </c:pt>
                <c:pt idx="465">
                  <c:v>255.1</c:v>
                </c:pt>
                <c:pt idx="466">
                  <c:v>255.42</c:v>
                </c:pt>
                <c:pt idx="467">
                  <c:v>255.86</c:v>
                </c:pt>
                <c:pt idx="468">
                  <c:v>255.96</c:v>
                </c:pt>
                <c:pt idx="469">
                  <c:v>256.44</c:v>
                </c:pt>
                <c:pt idx="470">
                  <c:v>256.63</c:v>
                </c:pt>
                <c:pt idx="471">
                  <c:v>257.12</c:v>
                </c:pt>
                <c:pt idx="472">
                  <c:v>257.37</c:v>
                </c:pt>
                <c:pt idx="473">
                  <c:v>257.43</c:v>
                </c:pt>
                <c:pt idx="474">
                  <c:v>257.86</c:v>
                </c:pt>
                <c:pt idx="475">
                  <c:v>258.02</c:v>
                </c:pt>
                <c:pt idx="476">
                  <c:v>258.68</c:v>
                </c:pt>
                <c:pt idx="477">
                  <c:v>260.14</c:v>
                </c:pt>
                <c:pt idx="478">
                  <c:v>260.22000000000003</c:v>
                </c:pt>
                <c:pt idx="479">
                  <c:v>262.61</c:v>
                </c:pt>
                <c:pt idx="480">
                  <c:v>263.14999999999998</c:v>
                </c:pt>
                <c:pt idx="481">
                  <c:v>263.5</c:v>
                </c:pt>
                <c:pt idx="482">
                  <c:v>263.57</c:v>
                </c:pt>
                <c:pt idx="483">
                  <c:v>264.01</c:v>
                </c:pt>
                <c:pt idx="484">
                  <c:v>264.3</c:v>
                </c:pt>
                <c:pt idx="485">
                  <c:v>264.52</c:v>
                </c:pt>
                <c:pt idx="486">
                  <c:v>265.72000000000003</c:v>
                </c:pt>
                <c:pt idx="487">
                  <c:v>266.61</c:v>
                </c:pt>
                <c:pt idx="488">
                  <c:v>266.89999999999998</c:v>
                </c:pt>
                <c:pt idx="489">
                  <c:v>267.85000000000002</c:v>
                </c:pt>
                <c:pt idx="490">
                  <c:v>268.27999999999997</c:v>
                </c:pt>
                <c:pt idx="491">
                  <c:v>268.58999999999997</c:v>
                </c:pt>
                <c:pt idx="492">
                  <c:v>268.8</c:v>
                </c:pt>
                <c:pt idx="493">
                  <c:v>268.93</c:v>
                </c:pt>
                <c:pt idx="494">
                  <c:v>269.77999999999997</c:v>
                </c:pt>
                <c:pt idx="495">
                  <c:v>269.83999999999997</c:v>
                </c:pt>
                <c:pt idx="496">
                  <c:v>270.82</c:v>
                </c:pt>
                <c:pt idx="497">
                  <c:v>273.41000000000003</c:v>
                </c:pt>
                <c:pt idx="498">
                  <c:v>273.48</c:v>
                </c:pt>
                <c:pt idx="499">
                  <c:v>276.08</c:v>
                </c:pt>
                <c:pt idx="500">
                  <c:v>276.25</c:v>
                </c:pt>
                <c:pt idx="501">
                  <c:v>276.48</c:v>
                </c:pt>
                <c:pt idx="502">
                  <c:v>276.77</c:v>
                </c:pt>
                <c:pt idx="503">
                  <c:v>277.29000000000002</c:v>
                </c:pt>
                <c:pt idx="504">
                  <c:v>277.52</c:v>
                </c:pt>
                <c:pt idx="505">
                  <c:v>278.20999999999998</c:v>
                </c:pt>
                <c:pt idx="506">
                  <c:v>278.49</c:v>
                </c:pt>
                <c:pt idx="507">
                  <c:v>278.77999999999997</c:v>
                </c:pt>
                <c:pt idx="508">
                  <c:v>279.08</c:v>
                </c:pt>
                <c:pt idx="509">
                  <c:v>279.33999999999997</c:v>
                </c:pt>
                <c:pt idx="510">
                  <c:v>280.05</c:v>
                </c:pt>
                <c:pt idx="511">
                  <c:v>280.2</c:v>
                </c:pt>
                <c:pt idx="512">
                  <c:v>280.88</c:v>
                </c:pt>
                <c:pt idx="513">
                  <c:v>281.37</c:v>
                </c:pt>
                <c:pt idx="514">
                  <c:v>282.13</c:v>
                </c:pt>
                <c:pt idx="515">
                  <c:v>282.24</c:v>
                </c:pt>
                <c:pt idx="516">
                  <c:v>282.82</c:v>
                </c:pt>
                <c:pt idx="517">
                  <c:v>283.7</c:v>
                </c:pt>
                <c:pt idx="518">
                  <c:v>283.77999999999997</c:v>
                </c:pt>
                <c:pt idx="519">
                  <c:v>286.43</c:v>
                </c:pt>
                <c:pt idx="520">
                  <c:v>287.18</c:v>
                </c:pt>
                <c:pt idx="521">
                  <c:v>287.95</c:v>
                </c:pt>
                <c:pt idx="522">
                  <c:v>288.14999999999998</c:v>
                </c:pt>
                <c:pt idx="523">
                  <c:v>288.33999999999997</c:v>
                </c:pt>
                <c:pt idx="524">
                  <c:v>289.08</c:v>
                </c:pt>
                <c:pt idx="525">
                  <c:v>289.27999999999997</c:v>
                </c:pt>
                <c:pt idx="526">
                  <c:v>290.11</c:v>
                </c:pt>
                <c:pt idx="527">
                  <c:v>290.52999999999997</c:v>
                </c:pt>
                <c:pt idx="528">
                  <c:v>290.56</c:v>
                </c:pt>
                <c:pt idx="529">
                  <c:v>291.08999999999997</c:v>
                </c:pt>
                <c:pt idx="530">
                  <c:v>291.60000000000002</c:v>
                </c:pt>
                <c:pt idx="531">
                  <c:v>292.08</c:v>
                </c:pt>
                <c:pt idx="532">
                  <c:v>292.64</c:v>
                </c:pt>
                <c:pt idx="533">
                  <c:v>293.04000000000002</c:v>
                </c:pt>
                <c:pt idx="534">
                  <c:v>293.43</c:v>
                </c:pt>
                <c:pt idx="535">
                  <c:v>293.64</c:v>
                </c:pt>
                <c:pt idx="536">
                  <c:v>293.99</c:v>
                </c:pt>
                <c:pt idx="537">
                  <c:v>294.61</c:v>
                </c:pt>
                <c:pt idx="538">
                  <c:v>294.99</c:v>
                </c:pt>
                <c:pt idx="539">
                  <c:v>295.54000000000002</c:v>
                </c:pt>
                <c:pt idx="540">
                  <c:v>295.60000000000002</c:v>
                </c:pt>
                <c:pt idx="541">
                  <c:v>295.75</c:v>
                </c:pt>
                <c:pt idx="542">
                  <c:v>297.24</c:v>
                </c:pt>
                <c:pt idx="543">
                  <c:v>297.29000000000002</c:v>
                </c:pt>
                <c:pt idx="544">
                  <c:v>297.45</c:v>
                </c:pt>
                <c:pt idx="545">
                  <c:v>298.32</c:v>
                </c:pt>
                <c:pt idx="546">
                  <c:v>298.38</c:v>
                </c:pt>
                <c:pt idx="547">
                  <c:v>298.73</c:v>
                </c:pt>
                <c:pt idx="548">
                  <c:v>298.93</c:v>
                </c:pt>
                <c:pt idx="549">
                  <c:v>299.08999999999997</c:v>
                </c:pt>
                <c:pt idx="550">
                  <c:v>299.27999999999997</c:v>
                </c:pt>
                <c:pt idx="551">
                  <c:v>299.31</c:v>
                </c:pt>
                <c:pt idx="552">
                  <c:v>299.75</c:v>
                </c:pt>
                <c:pt idx="553">
                  <c:v>300.73</c:v>
                </c:pt>
                <c:pt idx="554">
                  <c:v>301.01</c:v>
                </c:pt>
                <c:pt idx="555">
                  <c:v>301.16000000000003</c:v>
                </c:pt>
                <c:pt idx="556">
                  <c:v>301.39</c:v>
                </c:pt>
                <c:pt idx="557">
                  <c:v>301.39999999999998</c:v>
                </c:pt>
                <c:pt idx="558">
                  <c:v>301.60000000000002</c:v>
                </c:pt>
                <c:pt idx="559">
                  <c:v>302.07</c:v>
                </c:pt>
                <c:pt idx="560">
                  <c:v>302.60000000000002</c:v>
                </c:pt>
                <c:pt idx="561">
                  <c:v>302.74</c:v>
                </c:pt>
                <c:pt idx="562">
                  <c:v>303.08999999999997</c:v>
                </c:pt>
                <c:pt idx="563">
                  <c:v>303.13</c:v>
                </c:pt>
                <c:pt idx="564">
                  <c:v>303.93</c:v>
                </c:pt>
                <c:pt idx="565">
                  <c:v>304.79000000000002</c:v>
                </c:pt>
                <c:pt idx="566">
                  <c:v>305.29000000000002</c:v>
                </c:pt>
                <c:pt idx="567">
                  <c:v>305.45</c:v>
                </c:pt>
                <c:pt idx="568">
                  <c:v>305.54000000000002</c:v>
                </c:pt>
                <c:pt idx="569">
                  <c:v>305.73</c:v>
                </c:pt>
                <c:pt idx="570">
                  <c:v>306.17</c:v>
                </c:pt>
                <c:pt idx="571">
                  <c:v>306.48</c:v>
                </c:pt>
                <c:pt idx="572">
                  <c:v>307.61</c:v>
                </c:pt>
                <c:pt idx="573">
                  <c:v>308.54000000000002</c:v>
                </c:pt>
                <c:pt idx="574">
                  <c:v>308.58</c:v>
                </c:pt>
                <c:pt idx="575">
                  <c:v>308.87</c:v>
                </c:pt>
                <c:pt idx="576">
                  <c:v>309.22000000000003</c:v>
                </c:pt>
                <c:pt idx="577">
                  <c:v>309.52999999999997</c:v>
                </c:pt>
                <c:pt idx="578">
                  <c:v>310.16000000000003</c:v>
                </c:pt>
                <c:pt idx="579">
                  <c:v>310.17</c:v>
                </c:pt>
                <c:pt idx="580">
                  <c:v>310.23</c:v>
                </c:pt>
                <c:pt idx="581">
                  <c:v>311.74</c:v>
                </c:pt>
                <c:pt idx="582">
                  <c:v>311.89999999999998</c:v>
                </c:pt>
                <c:pt idx="583">
                  <c:v>312.93</c:v>
                </c:pt>
                <c:pt idx="584">
                  <c:v>314.32</c:v>
                </c:pt>
                <c:pt idx="585">
                  <c:v>314.36</c:v>
                </c:pt>
                <c:pt idx="586">
                  <c:v>315.02999999999997</c:v>
                </c:pt>
                <c:pt idx="587">
                  <c:v>317.08999999999997</c:v>
                </c:pt>
                <c:pt idx="588">
                  <c:v>318.45</c:v>
                </c:pt>
                <c:pt idx="589">
                  <c:v>318.83999999999997</c:v>
                </c:pt>
                <c:pt idx="590">
                  <c:v>319.38</c:v>
                </c:pt>
                <c:pt idx="591">
                  <c:v>319.39</c:v>
                </c:pt>
                <c:pt idx="592">
                  <c:v>319.66000000000003</c:v>
                </c:pt>
                <c:pt idx="593">
                  <c:v>320.5</c:v>
                </c:pt>
                <c:pt idx="594">
                  <c:v>320.94</c:v>
                </c:pt>
                <c:pt idx="595">
                  <c:v>321.26</c:v>
                </c:pt>
                <c:pt idx="596">
                  <c:v>322.39999999999998</c:v>
                </c:pt>
                <c:pt idx="597">
                  <c:v>323.39</c:v>
                </c:pt>
                <c:pt idx="598">
                  <c:v>323.39999999999998</c:v>
                </c:pt>
                <c:pt idx="599">
                  <c:v>324.11</c:v>
                </c:pt>
                <c:pt idx="600">
                  <c:v>324.22000000000003</c:v>
                </c:pt>
                <c:pt idx="601">
                  <c:v>324.39</c:v>
                </c:pt>
                <c:pt idx="602">
                  <c:v>324.41000000000003</c:v>
                </c:pt>
                <c:pt idx="603">
                  <c:v>325.42</c:v>
                </c:pt>
                <c:pt idx="604">
                  <c:v>326.08</c:v>
                </c:pt>
                <c:pt idx="605">
                  <c:v>326.82</c:v>
                </c:pt>
                <c:pt idx="606">
                  <c:v>327.05</c:v>
                </c:pt>
                <c:pt idx="607">
                  <c:v>327.32</c:v>
                </c:pt>
                <c:pt idx="608">
                  <c:v>328.21</c:v>
                </c:pt>
                <c:pt idx="609">
                  <c:v>328.36</c:v>
                </c:pt>
                <c:pt idx="610">
                  <c:v>329.41</c:v>
                </c:pt>
                <c:pt idx="611">
                  <c:v>330.27</c:v>
                </c:pt>
                <c:pt idx="612">
                  <c:v>330.36</c:v>
                </c:pt>
                <c:pt idx="613">
                  <c:v>331.57</c:v>
                </c:pt>
                <c:pt idx="614">
                  <c:v>332.14</c:v>
                </c:pt>
                <c:pt idx="615">
                  <c:v>332.67</c:v>
                </c:pt>
                <c:pt idx="616">
                  <c:v>332.79</c:v>
                </c:pt>
                <c:pt idx="617">
                  <c:v>333.15</c:v>
                </c:pt>
                <c:pt idx="618">
                  <c:v>333.18</c:v>
                </c:pt>
                <c:pt idx="619">
                  <c:v>333.32</c:v>
                </c:pt>
                <c:pt idx="620">
                  <c:v>333.41</c:v>
                </c:pt>
                <c:pt idx="621">
                  <c:v>333.56</c:v>
                </c:pt>
                <c:pt idx="622">
                  <c:v>333.63</c:v>
                </c:pt>
                <c:pt idx="623">
                  <c:v>333.8</c:v>
                </c:pt>
                <c:pt idx="624">
                  <c:v>334.22</c:v>
                </c:pt>
                <c:pt idx="625">
                  <c:v>334.45</c:v>
                </c:pt>
                <c:pt idx="626">
                  <c:v>334.67</c:v>
                </c:pt>
                <c:pt idx="627">
                  <c:v>335.32</c:v>
                </c:pt>
                <c:pt idx="628">
                  <c:v>335.8</c:v>
                </c:pt>
                <c:pt idx="629">
                  <c:v>336.89</c:v>
                </c:pt>
                <c:pt idx="630">
                  <c:v>336.96</c:v>
                </c:pt>
                <c:pt idx="631">
                  <c:v>337.17</c:v>
                </c:pt>
                <c:pt idx="632">
                  <c:v>337.21</c:v>
                </c:pt>
                <c:pt idx="633">
                  <c:v>337.33</c:v>
                </c:pt>
                <c:pt idx="634">
                  <c:v>338.2</c:v>
                </c:pt>
                <c:pt idx="635">
                  <c:v>338.6</c:v>
                </c:pt>
                <c:pt idx="636">
                  <c:v>338.89</c:v>
                </c:pt>
                <c:pt idx="637">
                  <c:v>338.96</c:v>
                </c:pt>
                <c:pt idx="638">
                  <c:v>339.12</c:v>
                </c:pt>
                <c:pt idx="639">
                  <c:v>339.32</c:v>
                </c:pt>
                <c:pt idx="640">
                  <c:v>339.63</c:v>
                </c:pt>
                <c:pt idx="641">
                  <c:v>340.31</c:v>
                </c:pt>
                <c:pt idx="642">
                  <c:v>340.55</c:v>
                </c:pt>
                <c:pt idx="643">
                  <c:v>341.24</c:v>
                </c:pt>
                <c:pt idx="644">
                  <c:v>341.91</c:v>
                </c:pt>
                <c:pt idx="645">
                  <c:v>342.39</c:v>
                </c:pt>
                <c:pt idx="646">
                  <c:v>342.99</c:v>
                </c:pt>
                <c:pt idx="647">
                  <c:v>343.77</c:v>
                </c:pt>
                <c:pt idx="648">
                  <c:v>343.77</c:v>
                </c:pt>
                <c:pt idx="649">
                  <c:v>343.81</c:v>
                </c:pt>
                <c:pt idx="650">
                  <c:v>344.43</c:v>
                </c:pt>
                <c:pt idx="651">
                  <c:v>344.81</c:v>
                </c:pt>
                <c:pt idx="652">
                  <c:v>345.04</c:v>
                </c:pt>
                <c:pt idx="653">
                  <c:v>345.49</c:v>
                </c:pt>
                <c:pt idx="654">
                  <c:v>346.36</c:v>
                </c:pt>
                <c:pt idx="655">
                  <c:v>346.58</c:v>
                </c:pt>
                <c:pt idx="656">
                  <c:v>347.09</c:v>
                </c:pt>
                <c:pt idx="657">
                  <c:v>347.99</c:v>
                </c:pt>
                <c:pt idx="658">
                  <c:v>348.5</c:v>
                </c:pt>
                <c:pt idx="659">
                  <c:v>348.63</c:v>
                </c:pt>
                <c:pt idx="660">
                  <c:v>349</c:v>
                </c:pt>
                <c:pt idx="661">
                  <c:v>351.36</c:v>
                </c:pt>
                <c:pt idx="662">
                  <c:v>351.54</c:v>
                </c:pt>
                <c:pt idx="663">
                  <c:v>351.71</c:v>
                </c:pt>
                <c:pt idx="664">
                  <c:v>352.35</c:v>
                </c:pt>
                <c:pt idx="665">
                  <c:v>352.87</c:v>
                </c:pt>
                <c:pt idx="666">
                  <c:v>353.4</c:v>
                </c:pt>
                <c:pt idx="667">
                  <c:v>354.16</c:v>
                </c:pt>
                <c:pt idx="668">
                  <c:v>354.7</c:v>
                </c:pt>
                <c:pt idx="669">
                  <c:v>354.87</c:v>
                </c:pt>
                <c:pt idx="670">
                  <c:v>354.92</c:v>
                </c:pt>
                <c:pt idx="671">
                  <c:v>355.28</c:v>
                </c:pt>
                <c:pt idx="672">
                  <c:v>355.31</c:v>
                </c:pt>
                <c:pt idx="673">
                  <c:v>356.22</c:v>
                </c:pt>
                <c:pt idx="674">
                  <c:v>356.45</c:v>
                </c:pt>
                <c:pt idx="675">
                  <c:v>356.87</c:v>
                </c:pt>
                <c:pt idx="676">
                  <c:v>358.11</c:v>
                </c:pt>
                <c:pt idx="677">
                  <c:v>358.5</c:v>
                </c:pt>
                <c:pt idx="678">
                  <c:v>358.72</c:v>
                </c:pt>
                <c:pt idx="679">
                  <c:v>359.45</c:v>
                </c:pt>
                <c:pt idx="680">
                  <c:v>359.75</c:v>
                </c:pt>
                <c:pt idx="681">
                  <c:v>359.94</c:v>
                </c:pt>
                <c:pt idx="682">
                  <c:v>360.91</c:v>
                </c:pt>
                <c:pt idx="683">
                  <c:v>360.92</c:v>
                </c:pt>
                <c:pt idx="684">
                  <c:v>361.27</c:v>
                </c:pt>
                <c:pt idx="685">
                  <c:v>361.4</c:v>
                </c:pt>
                <c:pt idx="686">
                  <c:v>361.48</c:v>
                </c:pt>
                <c:pt idx="687">
                  <c:v>362.01</c:v>
                </c:pt>
                <c:pt idx="688">
                  <c:v>362.3</c:v>
                </c:pt>
                <c:pt idx="689">
                  <c:v>363.84</c:v>
                </c:pt>
                <c:pt idx="690">
                  <c:v>363.91</c:v>
                </c:pt>
                <c:pt idx="691">
                  <c:v>363.98</c:v>
                </c:pt>
                <c:pt idx="692">
                  <c:v>364.48</c:v>
                </c:pt>
                <c:pt idx="693">
                  <c:v>364.98</c:v>
                </c:pt>
                <c:pt idx="694">
                  <c:v>365.1</c:v>
                </c:pt>
                <c:pt idx="695">
                  <c:v>365.37</c:v>
                </c:pt>
                <c:pt idx="696">
                  <c:v>365.38</c:v>
                </c:pt>
                <c:pt idx="697">
                  <c:v>365.88</c:v>
                </c:pt>
                <c:pt idx="698">
                  <c:v>365.88</c:v>
                </c:pt>
                <c:pt idx="699">
                  <c:v>366.16</c:v>
                </c:pt>
                <c:pt idx="700">
                  <c:v>366.77</c:v>
                </c:pt>
                <c:pt idx="701">
                  <c:v>367.56</c:v>
                </c:pt>
                <c:pt idx="702">
                  <c:v>367.7</c:v>
                </c:pt>
                <c:pt idx="703">
                  <c:v>367.99</c:v>
                </c:pt>
                <c:pt idx="704">
                  <c:v>368.4</c:v>
                </c:pt>
                <c:pt idx="705">
                  <c:v>368.91</c:v>
                </c:pt>
                <c:pt idx="706">
                  <c:v>369.73</c:v>
                </c:pt>
                <c:pt idx="707">
                  <c:v>370.05</c:v>
                </c:pt>
                <c:pt idx="708">
                  <c:v>370.17</c:v>
                </c:pt>
                <c:pt idx="709">
                  <c:v>370.38</c:v>
                </c:pt>
                <c:pt idx="710">
                  <c:v>370.54</c:v>
                </c:pt>
                <c:pt idx="711">
                  <c:v>370.73</c:v>
                </c:pt>
                <c:pt idx="712">
                  <c:v>371.12</c:v>
                </c:pt>
                <c:pt idx="713">
                  <c:v>371.19</c:v>
                </c:pt>
                <c:pt idx="714">
                  <c:v>371.32</c:v>
                </c:pt>
                <c:pt idx="715">
                  <c:v>371.58</c:v>
                </c:pt>
                <c:pt idx="716">
                  <c:v>371.84</c:v>
                </c:pt>
                <c:pt idx="717">
                  <c:v>372.26</c:v>
                </c:pt>
                <c:pt idx="718">
                  <c:v>372.49</c:v>
                </c:pt>
                <c:pt idx="719">
                  <c:v>372.6</c:v>
                </c:pt>
                <c:pt idx="720">
                  <c:v>373.01</c:v>
                </c:pt>
                <c:pt idx="721">
                  <c:v>373.05</c:v>
                </c:pt>
                <c:pt idx="722">
                  <c:v>373.49</c:v>
                </c:pt>
                <c:pt idx="723">
                  <c:v>373.69</c:v>
                </c:pt>
                <c:pt idx="724">
                  <c:v>374.36</c:v>
                </c:pt>
                <c:pt idx="725">
                  <c:v>375.45</c:v>
                </c:pt>
                <c:pt idx="726">
                  <c:v>375.7</c:v>
                </c:pt>
                <c:pt idx="727">
                  <c:v>377.67</c:v>
                </c:pt>
                <c:pt idx="728">
                  <c:v>377.77</c:v>
                </c:pt>
                <c:pt idx="729">
                  <c:v>378.14</c:v>
                </c:pt>
                <c:pt idx="730">
                  <c:v>378.47</c:v>
                </c:pt>
                <c:pt idx="731">
                  <c:v>378.59</c:v>
                </c:pt>
                <c:pt idx="732">
                  <c:v>378.71</c:v>
                </c:pt>
                <c:pt idx="733">
                  <c:v>378.87</c:v>
                </c:pt>
                <c:pt idx="734">
                  <c:v>378.87</c:v>
                </c:pt>
                <c:pt idx="735">
                  <c:v>379.2</c:v>
                </c:pt>
                <c:pt idx="736">
                  <c:v>379.21</c:v>
                </c:pt>
                <c:pt idx="737">
                  <c:v>380.99</c:v>
                </c:pt>
                <c:pt idx="738">
                  <c:v>381.3</c:v>
                </c:pt>
                <c:pt idx="739">
                  <c:v>382.24</c:v>
                </c:pt>
                <c:pt idx="740">
                  <c:v>382.49</c:v>
                </c:pt>
                <c:pt idx="741">
                  <c:v>382.94</c:v>
                </c:pt>
                <c:pt idx="742">
                  <c:v>383.13</c:v>
                </c:pt>
                <c:pt idx="743">
                  <c:v>383.33</c:v>
                </c:pt>
                <c:pt idx="744">
                  <c:v>384.26</c:v>
                </c:pt>
                <c:pt idx="745">
                  <c:v>385.08</c:v>
                </c:pt>
                <c:pt idx="746">
                  <c:v>385.32</c:v>
                </c:pt>
                <c:pt idx="747">
                  <c:v>388.01</c:v>
                </c:pt>
                <c:pt idx="748">
                  <c:v>388.26</c:v>
                </c:pt>
                <c:pt idx="749">
                  <c:v>388.82</c:v>
                </c:pt>
                <c:pt idx="750">
                  <c:v>389.47</c:v>
                </c:pt>
                <c:pt idx="751">
                  <c:v>389.7</c:v>
                </c:pt>
                <c:pt idx="752">
                  <c:v>390.44</c:v>
                </c:pt>
                <c:pt idx="753">
                  <c:v>390.51</c:v>
                </c:pt>
                <c:pt idx="754">
                  <c:v>390.83</c:v>
                </c:pt>
                <c:pt idx="755">
                  <c:v>391.38</c:v>
                </c:pt>
                <c:pt idx="756">
                  <c:v>391.87</c:v>
                </c:pt>
                <c:pt idx="757">
                  <c:v>392.08</c:v>
                </c:pt>
                <c:pt idx="758">
                  <c:v>392.27</c:v>
                </c:pt>
                <c:pt idx="759">
                  <c:v>393.03</c:v>
                </c:pt>
                <c:pt idx="760">
                  <c:v>393.09</c:v>
                </c:pt>
                <c:pt idx="761">
                  <c:v>393.35</c:v>
                </c:pt>
                <c:pt idx="762">
                  <c:v>393.45</c:v>
                </c:pt>
                <c:pt idx="763">
                  <c:v>393.48</c:v>
                </c:pt>
                <c:pt idx="764">
                  <c:v>393.78</c:v>
                </c:pt>
                <c:pt idx="765">
                  <c:v>395.01</c:v>
                </c:pt>
                <c:pt idx="766">
                  <c:v>395.18</c:v>
                </c:pt>
                <c:pt idx="767">
                  <c:v>395.97</c:v>
                </c:pt>
                <c:pt idx="768">
                  <c:v>396.76</c:v>
                </c:pt>
                <c:pt idx="769">
                  <c:v>396.82</c:v>
                </c:pt>
                <c:pt idx="770">
                  <c:v>397.25</c:v>
                </c:pt>
                <c:pt idx="771">
                  <c:v>397.78</c:v>
                </c:pt>
                <c:pt idx="772">
                  <c:v>398.97</c:v>
                </c:pt>
                <c:pt idx="773">
                  <c:v>399.24</c:v>
                </c:pt>
                <c:pt idx="774">
                  <c:v>399.56</c:v>
                </c:pt>
                <c:pt idx="775">
                  <c:v>399.58</c:v>
                </c:pt>
                <c:pt idx="776">
                  <c:v>399.95</c:v>
                </c:pt>
                <c:pt idx="777">
                  <c:v>400.86</c:v>
                </c:pt>
                <c:pt idx="778">
                  <c:v>401.43</c:v>
                </c:pt>
                <c:pt idx="779">
                  <c:v>401.75</c:v>
                </c:pt>
                <c:pt idx="780">
                  <c:v>402.82</c:v>
                </c:pt>
                <c:pt idx="781">
                  <c:v>402.86</c:v>
                </c:pt>
                <c:pt idx="782">
                  <c:v>403.03</c:v>
                </c:pt>
                <c:pt idx="783">
                  <c:v>403.57</c:v>
                </c:pt>
                <c:pt idx="784">
                  <c:v>404.12</c:v>
                </c:pt>
                <c:pt idx="785">
                  <c:v>404.57</c:v>
                </c:pt>
                <c:pt idx="786">
                  <c:v>405.66</c:v>
                </c:pt>
                <c:pt idx="787">
                  <c:v>405.7</c:v>
                </c:pt>
                <c:pt idx="788">
                  <c:v>407.29</c:v>
                </c:pt>
                <c:pt idx="789">
                  <c:v>407.88</c:v>
                </c:pt>
                <c:pt idx="790">
                  <c:v>407.91</c:v>
                </c:pt>
                <c:pt idx="791">
                  <c:v>408.51</c:v>
                </c:pt>
                <c:pt idx="792">
                  <c:v>408.81</c:v>
                </c:pt>
                <c:pt idx="793">
                  <c:v>409.98</c:v>
                </c:pt>
                <c:pt idx="794">
                  <c:v>410.29</c:v>
                </c:pt>
                <c:pt idx="795">
                  <c:v>411.4</c:v>
                </c:pt>
                <c:pt idx="796">
                  <c:v>411.62</c:v>
                </c:pt>
                <c:pt idx="797">
                  <c:v>411.81</c:v>
                </c:pt>
                <c:pt idx="798">
                  <c:v>411.83</c:v>
                </c:pt>
                <c:pt idx="799">
                  <c:v>411.95</c:v>
                </c:pt>
                <c:pt idx="800">
                  <c:v>413.7</c:v>
                </c:pt>
                <c:pt idx="801">
                  <c:v>414.06</c:v>
                </c:pt>
                <c:pt idx="802">
                  <c:v>414.8</c:v>
                </c:pt>
                <c:pt idx="803">
                  <c:v>414.83</c:v>
                </c:pt>
                <c:pt idx="804">
                  <c:v>415.3</c:v>
                </c:pt>
                <c:pt idx="805">
                  <c:v>416.96</c:v>
                </c:pt>
                <c:pt idx="806">
                  <c:v>418.51</c:v>
                </c:pt>
                <c:pt idx="807">
                  <c:v>418.62</c:v>
                </c:pt>
                <c:pt idx="808">
                  <c:v>418.83</c:v>
                </c:pt>
                <c:pt idx="809">
                  <c:v>419.13</c:v>
                </c:pt>
                <c:pt idx="810">
                  <c:v>419.53</c:v>
                </c:pt>
                <c:pt idx="811">
                  <c:v>419.98</c:v>
                </c:pt>
                <c:pt idx="812">
                  <c:v>421.5</c:v>
                </c:pt>
                <c:pt idx="813">
                  <c:v>421.95</c:v>
                </c:pt>
                <c:pt idx="814">
                  <c:v>422.09</c:v>
                </c:pt>
                <c:pt idx="815">
                  <c:v>422.31</c:v>
                </c:pt>
                <c:pt idx="816">
                  <c:v>422.92</c:v>
                </c:pt>
                <c:pt idx="817">
                  <c:v>423.23</c:v>
                </c:pt>
                <c:pt idx="818">
                  <c:v>423.92</c:v>
                </c:pt>
                <c:pt idx="819">
                  <c:v>424.18</c:v>
                </c:pt>
                <c:pt idx="820">
                  <c:v>424.27</c:v>
                </c:pt>
                <c:pt idx="821">
                  <c:v>424.39</c:v>
                </c:pt>
                <c:pt idx="822">
                  <c:v>425.18</c:v>
                </c:pt>
                <c:pt idx="823">
                  <c:v>425.21</c:v>
                </c:pt>
                <c:pt idx="824">
                  <c:v>425.69</c:v>
                </c:pt>
                <c:pt idx="825">
                  <c:v>425.82</c:v>
                </c:pt>
                <c:pt idx="826">
                  <c:v>426.21</c:v>
                </c:pt>
                <c:pt idx="827">
                  <c:v>426.22</c:v>
                </c:pt>
                <c:pt idx="828">
                  <c:v>426.87</c:v>
                </c:pt>
                <c:pt idx="829">
                  <c:v>426.89</c:v>
                </c:pt>
                <c:pt idx="830">
                  <c:v>427.1</c:v>
                </c:pt>
                <c:pt idx="831">
                  <c:v>427.48</c:v>
                </c:pt>
                <c:pt idx="832">
                  <c:v>427.82</c:v>
                </c:pt>
                <c:pt idx="833">
                  <c:v>427.86</c:v>
                </c:pt>
                <c:pt idx="834">
                  <c:v>427.94</c:v>
                </c:pt>
                <c:pt idx="835">
                  <c:v>429.24</c:v>
                </c:pt>
                <c:pt idx="836">
                  <c:v>429.24</c:v>
                </c:pt>
                <c:pt idx="837">
                  <c:v>430.75</c:v>
                </c:pt>
                <c:pt idx="838">
                  <c:v>430.75</c:v>
                </c:pt>
                <c:pt idx="839">
                  <c:v>430.9</c:v>
                </c:pt>
                <c:pt idx="840">
                  <c:v>431.78</c:v>
                </c:pt>
                <c:pt idx="841">
                  <c:v>432.42</c:v>
                </c:pt>
                <c:pt idx="842">
                  <c:v>432.84</c:v>
                </c:pt>
                <c:pt idx="843">
                  <c:v>433.14</c:v>
                </c:pt>
                <c:pt idx="844">
                  <c:v>433.82</c:v>
                </c:pt>
                <c:pt idx="845">
                  <c:v>433.99</c:v>
                </c:pt>
                <c:pt idx="846">
                  <c:v>434.86</c:v>
                </c:pt>
                <c:pt idx="847">
                  <c:v>435.23</c:v>
                </c:pt>
                <c:pt idx="848">
                  <c:v>435.37</c:v>
                </c:pt>
                <c:pt idx="849">
                  <c:v>435.52</c:v>
                </c:pt>
                <c:pt idx="850">
                  <c:v>436.54</c:v>
                </c:pt>
                <c:pt idx="851">
                  <c:v>436.57</c:v>
                </c:pt>
                <c:pt idx="852">
                  <c:v>437.06</c:v>
                </c:pt>
                <c:pt idx="853">
                  <c:v>437.3</c:v>
                </c:pt>
                <c:pt idx="854">
                  <c:v>437.4</c:v>
                </c:pt>
                <c:pt idx="855">
                  <c:v>437.59</c:v>
                </c:pt>
                <c:pt idx="856">
                  <c:v>437.97</c:v>
                </c:pt>
                <c:pt idx="857">
                  <c:v>438.26</c:v>
                </c:pt>
                <c:pt idx="858">
                  <c:v>438.42</c:v>
                </c:pt>
                <c:pt idx="859">
                  <c:v>439.24</c:v>
                </c:pt>
                <c:pt idx="860">
                  <c:v>439.31</c:v>
                </c:pt>
                <c:pt idx="861">
                  <c:v>439.91</c:v>
                </c:pt>
                <c:pt idx="862">
                  <c:v>440.62</c:v>
                </c:pt>
                <c:pt idx="863">
                  <c:v>441.15</c:v>
                </c:pt>
                <c:pt idx="864">
                  <c:v>441.73</c:v>
                </c:pt>
                <c:pt idx="865">
                  <c:v>441.87</c:v>
                </c:pt>
                <c:pt idx="866">
                  <c:v>442.15</c:v>
                </c:pt>
                <c:pt idx="867">
                  <c:v>442.18</c:v>
                </c:pt>
                <c:pt idx="868">
                  <c:v>442.29</c:v>
                </c:pt>
                <c:pt idx="869">
                  <c:v>443.11</c:v>
                </c:pt>
                <c:pt idx="870">
                  <c:v>443.52</c:v>
                </c:pt>
                <c:pt idx="871">
                  <c:v>444.05</c:v>
                </c:pt>
                <c:pt idx="872">
                  <c:v>444.87</c:v>
                </c:pt>
                <c:pt idx="873">
                  <c:v>445.34</c:v>
                </c:pt>
                <c:pt idx="874">
                  <c:v>445.93</c:v>
                </c:pt>
                <c:pt idx="875">
                  <c:v>446.03</c:v>
                </c:pt>
                <c:pt idx="876">
                  <c:v>446.11</c:v>
                </c:pt>
                <c:pt idx="877">
                  <c:v>446.69</c:v>
                </c:pt>
                <c:pt idx="878">
                  <c:v>446.86</c:v>
                </c:pt>
                <c:pt idx="879">
                  <c:v>446.92</c:v>
                </c:pt>
                <c:pt idx="880">
                  <c:v>447.53</c:v>
                </c:pt>
                <c:pt idx="881">
                  <c:v>448.68</c:v>
                </c:pt>
                <c:pt idx="882">
                  <c:v>449.13</c:v>
                </c:pt>
                <c:pt idx="883">
                  <c:v>449.18</c:v>
                </c:pt>
                <c:pt idx="884">
                  <c:v>449.72</c:v>
                </c:pt>
                <c:pt idx="885">
                  <c:v>450.47</c:v>
                </c:pt>
                <c:pt idx="886">
                  <c:v>450.52</c:v>
                </c:pt>
                <c:pt idx="887">
                  <c:v>450.66</c:v>
                </c:pt>
                <c:pt idx="888">
                  <c:v>453.37</c:v>
                </c:pt>
                <c:pt idx="889">
                  <c:v>454.15</c:v>
                </c:pt>
                <c:pt idx="890">
                  <c:v>454.36</c:v>
                </c:pt>
                <c:pt idx="891">
                  <c:v>454.38</c:v>
                </c:pt>
                <c:pt idx="892">
                  <c:v>454.39</c:v>
                </c:pt>
                <c:pt idx="893">
                  <c:v>454.57</c:v>
                </c:pt>
                <c:pt idx="894">
                  <c:v>454.93</c:v>
                </c:pt>
                <c:pt idx="895">
                  <c:v>455.44</c:v>
                </c:pt>
                <c:pt idx="896">
                  <c:v>455.55</c:v>
                </c:pt>
                <c:pt idx="897">
                  <c:v>455.81</c:v>
                </c:pt>
                <c:pt idx="898">
                  <c:v>456.83</c:v>
                </c:pt>
                <c:pt idx="899">
                  <c:v>457.18</c:v>
                </c:pt>
                <c:pt idx="900">
                  <c:v>457.39</c:v>
                </c:pt>
                <c:pt idx="901">
                  <c:v>459.3</c:v>
                </c:pt>
                <c:pt idx="902">
                  <c:v>459.39</c:v>
                </c:pt>
                <c:pt idx="903">
                  <c:v>459.51</c:v>
                </c:pt>
                <c:pt idx="904">
                  <c:v>460.37</c:v>
                </c:pt>
                <c:pt idx="905">
                  <c:v>460.88</c:v>
                </c:pt>
                <c:pt idx="906">
                  <c:v>461</c:v>
                </c:pt>
                <c:pt idx="907">
                  <c:v>461.09</c:v>
                </c:pt>
                <c:pt idx="908">
                  <c:v>461.16</c:v>
                </c:pt>
                <c:pt idx="909">
                  <c:v>461.34</c:v>
                </c:pt>
                <c:pt idx="910">
                  <c:v>461.71</c:v>
                </c:pt>
                <c:pt idx="911">
                  <c:v>461.81</c:v>
                </c:pt>
                <c:pt idx="912">
                  <c:v>462.24</c:v>
                </c:pt>
                <c:pt idx="913">
                  <c:v>462.3</c:v>
                </c:pt>
                <c:pt idx="914">
                  <c:v>462.48</c:v>
                </c:pt>
                <c:pt idx="915">
                  <c:v>462.96</c:v>
                </c:pt>
                <c:pt idx="916">
                  <c:v>463.07</c:v>
                </c:pt>
                <c:pt idx="917">
                  <c:v>463.15</c:v>
                </c:pt>
                <c:pt idx="918">
                  <c:v>463.67</c:v>
                </c:pt>
                <c:pt idx="919">
                  <c:v>464.76</c:v>
                </c:pt>
                <c:pt idx="920">
                  <c:v>465.07</c:v>
                </c:pt>
                <c:pt idx="921">
                  <c:v>465.48</c:v>
                </c:pt>
                <c:pt idx="922">
                  <c:v>465.85</c:v>
                </c:pt>
                <c:pt idx="923">
                  <c:v>466.74</c:v>
                </c:pt>
                <c:pt idx="924">
                  <c:v>467.32</c:v>
                </c:pt>
                <c:pt idx="925">
                  <c:v>467.5</c:v>
                </c:pt>
                <c:pt idx="926">
                  <c:v>467.58</c:v>
                </c:pt>
                <c:pt idx="927">
                  <c:v>468.16</c:v>
                </c:pt>
                <c:pt idx="928">
                  <c:v>468.6</c:v>
                </c:pt>
                <c:pt idx="929">
                  <c:v>469.22</c:v>
                </c:pt>
                <c:pt idx="930">
                  <c:v>469.9</c:v>
                </c:pt>
                <c:pt idx="931">
                  <c:v>470.38</c:v>
                </c:pt>
                <c:pt idx="932">
                  <c:v>471.31</c:v>
                </c:pt>
                <c:pt idx="933">
                  <c:v>472.52</c:v>
                </c:pt>
                <c:pt idx="934">
                  <c:v>472.53</c:v>
                </c:pt>
                <c:pt idx="935">
                  <c:v>472.61</c:v>
                </c:pt>
                <c:pt idx="936">
                  <c:v>473.28</c:v>
                </c:pt>
                <c:pt idx="937">
                  <c:v>473.5</c:v>
                </c:pt>
                <c:pt idx="938">
                  <c:v>473.77</c:v>
                </c:pt>
                <c:pt idx="939">
                  <c:v>473.96</c:v>
                </c:pt>
                <c:pt idx="940">
                  <c:v>474.03</c:v>
                </c:pt>
                <c:pt idx="941">
                  <c:v>474.42</c:v>
                </c:pt>
                <c:pt idx="942">
                  <c:v>474.56</c:v>
                </c:pt>
                <c:pt idx="943">
                  <c:v>474.99</c:v>
                </c:pt>
                <c:pt idx="944">
                  <c:v>475.64</c:v>
                </c:pt>
                <c:pt idx="945">
                  <c:v>475.65</c:v>
                </c:pt>
                <c:pt idx="946">
                  <c:v>476.11</c:v>
                </c:pt>
                <c:pt idx="947">
                  <c:v>476.42</c:v>
                </c:pt>
                <c:pt idx="948">
                  <c:v>476.48</c:v>
                </c:pt>
                <c:pt idx="949">
                  <c:v>476.63</c:v>
                </c:pt>
                <c:pt idx="950">
                  <c:v>477.35</c:v>
                </c:pt>
                <c:pt idx="951">
                  <c:v>478.85</c:v>
                </c:pt>
                <c:pt idx="952">
                  <c:v>479.62</c:v>
                </c:pt>
                <c:pt idx="953">
                  <c:v>480.52</c:v>
                </c:pt>
                <c:pt idx="954">
                  <c:v>481.21</c:v>
                </c:pt>
                <c:pt idx="955">
                  <c:v>481.78</c:v>
                </c:pt>
                <c:pt idx="956">
                  <c:v>481.84</c:v>
                </c:pt>
                <c:pt idx="957">
                  <c:v>482.5</c:v>
                </c:pt>
                <c:pt idx="958">
                  <c:v>483.23</c:v>
                </c:pt>
                <c:pt idx="959">
                  <c:v>483.38</c:v>
                </c:pt>
                <c:pt idx="960">
                  <c:v>483.66</c:v>
                </c:pt>
                <c:pt idx="961">
                  <c:v>483.77</c:v>
                </c:pt>
                <c:pt idx="962">
                  <c:v>485.42</c:v>
                </c:pt>
                <c:pt idx="963">
                  <c:v>485.76</c:v>
                </c:pt>
                <c:pt idx="964">
                  <c:v>485.77</c:v>
                </c:pt>
                <c:pt idx="965">
                  <c:v>486.07</c:v>
                </c:pt>
                <c:pt idx="966">
                  <c:v>486.4</c:v>
                </c:pt>
                <c:pt idx="967">
                  <c:v>487.25</c:v>
                </c:pt>
                <c:pt idx="968">
                  <c:v>487.95</c:v>
                </c:pt>
                <c:pt idx="969">
                  <c:v>487.96</c:v>
                </c:pt>
                <c:pt idx="970">
                  <c:v>489.05</c:v>
                </c:pt>
                <c:pt idx="971">
                  <c:v>489.1</c:v>
                </c:pt>
                <c:pt idx="972">
                  <c:v>489.27</c:v>
                </c:pt>
                <c:pt idx="973">
                  <c:v>489.66</c:v>
                </c:pt>
                <c:pt idx="974">
                  <c:v>489.67</c:v>
                </c:pt>
                <c:pt idx="975">
                  <c:v>489.81</c:v>
                </c:pt>
                <c:pt idx="976">
                  <c:v>490.11</c:v>
                </c:pt>
                <c:pt idx="977">
                  <c:v>490.34</c:v>
                </c:pt>
                <c:pt idx="978">
                  <c:v>490.41</c:v>
                </c:pt>
                <c:pt idx="979">
                  <c:v>490.41</c:v>
                </c:pt>
                <c:pt idx="980">
                  <c:v>490.75</c:v>
                </c:pt>
                <c:pt idx="981">
                  <c:v>491.18</c:v>
                </c:pt>
                <c:pt idx="982">
                  <c:v>491.49</c:v>
                </c:pt>
                <c:pt idx="983">
                  <c:v>491.51</c:v>
                </c:pt>
                <c:pt idx="984">
                  <c:v>491.92</c:v>
                </c:pt>
                <c:pt idx="985">
                  <c:v>492.51</c:v>
                </c:pt>
                <c:pt idx="986">
                  <c:v>492.74</c:v>
                </c:pt>
                <c:pt idx="987">
                  <c:v>492.83</c:v>
                </c:pt>
                <c:pt idx="988">
                  <c:v>494.18</c:v>
                </c:pt>
                <c:pt idx="989">
                  <c:v>494.34</c:v>
                </c:pt>
                <c:pt idx="990">
                  <c:v>494.81</c:v>
                </c:pt>
                <c:pt idx="991">
                  <c:v>494.97</c:v>
                </c:pt>
                <c:pt idx="992">
                  <c:v>495.8</c:v>
                </c:pt>
                <c:pt idx="993">
                  <c:v>495.95</c:v>
                </c:pt>
                <c:pt idx="994">
                  <c:v>496.11</c:v>
                </c:pt>
                <c:pt idx="995">
                  <c:v>497.75</c:v>
                </c:pt>
                <c:pt idx="996">
                  <c:v>497.76</c:v>
                </c:pt>
                <c:pt idx="997">
                  <c:v>497.8</c:v>
                </c:pt>
                <c:pt idx="998">
                  <c:v>498.23</c:v>
                </c:pt>
                <c:pt idx="999">
                  <c:v>498.33</c:v>
                </c:pt>
              </c:numCache>
            </c:numRef>
          </c:cat>
          <c:val>
            <c:numRef>
              <c:f>Customers!$B$4:$B$1003</c:f>
              <c:numCache>
                <c:formatCode>General</c:formatCode>
                <c:ptCount val="1000"/>
                <c:pt idx="0">
                  <c:v>7.081340223052165E-4</c:v>
                </c:pt>
                <c:pt idx="1">
                  <c:v>7.0877701640524842E-4</c:v>
                </c:pt>
                <c:pt idx="2">
                  <c:v>7.0886890396466156E-4</c:v>
                </c:pt>
                <c:pt idx="3">
                  <c:v>7.1282746105833092E-4</c:v>
                </c:pt>
                <c:pt idx="4">
                  <c:v>7.1485835551053189E-4</c:v>
                </c:pt>
                <c:pt idx="5">
                  <c:v>7.1874601535939781E-4</c:v>
                </c:pt>
                <c:pt idx="6">
                  <c:v>7.2227529109408068E-4</c:v>
                </c:pt>
                <c:pt idx="7">
                  <c:v>7.2320592147534957E-4</c:v>
                </c:pt>
                <c:pt idx="8">
                  <c:v>7.274034162646284E-4</c:v>
                </c:pt>
                <c:pt idx="9">
                  <c:v>7.3358831851668446E-4</c:v>
                </c:pt>
                <c:pt idx="10">
                  <c:v>7.3565750084841745E-4</c:v>
                </c:pt>
                <c:pt idx="11">
                  <c:v>7.3754184943829973E-4</c:v>
                </c:pt>
                <c:pt idx="12">
                  <c:v>7.4037421662607442E-4</c:v>
                </c:pt>
                <c:pt idx="13">
                  <c:v>7.4311883580644442E-4</c:v>
                </c:pt>
                <c:pt idx="14">
                  <c:v>7.4549014309245338E-4</c:v>
                </c:pt>
                <c:pt idx="15">
                  <c:v>7.4577502694100255E-4</c:v>
                </c:pt>
                <c:pt idx="16">
                  <c:v>7.5521547758700353E-4</c:v>
                </c:pt>
                <c:pt idx="17">
                  <c:v>7.579952933731885E-4</c:v>
                </c:pt>
                <c:pt idx="18">
                  <c:v>7.6492514683996159E-4</c:v>
                </c:pt>
                <c:pt idx="19">
                  <c:v>7.6598741799553964E-4</c:v>
                </c:pt>
                <c:pt idx="20">
                  <c:v>7.7121581574277119E-4</c:v>
                </c:pt>
                <c:pt idx="21">
                  <c:v>7.7228363126830588E-4</c:v>
                </c:pt>
                <c:pt idx="22">
                  <c:v>7.7978458183968261E-4</c:v>
                </c:pt>
                <c:pt idx="23">
                  <c:v>7.7998002325789127E-4</c:v>
                </c:pt>
                <c:pt idx="24">
                  <c:v>7.8027324340989679E-4</c:v>
                </c:pt>
                <c:pt idx="25">
                  <c:v>7.8193613929667879E-4</c:v>
                </c:pt>
                <c:pt idx="26">
                  <c:v>7.8213192105773034E-4</c:v>
                </c:pt>
                <c:pt idx="27">
                  <c:v>7.884132624909597E-4</c:v>
                </c:pt>
                <c:pt idx="28">
                  <c:v>8.0864590231714232E-4</c:v>
                </c:pt>
                <c:pt idx="29">
                  <c:v>8.0884584709940059E-4</c:v>
                </c:pt>
                <c:pt idx="30">
                  <c:v>8.0894583101544855E-4</c:v>
                </c:pt>
                <c:pt idx="31">
                  <c:v>8.1174849920693625E-4</c:v>
                </c:pt>
                <c:pt idx="32">
                  <c:v>8.1385445050192193E-4</c:v>
                </c:pt>
                <c:pt idx="33">
                  <c:v>8.153607731724951E-4</c:v>
                </c:pt>
                <c:pt idx="34">
                  <c:v>8.3296003069085892E-4</c:v>
                </c:pt>
                <c:pt idx="35">
                  <c:v>8.3611980890677996E-4</c:v>
                </c:pt>
                <c:pt idx="36">
                  <c:v>8.3795788049803273E-4</c:v>
                </c:pt>
                <c:pt idx="37">
                  <c:v>8.3928691160174457E-4</c:v>
                </c:pt>
                <c:pt idx="38">
                  <c:v>8.4205131784691016E-4</c:v>
                </c:pt>
                <c:pt idx="39">
                  <c:v>8.4215380979264049E-4</c:v>
                </c:pt>
                <c:pt idx="40">
                  <c:v>8.5192519379304076E-4</c:v>
                </c:pt>
                <c:pt idx="41">
                  <c:v>8.5430119403867642E-4</c:v>
                </c:pt>
                <c:pt idx="42">
                  <c:v>8.6655405029195827E-4</c:v>
                </c:pt>
                <c:pt idx="43">
                  <c:v>8.7765039239039134E-4</c:v>
                </c:pt>
                <c:pt idx="44">
                  <c:v>8.7870157781712885E-4</c:v>
                </c:pt>
                <c:pt idx="45">
                  <c:v>8.847076565925763E-4</c:v>
                </c:pt>
                <c:pt idx="46">
                  <c:v>8.9339063264707252E-4</c:v>
                </c:pt>
                <c:pt idx="47">
                  <c:v>8.9732499420966351E-4</c:v>
                </c:pt>
                <c:pt idx="48">
                  <c:v>9.0287159511357373E-4</c:v>
                </c:pt>
                <c:pt idx="49">
                  <c:v>9.0415443431286432E-4</c:v>
                </c:pt>
                <c:pt idx="50">
                  <c:v>9.1036988380948617E-4</c:v>
                </c:pt>
                <c:pt idx="51">
                  <c:v>9.1812025289442721E-4</c:v>
                </c:pt>
                <c:pt idx="52">
                  <c:v>9.2060413052895624E-4</c:v>
                </c:pt>
                <c:pt idx="53">
                  <c:v>9.2981745810230402E-4</c:v>
                </c:pt>
                <c:pt idx="54">
                  <c:v>9.3406249817778455E-4</c:v>
                </c:pt>
                <c:pt idx="55">
                  <c:v>9.3449851669624598E-4</c:v>
                </c:pt>
                <c:pt idx="56">
                  <c:v>9.3547998635763036E-4</c:v>
                </c:pt>
                <c:pt idx="57">
                  <c:v>9.4006800567555959E-4</c:v>
                </c:pt>
                <c:pt idx="58">
                  <c:v>9.4390118755822549E-4</c:v>
                </c:pt>
                <c:pt idx="59">
                  <c:v>9.5049309781733416E-4</c:v>
                </c:pt>
                <c:pt idx="60">
                  <c:v>9.5689010717685632E-4</c:v>
                </c:pt>
                <c:pt idx="61">
                  <c:v>9.6397709924975553E-4</c:v>
                </c:pt>
                <c:pt idx="62">
                  <c:v>9.6797650261193889E-4</c:v>
                </c:pt>
                <c:pt idx="63">
                  <c:v>9.7700917368739241E-4</c:v>
                </c:pt>
                <c:pt idx="64">
                  <c:v>9.8339362248901449E-4</c:v>
                </c:pt>
                <c:pt idx="65">
                  <c:v>9.8732536676622053E-4</c:v>
                </c:pt>
                <c:pt idx="66">
                  <c:v>9.9092771912341181E-4</c:v>
                </c:pt>
                <c:pt idx="67">
                  <c:v>9.9453732857024608E-4</c:v>
                </c:pt>
                <c:pt idx="68">
                  <c:v>9.9532789640207633E-4</c:v>
                </c:pt>
                <c:pt idx="69">
                  <c:v>9.9747546854979103E-4</c:v>
                </c:pt>
                <c:pt idx="70">
                  <c:v>9.9860679329624204E-4</c:v>
                </c:pt>
                <c:pt idx="71">
                  <c:v>9.9973882332485948E-4</c:v>
                </c:pt>
                <c:pt idx="72">
                  <c:v>1.0020049971873441E-3</c:v>
                </c:pt>
                <c:pt idx="73">
                  <c:v>1.0034795199924226E-3</c:v>
                </c:pt>
                <c:pt idx="74">
                  <c:v>1.0077964722051724E-3</c:v>
                </c:pt>
                <c:pt idx="75">
                  <c:v>1.0118955555042635E-3</c:v>
                </c:pt>
                <c:pt idx="76">
                  <c:v>1.0234440555793685E-3</c:v>
                </c:pt>
                <c:pt idx="77">
                  <c:v>1.0240176065735621E-3</c:v>
                </c:pt>
                <c:pt idx="78">
                  <c:v>1.0242470755189221E-3</c:v>
                </c:pt>
                <c:pt idx="79">
                  <c:v>1.0318350835602061E-3</c:v>
                </c:pt>
                <c:pt idx="80">
                  <c:v>1.0343711038535148E-3</c:v>
                </c:pt>
                <c:pt idx="81">
                  <c:v>1.0371414715657651E-3</c:v>
                </c:pt>
                <c:pt idx="82">
                  <c:v>1.0373725142970632E-3</c:v>
                </c:pt>
                <c:pt idx="83">
                  <c:v>1.046868873447856E-3</c:v>
                </c:pt>
                <c:pt idx="84">
                  <c:v>1.0482624400863689E-3</c:v>
                </c:pt>
                <c:pt idx="85">
                  <c:v>1.050238339259682E-3</c:v>
                </c:pt>
                <c:pt idx="86">
                  <c:v>1.0546621624092738E-3</c:v>
                </c:pt>
                <c:pt idx="87">
                  <c:v>1.0578113590434394E-3</c:v>
                </c:pt>
                <c:pt idx="88">
                  <c:v>1.0681095841353861E-3</c:v>
                </c:pt>
                <c:pt idx="89">
                  <c:v>1.0738663816853866E-3</c:v>
                </c:pt>
                <c:pt idx="90">
                  <c:v>1.0744547133642065E-3</c:v>
                </c:pt>
                <c:pt idx="91">
                  <c:v>1.0749254989369543E-3</c:v>
                </c:pt>
                <c:pt idx="92">
                  <c:v>1.0841271197451151E-3</c:v>
                </c:pt>
                <c:pt idx="93">
                  <c:v>1.086966513269438E-3</c:v>
                </c:pt>
                <c:pt idx="94">
                  <c:v>1.0917072941045306E-3</c:v>
                </c:pt>
                <c:pt idx="95">
                  <c:v>1.1080240536285515E-3</c:v>
                </c:pt>
                <c:pt idx="96">
                  <c:v>1.1125715361228348E-3</c:v>
                </c:pt>
                <c:pt idx="97">
                  <c:v>1.1190498049152733E-3</c:v>
                </c:pt>
                <c:pt idx="98">
                  <c:v>1.1224162962182901E-3</c:v>
                </c:pt>
                <c:pt idx="99">
                  <c:v>1.1367797674396857E-3</c:v>
                </c:pt>
                <c:pt idx="100">
                  <c:v>1.1422347393561685E-3</c:v>
                </c:pt>
                <c:pt idx="101">
                  <c:v>1.1425988579711662E-3</c:v>
                </c:pt>
                <c:pt idx="102">
                  <c:v>1.1434486882097976E-3</c:v>
                </c:pt>
                <c:pt idx="103">
                  <c:v>1.146972691669957E-3</c:v>
                </c:pt>
                <c:pt idx="104">
                  <c:v>1.1567213363898481E-3</c:v>
                </c:pt>
                <c:pt idx="105">
                  <c:v>1.1633241414459585E-3</c:v>
                </c:pt>
                <c:pt idx="106">
                  <c:v>1.167245402743553E-3</c:v>
                </c:pt>
                <c:pt idx="107">
                  <c:v>1.1700676932553833E-3</c:v>
                </c:pt>
                <c:pt idx="108">
                  <c:v>1.2029408920409481E-3</c:v>
                </c:pt>
                <c:pt idx="109">
                  <c:v>1.2071731771698079E-3</c:v>
                </c:pt>
                <c:pt idx="110">
                  <c:v>1.2091671943277311E-3</c:v>
                </c:pt>
                <c:pt idx="111">
                  <c:v>1.2114122583238404E-3</c:v>
                </c:pt>
                <c:pt idx="112">
                  <c:v>1.2252985186038867E-3</c:v>
                </c:pt>
                <c:pt idx="113">
                  <c:v>1.2259257038606012E-3</c:v>
                </c:pt>
                <c:pt idx="114">
                  <c:v>1.2335889098841755E-3</c:v>
                </c:pt>
                <c:pt idx="115">
                  <c:v>1.2378694213757537E-3</c:v>
                </c:pt>
                <c:pt idx="116">
                  <c:v>1.2549298997805566E-3</c:v>
                </c:pt>
                <c:pt idx="117">
                  <c:v>1.267250729347896E-3</c:v>
                </c:pt>
                <c:pt idx="118">
                  <c:v>1.2675053104910612E-3</c:v>
                </c:pt>
                <c:pt idx="119">
                  <c:v>1.272473997459473E-3</c:v>
                </c:pt>
                <c:pt idx="120">
                  <c:v>1.2774509312637595E-3</c:v>
                </c:pt>
                <c:pt idx="121">
                  <c:v>1.2856359321556979E-3</c:v>
                </c:pt>
                <c:pt idx="122">
                  <c:v>1.2879419043312498E-3</c:v>
                </c:pt>
                <c:pt idx="123">
                  <c:v>1.2885827576064037E-3</c:v>
                </c:pt>
                <c:pt idx="124">
                  <c:v>1.2942279699329788E-3</c:v>
                </c:pt>
                <c:pt idx="125">
                  <c:v>1.3114826042211832E-3</c:v>
                </c:pt>
                <c:pt idx="126">
                  <c:v>1.3185915297375358E-3</c:v>
                </c:pt>
                <c:pt idx="127">
                  <c:v>1.3231233963047571E-3</c:v>
                </c:pt>
                <c:pt idx="128">
                  <c:v>1.3246786028036093E-3</c:v>
                </c:pt>
                <c:pt idx="129">
                  <c:v>1.3261048449396476E-3</c:v>
                </c:pt>
                <c:pt idx="130">
                  <c:v>1.3271424933667937E-3</c:v>
                </c:pt>
                <c:pt idx="131">
                  <c:v>1.329738015987905E-3</c:v>
                </c:pt>
                <c:pt idx="132">
                  <c:v>1.3367558727744946E-3</c:v>
                </c:pt>
                <c:pt idx="133">
                  <c:v>1.340270206913657E-3</c:v>
                </c:pt>
                <c:pt idx="134">
                  <c:v>1.3435274097603552E-3</c:v>
                </c:pt>
                <c:pt idx="135">
                  <c:v>1.3514877545771243E-3</c:v>
                </c:pt>
                <c:pt idx="136">
                  <c:v>1.3603827001228905E-3</c:v>
                </c:pt>
                <c:pt idx="137">
                  <c:v>1.3618236592243961E-3</c:v>
                </c:pt>
                <c:pt idx="138">
                  <c:v>1.3707440687619778E-3</c:v>
                </c:pt>
                <c:pt idx="139">
                  <c:v>1.3785013136578116E-3</c:v>
                </c:pt>
                <c:pt idx="140">
                  <c:v>1.3796860348187728E-3</c:v>
                </c:pt>
                <c:pt idx="141">
                  <c:v>1.3853514856066317E-3</c:v>
                </c:pt>
                <c:pt idx="142">
                  <c:v>1.3964430241404883E-3</c:v>
                </c:pt>
                <c:pt idx="143">
                  <c:v>1.3968397350645732E-3</c:v>
                </c:pt>
                <c:pt idx="144">
                  <c:v>1.4025303076129474E-3</c:v>
                </c:pt>
                <c:pt idx="145">
                  <c:v>1.4031925315930226E-3</c:v>
                </c:pt>
                <c:pt idx="146">
                  <c:v>1.4138029555595456E-3</c:v>
                </c:pt>
                <c:pt idx="147">
                  <c:v>1.4156626273745456E-3</c:v>
                </c:pt>
                <c:pt idx="148">
                  <c:v>1.4199164560551229E-3</c:v>
                </c:pt>
                <c:pt idx="149">
                  <c:v>1.4265717631737624E-3</c:v>
                </c:pt>
                <c:pt idx="150">
                  <c:v>1.4273711073565314E-3</c:v>
                </c:pt>
                <c:pt idx="151">
                  <c:v>1.4315034478079435E-3</c:v>
                </c:pt>
                <c:pt idx="152">
                  <c:v>1.4335044015520832E-3</c:v>
                </c:pt>
                <c:pt idx="153">
                  <c:v>1.4389784088628319E-3</c:v>
                </c:pt>
                <c:pt idx="154">
                  <c:v>1.4455295176658259E-3</c:v>
                </c:pt>
                <c:pt idx="155">
                  <c:v>1.4617478882832987E-3</c:v>
                </c:pt>
                <c:pt idx="156">
                  <c:v>1.4722329909661034E-3</c:v>
                </c:pt>
                <c:pt idx="157">
                  <c:v>1.4737135284108433E-3</c:v>
                </c:pt>
                <c:pt idx="158">
                  <c:v>1.4750598682942357E-3</c:v>
                </c:pt>
                <c:pt idx="159">
                  <c:v>1.4955698916508061E-3</c:v>
                </c:pt>
                <c:pt idx="160">
                  <c:v>1.5072111580261662E-3</c:v>
                </c:pt>
                <c:pt idx="161">
                  <c:v>1.5214590711858818E-3</c:v>
                </c:pt>
                <c:pt idx="162">
                  <c:v>1.5351989667615382E-3</c:v>
                </c:pt>
                <c:pt idx="163">
                  <c:v>1.5369698750282794E-3</c:v>
                </c:pt>
                <c:pt idx="164">
                  <c:v>1.5473335860907616E-3</c:v>
                </c:pt>
                <c:pt idx="165">
                  <c:v>1.5485620626052145E-3</c:v>
                </c:pt>
                <c:pt idx="166">
                  <c:v>1.5489716103215386E-3</c:v>
                </c:pt>
                <c:pt idx="167">
                  <c:v>1.5545715250167465E-3</c:v>
                </c:pt>
                <c:pt idx="168">
                  <c:v>1.5642809155047459E-3</c:v>
                </c:pt>
                <c:pt idx="169">
                  <c:v>1.5646915002071023E-3</c:v>
                </c:pt>
                <c:pt idx="170">
                  <c:v>1.5707164178600586E-3</c:v>
                </c:pt>
                <c:pt idx="171">
                  <c:v>1.5914343806032957E-3</c:v>
                </c:pt>
                <c:pt idx="172">
                  <c:v>1.5930835099966119E-3</c:v>
                </c:pt>
                <c:pt idx="173">
                  <c:v>1.5943206075813864E-3</c:v>
                </c:pt>
                <c:pt idx="174">
                  <c:v>1.5994086869829628E-3</c:v>
                </c:pt>
                <c:pt idx="175">
                  <c:v>1.6120753302717491E-3</c:v>
                </c:pt>
                <c:pt idx="176">
                  <c:v>1.6186923491768904E-3</c:v>
                </c:pt>
                <c:pt idx="177">
                  <c:v>1.6235207448615885E-3</c:v>
                </c:pt>
                <c:pt idx="178">
                  <c:v>1.6336005739313135E-3</c:v>
                </c:pt>
                <c:pt idx="179">
                  <c:v>1.638575883190288E-3</c:v>
                </c:pt>
                <c:pt idx="180">
                  <c:v>1.6460441534303272E-3</c:v>
                </c:pt>
                <c:pt idx="181">
                  <c:v>1.6485349588225447E-3</c:v>
                </c:pt>
                <c:pt idx="182">
                  <c:v>1.6626620689602783E-3</c:v>
                </c:pt>
                <c:pt idx="183">
                  <c:v>1.663770952734031E-3</c:v>
                </c:pt>
                <c:pt idx="184">
                  <c:v>1.6698720043606212E-3</c:v>
                </c:pt>
                <c:pt idx="185">
                  <c:v>1.6715365606466068E-3</c:v>
                </c:pt>
                <c:pt idx="186">
                  <c:v>1.6766706099061255E-3</c:v>
                </c:pt>
                <c:pt idx="187">
                  <c:v>1.6773645907338275E-3</c:v>
                </c:pt>
                <c:pt idx="188">
                  <c:v>1.6859736141333576E-3</c:v>
                </c:pt>
                <c:pt idx="189">
                  <c:v>1.6880574372676656E-3</c:v>
                </c:pt>
                <c:pt idx="190">
                  <c:v>1.6931991380365302E-3</c:v>
                </c:pt>
                <c:pt idx="191">
                  <c:v>1.7295277986724934E-3</c:v>
                </c:pt>
                <c:pt idx="192">
                  <c:v>1.7316184617033928E-3</c:v>
                </c:pt>
                <c:pt idx="193">
                  <c:v>1.7358006001544266E-3</c:v>
                </c:pt>
                <c:pt idx="194">
                  <c:v>1.7371948814547886E-3</c:v>
                </c:pt>
                <c:pt idx="195">
                  <c:v>1.7417968177172486E-3</c:v>
                </c:pt>
                <c:pt idx="196">
                  <c:v>1.7437495194611871E-3</c:v>
                </c:pt>
                <c:pt idx="197">
                  <c:v>1.758820010425044E-3</c:v>
                </c:pt>
                <c:pt idx="198">
                  <c:v>1.765102636533275E-3</c:v>
                </c:pt>
                <c:pt idx="199">
                  <c:v>1.7671972318734331E-3</c:v>
                </c:pt>
                <c:pt idx="200">
                  <c:v>1.768454078027216E-3</c:v>
                </c:pt>
                <c:pt idx="201">
                  <c:v>1.7745995785566225E-3</c:v>
                </c:pt>
                <c:pt idx="202">
                  <c:v>1.7776728730286052E-3</c:v>
                </c:pt>
                <c:pt idx="203">
                  <c:v>1.7878729716006075E-3</c:v>
                </c:pt>
                <c:pt idx="204">
                  <c:v>1.7945816360810474E-3</c:v>
                </c:pt>
                <c:pt idx="205">
                  <c:v>1.8024098963924028E-3</c:v>
                </c:pt>
                <c:pt idx="206">
                  <c:v>1.8054856650550151E-3</c:v>
                </c:pt>
                <c:pt idx="207">
                  <c:v>1.813036046431562E-3</c:v>
                </c:pt>
                <c:pt idx="208">
                  <c:v>1.8184896673099117E-3</c:v>
                </c:pt>
                <c:pt idx="209">
                  <c:v>1.8242233575678675E-3</c:v>
                </c:pt>
                <c:pt idx="210">
                  <c:v>1.8279993719319701E-3</c:v>
                </c:pt>
                <c:pt idx="211">
                  <c:v>1.839467733983582E-3</c:v>
                </c:pt>
                <c:pt idx="212">
                  <c:v>1.8433838074905448E-3</c:v>
                </c:pt>
                <c:pt idx="213">
                  <c:v>1.8516353789907111E-3</c:v>
                </c:pt>
                <c:pt idx="214">
                  <c:v>1.8604458350550434E-3</c:v>
                </c:pt>
                <c:pt idx="215">
                  <c:v>1.8738693063771264E-3</c:v>
                </c:pt>
                <c:pt idx="216">
                  <c:v>1.8751275905243476E-3</c:v>
                </c:pt>
                <c:pt idx="217">
                  <c:v>1.8823969819804567E-3</c:v>
                </c:pt>
                <c:pt idx="218">
                  <c:v>1.9157872302324806E-3</c:v>
                </c:pt>
                <c:pt idx="219">
                  <c:v>1.9219294718962937E-3</c:v>
                </c:pt>
                <c:pt idx="220">
                  <c:v>1.9233251784907886E-3</c:v>
                </c:pt>
                <c:pt idx="221">
                  <c:v>1.9283488909681054E-3</c:v>
                </c:pt>
                <c:pt idx="222">
                  <c:v>1.9315577775443043E-3</c:v>
                </c:pt>
                <c:pt idx="223">
                  <c:v>1.9346266085672988E-3</c:v>
                </c:pt>
                <c:pt idx="224">
                  <c:v>1.9474537887724426E-3</c:v>
                </c:pt>
                <c:pt idx="225">
                  <c:v>1.9541420054653277E-3</c:v>
                </c:pt>
                <c:pt idx="226">
                  <c:v>1.9552564077492947E-3</c:v>
                </c:pt>
                <c:pt idx="227">
                  <c:v>1.9624978339116039E-3</c:v>
                </c:pt>
                <c:pt idx="228">
                  <c:v>1.9700135748754585E-3</c:v>
                </c:pt>
                <c:pt idx="229">
                  <c:v>1.9883656911329813E-3</c:v>
                </c:pt>
                <c:pt idx="230">
                  <c:v>2.0190198557077581E-3</c:v>
                </c:pt>
                <c:pt idx="231">
                  <c:v>2.0201276327967057E-3</c:v>
                </c:pt>
                <c:pt idx="232">
                  <c:v>2.0204045552453097E-3</c:v>
                </c:pt>
                <c:pt idx="233">
                  <c:v>2.0302295239992807E-3</c:v>
                </c:pt>
                <c:pt idx="234">
                  <c:v>2.0309209909086688E-3</c:v>
                </c:pt>
                <c:pt idx="235">
                  <c:v>2.0486021594385896E-3</c:v>
                </c:pt>
                <c:pt idx="236">
                  <c:v>2.0527402807660783E-3</c:v>
                </c:pt>
                <c:pt idx="237">
                  <c:v>2.0590808367578223E-3</c:v>
                </c:pt>
                <c:pt idx="238">
                  <c:v>2.0611471904348005E-3</c:v>
                </c:pt>
                <c:pt idx="239">
                  <c:v>2.0622489968615291E-3</c:v>
                </c:pt>
                <c:pt idx="240">
                  <c:v>2.0662415773858665E-3</c:v>
                </c:pt>
                <c:pt idx="241">
                  <c:v>2.0721573022201866E-3</c:v>
                </c:pt>
                <c:pt idx="242">
                  <c:v>2.0751819223472322E-3</c:v>
                </c:pt>
                <c:pt idx="243">
                  <c:v>2.0799909270678573E-3</c:v>
                </c:pt>
                <c:pt idx="244">
                  <c:v>2.0809522963930764E-3</c:v>
                </c:pt>
                <c:pt idx="245">
                  <c:v>2.087129031933331E-3</c:v>
                </c:pt>
                <c:pt idx="246">
                  <c:v>2.087677779014134E-3</c:v>
                </c:pt>
                <c:pt idx="247">
                  <c:v>2.0880893072770779E-3</c:v>
                </c:pt>
                <c:pt idx="248">
                  <c:v>2.0941218677877579E-3</c:v>
                </c:pt>
                <c:pt idx="249">
                  <c:v>2.0991900085333345E-3</c:v>
                </c:pt>
                <c:pt idx="250">
                  <c:v>2.0994638379837152E-3</c:v>
                </c:pt>
                <c:pt idx="251">
                  <c:v>2.1004221399574608E-3</c:v>
                </c:pt>
                <c:pt idx="252">
                  <c:v>2.1091763666534822E-3</c:v>
                </c:pt>
                <c:pt idx="253">
                  <c:v>2.1117726700827454E-3</c:v>
                </c:pt>
                <c:pt idx="254">
                  <c:v>2.1128654874278904E-3</c:v>
                </c:pt>
                <c:pt idx="255">
                  <c:v>2.1153235335456726E-3</c:v>
                </c:pt>
                <c:pt idx="256">
                  <c:v>2.1154600593188515E-3</c:v>
                </c:pt>
                <c:pt idx="257">
                  <c:v>2.1271883032606257E-3</c:v>
                </c:pt>
                <c:pt idx="258">
                  <c:v>2.1295035864462935E-3</c:v>
                </c:pt>
                <c:pt idx="259">
                  <c:v>2.1342670580569044E-3</c:v>
                </c:pt>
                <c:pt idx="260">
                  <c:v>2.1363071758714433E-3</c:v>
                </c:pt>
                <c:pt idx="261">
                  <c:v>2.1372589468985612E-3</c:v>
                </c:pt>
                <c:pt idx="262">
                  <c:v>2.1506999765302094E-3</c:v>
                </c:pt>
                <c:pt idx="263">
                  <c:v>2.1567970557907286E-3</c:v>
                </c:pt>
                <c:pt idx="264">
                  <c:v>2.1607220395785192E-3</c:v>
                </c:pt>
                <c:pt idx="265">
                  <c:v>2.1724765360473896E-3</c:v>
                </c:pt>
                <c:pt idx="266">
                  <c:v>2.173286039380789E-3</c:v>
                </c:pt>
                <c:pt idx="267">
                  <c:v>2.1949501514122146E-3</c:v>
                </c:pt>
                <c:pt idx="268">
                  <c:v>2.2015208722910196E-3</c:v>
                </c:pt>
                <c:pt idx="269">
                  <c:v>2.2092842609621769E-3</c:v>
                </c:pt>
                <c:pt idx="270">
                  <c:v>2.2140950259997706E-3</c:v>
                </c:pt>
                <c:pt idx="271">
                  <c:v>2.2148962249378813E-3</c:v>
                </c:pt>
                <c:pt idx="272">
                  <c:v>2.2202331590152383E-3</c:v>
                </c:pt>
                <c:pt idx="273">
                  <c:v>2.2248966454419595E-3</c:v>
                </c:pt>
                <c:pt idx="274">
                  <c:v>2.226094862452766E-3</c:v>
                </c:pt>
                <c:pt idx="275">
                  <c:v>2.2275588099863854E-3</c:v>
                </c:pt>
                <c:pt idx="276">
                  <c:v>2.2379222839931426E-3</c:v>
                </c:pt>
                <c:pt idx="277">
                  <c:v>2.2502383439407612E-3</c:v>
                </c:pt>
                <c:pt idx="278">
                  <c:v>2.2506348894216384E-3</c:v>
                </c:pt>
                <c:pt idx="279">
                  <c:v>2.2794519569572231E-3</c:v>
                </c:pt>
                <c:pt idx="280">
                  <c:v>2.28063055621119E-3</c:v>
                </c:pt>
                <c:pt idx="281">
                  <c:v>2.2856017890131894E-3</c:v>
                </c:pt>
                <c:pt idx="282">
                  <c:v>2.2977330847639339E-3</c:v>
                </c:pt>
                <c:pt idx="283">
                  <c:v>2.3105908751200588E-3</c:v>
                </c:pt>
                <c:pt idx="284">
                  <c:v>2.3105908751200588E-3</c:v>
                </c:pt>
                <c:pt idx="285">
                  <c:v>2.3127928247992048E-3</c:v>
                </c:pt>
                <c:pt idx="286">
                  <c:v>2.3138284249849829E-3</c:v>
                </c:pt>
                <c:pt idx="287">
                  <c:v>2.3179668902233454E-3</c:v>
                </c:pt>
                <c:pt idx="288">
                  <c:v>2.3254516521788271E-3</c:v>
                </c:pt>
                <c:pt idx="289">
                  <c:v>2.3385628811373334E-3</c:v>
                </c:pt>
                <c:pt idx="290">
                  <c:v>2.3499479979968716E-3</c:v>
                </c:pt>
                <c:pt idx="291">
                  <c:v>2.3597555830005392E-3</c:v>
                </c:pt>
                <c:pt idx="292">
                  <c:v>2.3682567185266817E-3</c:v>
                </c:pt>
                <c:pt idx="293">
                  <c:v>2.3690165079513974E-3</c:v>
                </c:pt>
                <c:pt idx="294">
                  <c:v>2.3705353383583448E-3</c:v>
                </c:pt>
                <c:pt idx="295">
                  <c:v>2.3726853012443639E-3</c:v>
                </c:pt>
                <c:pt idx="296">
                  <c:v>2.373317259799025E-3</c:v>
                </c:pt>
                <c:pt idx="297">
                  <c:v>2.3823979768801389E-3</c:v>
                </c:pt>
                <c:pt idx="298">
                  <c:v>2.3849138765440203E-3</c:v>
                </c:pt>
                <c:pt idx="299">
                  <c:v>2.3959496268174622E-3</c:v>
                </c:pt>
                <c:pt idx="300">
                  <c:v>2.4095401993119237E-3</c:v>
                </c:pt>
                <c:pt idx="301">
                  <c:v>2.4221771355043961E-3</c:v>
                </c:pt>
                <c:pt idx="302">
                  <c:v>2.4267414149639135E-3</c:v>
                </c:pt>
                <c:pt idx="303">
                  <c:v>2.4384115695276222E-3</c:v>
                </c:pt>
                <c:pt idx="304">
                  <c:v>2.4603255795512639E-3</c:v>
                </c:pt>
                <c:pt idx="305">
                  <c:v>2.4614143349643925E-3</c:v>
                </c:pt>
                <c:pt idx="306">
                  <c:v>2.4637106131532552E-3</c:v>
                </c:pt>
                <c:pt idx="307">
                  <c:v>2.4698594226383133E-3</c:v>
                </c:pt>
                <c:pt idx="308">
                  <c:v>2.4752666819300661E-3</c:v>
                </c:pt>
                <c:pt idx="309">
                  <c:v>2.4888877310556101E-3</c:v>
                </c:pt>
                <c:pt idx="310">
                  <c:v>2.4907904732610342E-3</c:v>
                </c:pt>
                <c:pt idx="311">
                  <c:v>2.5001523788119994E-3</c:v>
                </c:pt>
                <c:pt idx="312">
                  <c:v>2.5003886745735542E-3</c:v>
                </c:pt>
                <c:pt idx="313">
                  <c:v>2.5055781791312377E-3</c:v>
                </c:pt>
                <c:pt idx="314">
                  <c:v>2.5076961733820962E-3</c:v>
                </c:pt>
                <c:pt idx="315">
                  <c:v>2.5093414910325558E-3</c:v>
                </c:pt>
                <c:pt idx="316">
                  <c:v>2.5192928502048751E-3</c:v>
                </c:pt>
                <c:pt idx="317">
                  <c:v>2.5206924437893245E-3</c:v>
                </c:pt>
                <c:pt idx="318">
                  <c:v>2.5209255809750847E-3</c:v>
                </c:pt>
                <c:pt idx="319">
                  <c:v>2.5254643978532489E-3</c:v>
                </c:pt>
                <c:pt idx="320">
                  <c:v>2.5297574499943336E-3</c:v>
                </c:pt>
                <c:pt idx="321">
                  <c:v>2.5355385925534984E-3</c:v>
                </c:pt>
                <c:pt idx="322">
                  <c:v>2.5389960069771146E-3</c:v>
                </c:pt>
                <c:pt idx="323">
                  <c:v>2.5446247913062828E-3</c:v>
                </c:pt>
                <c:pt idx="324">
                  <c:v>2.5512578049160465E-3</c:v>
                </c:pt>
                <c:pt idx="325">
                  <c:v>2.5535375452471762E-3</c:v>
                </c:pt>
                <c:pt idx="326">
                  <c:v>2.5535375452471762E-3</c:v>
                </c:pt>
                <c:pt idx="327">
                  <c:v>2.5587662309128983E-3</c:v>
                </c:pt>
                <c:pt idx="328">
                  <c:v>2.5597868242972512E-3</c:v>
                </c:pt>
                <c:pt idx="329">
                  <c:v>2.5629569340633058E-3</c:v>
                </c:pt>
                <c:pt idx="330">
                  <c:v>2.5647649695118143E-3</c:v>
                </c:pt>
                <c:pt idx="331">
                  <c:v>2.5709608101499928E-3</c:v>
                </c:pt>
                <c:pt idx="332">
                  <c:v>2.5732063972472149E-3</c:v>
                </c:pt>
                <c:pt idx="333">
                  <c:v>2.5942281097666242E-3</c:v>
                </c:pt>
                <c:pt idx="334">
                  <c:v>2.5949996917181491E-3</c:v>
                </c:pt>
                <c:pt idx="335">
                  <c:v>2.5959909825145023E-3</c:v>
                </c:pt>
                <c:pt idx="336">
                  <c:v>2.5989598267807273E-3</c:v>
                </c:pt>
                <c:pt idx="337">
                  <c:v>2.6117369312343244E-3</c:v>
                </c:pt>
                <c:pt idx="338">
                  <c:v>2.6156393344227142E-3</c:v>
                </c:pt>
                <c:pt idx="339">
                  <c:v>2.6242618482544265E-3</c:v>
                </c:pt>
                <c:pt idx="340">
                  <c:v>2.6258709171190766E-3</c:v>
                </c:pt>
                <c:pt idx="341">
                  <c:v>2.6261924394187282E-3</c:v>
                </c:pt>
                <c:pt idx="342">
                  <c:v>2.6300431074900406E-3</c:v>
                </c:pt>
                <c:pt idx="343">
                  <c:v>2.6356864933487641E-3</c:v>
                </c:pt>
                <c:pt idx="344">
                  <c:v>2.6370660294637409E-3</c:v>
                </c:pt>
                <c:pt idx="345">
                  <c:v>2.6458299467636785E-3</c:v>
                </c:pt>
                <c:pt idx="346">
                  <c:v>2.6507587492584366E-3</c:v>
                </c:pt>
                <c:pt idx="347">
                  <c:v>2.6541003915868844E-3</c:v>
                </c:pt>
                <c:pt idx="348">
                  <c:v>2.6548298426091492E-3</c:v>
                </c:pt>
                <c:pt idx="349">
                  <c:v>2.6554546473111615E-3</c:v>
                </c:pt>
                <c:pt idx="350">
                  <c:v>2.6583650334530374E-3</c:v>
                </c:pt>
                <c:pt idx="351">
                  <c:v>2.6598169025652514E-3</c:v>
                </c:pt>
                <c:pt idx="352">
                  <c:v>2.669404841931536E-3</c:v>
                </c:pt>
                <c:pt idx="353">
                  <c:v>2.6695074004430964E-3</c:v>
                </c:pt>
                <c:pt idx="354">
                  <c:v>2.6799077237866916E-3</c:v>
                </c:pt>
                <c:pt idx="355">
                  <c:v>2.6805157479302655E-3</c:v>
                </c:pt>
                <c:pt idx="356">
                  <c:v>2.6816293679271836E-3</c:v>
                </c:pt>
                <c:pt idx="357">
                  <c:v>2.68586835012769E-3</c:v>
                </c:pt>
                <c:pt idx="358">
                  <c:v>2.689585522493646E-3</c:v>
                </c:pt>
                <c:pt idx="359">
                  <c:v>2.6927873394946393E-3</c:v>
                </c:pt>
                <c:pt idx="360">
                  <c:v>2.6953798753014532E-3</c:v>
                </c:pt>
                <c:pt idx="361">
                  <c:v>2.697666566463185E-3</c:v>
                </c:pt>
                <c:pt idx="362">
                  <c:v>2.7007386323368841E-3</c:v>
                </c:pt>
                <c:pt idx="363">
                  <c:v>2.7044886697957572E-3</c:v>
                </c:pt>
                <c:pt idx="364">
                  <c:v>2.7098855207317099E-3</c:v>
                </c:pt>
                <c:pt idx="365">
                  <c:v>2.7115462243228359E-3</c:v>
                </c:pt>
                <c:pt idx="366">
                  <c:v>2.717282528937201E-3</c:v>
                </c:pt>
                <c:pt idx="367">
                  <c:v>2.7277676839395169E-3</c:v>
                </c:pt>
                <c:pt idx="368">
                  <c:v>2.7288176538067732E-3</c:v>
                </c:pt>
                <c:pt idx="369">
                  <c:v>2.7297708658666668E-3</c:v>
                </c:pt>
                <c:pt idx="370">
                  <c:v>2.7310081794441228E-3</c:v>
                </c:pt>
                <c:pt idx="371">
                  <c:v>2.7356529240222978E-3</c:v>
                </c:pt>
                <c:pt idx="372">
                  <c:v>2.7378227307379983E-3</c:v>
                </c:pt>
                <c:pt idx="373">
                  <c:v>2.7463421668415958E-3</c:v>
                </c:pt>
                <c:pt idx="374">
                  <c:v>2.7499611705652802E-3</c:v>
                </c:pt>
                <c:pt idx="375">
                  <c:v>2.7571407725365642E-3</c:v>
                </c:pt>
                <c:pt idx="376">
                  <c:v>2.7580555745796631E-3</c:v>
                </c:pt>
                <c:pt idx="377">
                  <c:v>2.7591516325576877E-3</c:v>
                </c:pt>
                <c:pt idx="378">
                  <c:v>2.7611562347063376E-3</c:v>
                </c:pt>
                <c:pt idx="379">
                  <c:v>2.7629731566429657E-3</c:v>
                </c:pt>
                <c:pt idx="380">
                  <c:v>2.763517220415635E-3</c:v>
                </c:pt>
                <c:pt idx="381">
                  <c:v>2.766501196840826E-3</c:v>
                </c:pt>
                <c:pt idx="382">
                  <c:v>2.7684826230710505E-3</c:v>
                </c:pt>
                <c:pt idx="383">
                  <c:v>2.7853298419809021E-3</c:v>
                </c:pt>
                <c:pt idx="384">
                  <c:v>2.7949496782221383E-3</c:v>
                </c:pt>
                <c:pt idx="385">
                  <c:v>2.7978630728415347E-3</c:v>
                </c:pt>
                <c:pt idx="386">
                  <c:v>2.8011855997113503E-3</c:v>
                </c:pt>
                <c:pt idx="387">
                  <c:v>2.8013554281520869E-3</c:v>
                </c:pt>
                <c:pt idx="388">
                  <c:v>2.8084388941130144E-3</c:v>
                </c:pt>
                <c:pt idx="389">
                  <c:v>2.8093593317325451E-3</c:v>
                </c:pt>
                <c:pt idx="390">
                  <c:v>2.8171568440534507E-3</c:v>
                </c:pt>
                <c:pt idx="391">
                  <c:v>2.8214993213611416E-3</c:v>
                </c:pt>
                <c:pt idx="392">
                  <c:v>2.8220699308413775E-3</c:v>
                </c:pt>
                <c:pt idx="393">
                  <c:v>2.8295056234170102E-3</c:v>
                </c:pt>
                <c:pt idx="394">
                  <c:v>2.8330197524066929E-3</c:v>
                </c:pt>
                <c:pt idx="395">
                  <c:v>2.8334173550873983E-3</c:v>
                </c:pt>
                <c:pt idx="396">
                  <c:v>2.8373739020315556E-3</c:v>
                </c:pt>
                <c:pt idx="397">
                  <c:v>2.8373739020315556E-3</c:v>
                </c:pt>
                <c:pt idx="398">
                  <c:v>2.8408262763340623E-3</c:v>
                </c:pt>
                <c:pt idx="399">
                  <c:v>2.8416070578686828E-3</c:v>
                </c:pt>
                <c:pt idx="400">
                  <c:v>2.8416850574860195E-3</c:v>
                </c:pt>
                <c:pt idx="401">
                  <c:v>2.8416850574860195E-3</c:v>
                </c:pt>
                <c:pt idx="402">
                  <c:v>2.848569662695278E-3</c:v>
                </c:pt>
                <c:pt idx="403">
                  <c:v>2.8501775230371992E-3</c:v>
                </c:pt>
                <c:pt idx="404">
                  <c:v>2.852083346871499E-3</c:v>
                </c:pt>
                <c:pt idx="405">
                  <c:v>2.8548873779957384E-3</c:v>
                </c:pt>
                <c:pt idx="406">
                  <c:v>2.8568459034136388E-3</c:v>
                </c:pt>
                <c:pt idx="407">
                  <c:v>2.85991437302485E-3</c:v>
                </c:pt>
                <c:pt idx="408">
                  <c:v>2.8694084772891261E-3</c:v>
                </c:pt>
                <c:pt idx="409">
                  <c:v>2.8819653969659547E-3</c:v>
                </c:pt>
                <c:pt idx="410">
                  <c:v>2.8917591857042001E-3</c:v>
                </c:pt>
                <c:pt idx="411">
                  <c:v>2.8927083128501871E-3</c:v>
                </c:pt>
                <c:pt idx="412">
                  <c:v>2.8964082765967902E-3</c:v>
                </c:pt>
                <c:pt idx="413">
                  <c:v>2.8976757710612094E-3</c:v>
                </c:pt>
                <c:pt idx="414">
                  <c:v>2.8981413581378817E-3</c:v>
                </c:pt>
                <c:pt idx="415">
                  <c:v>2.8986061990747308E-3</c:v>
                </c:pt>
                <c:pt idx="416">
                  <c:v>2.8988051881140122E-3</c:v>
                </c:pt>
                <c:pt idx="417">
                  <c:v>2.9011165854038339E-3</c:v>
                </c:pt>
                <c:pt idx="418">
                  <c:v>2.9024944437212115E-3</c:v>
                </c:pt>
                <c:pt idx="419">
                  <c:v>2.9050354140728336E-3</c:v>
                </c:pt>
                <c:pt idx="420">
                  <c:v>2.9085791562871903E-3</c:v>
                </c:pt>
                <c:pt idx="421">
                  <c:v>2.912265714364262E-3</c:v>
                </c:pt>
                <c:pt idx="422">
                  <c:v>2.9150277208905792E-3</c:v>
                </c:pt>
                <c:pt idx="423">
                  <c:v>2.9185611109704842E-3</c:v>
                </c:pt>
                <c:pt idx="424">
                  <c:v>2.9207056786757515E-3</c:v>
                </c:pt>
                <c:pt idx="425">
                  <c:v>2.9228311269071479E-3</c:v>
                </c:pt>
                <c:pt idx="426">
                  <c:v>2.9239167552984756E-3</c:v>
                </c:pt>
                <c:pt idx="427">
                  <c:v>2.9287980927501043E-3</c:v>
                </c:pt>
                <c:pt idx="428">
                  <c:v>2.9319548521558408E-3</c:v>
                </c:pt>
                <c:pt idx="429">
                  <c:v>2.9335735639125721E-3</c:v>
                </c:pt>
                <c:pt idx="430">
                  <c:v>2.936205930993726E-3</c:v>
                </c:pt>
                <c:pt idx="431">
                  <c:v>2.9371136700936662E-3</c:v>
                </c:pt>
                <c:pt idx="432">
                  <c:v>2.9418677506409703E-3</c:v>
                </c:pt>
                <c:pt idx="433">
                  <c:v>2.9423092630430307E-3</c:v>
                </c:pt>
                <c:pt idx="434">
                  <c:v>2.9430794494833953E-3</c:v>
                </c:pt>
                <c:pt idx="435">
                  <c:v>2.9520765547937874E-3</c:v>
                </c:pt>
                <c:pt idx="436">
                  <c:v>2.9527538253806295E-3</c:v>
                </c:pt>
                <c:pt idx="437">
                  <c:v>2.9550258603871955E-3</c:v>
                </c:pt>
                <c:pt idx="438">
                  <c:v>2.9555378633018201E-3</c:v>
                </c:pt>
                <c:pt idx="439">
                  <c:v>2.9597746500472665E-3</c:v>
                </c:pt>
                <c:pt idx="440">
                  <c:v>2.9618990848809656E-3</c:v>
                </c:pt>
                <c:pt idx="441">
                  <c:v>2.9620461768248329E-3</c:v>
                </c:pt>
                <c:pt idx="442">
                  <c:v>2.962974349427462E-3</c:v>
                </c:pt>
                <c:pt idx="443">
                  <c:v>2.9635090191256664E-3</c:v>
                </c:pt>
                <c:pt idx="444">
                  <c:v>2.9650051779369804E-3</c:v>
                </c:pt>
                <c:pt idx="445">
                  <c:v>2.9662003064636873E-3</c:v>
                </c:pt>
                <c:pt idx="446">
                  <c:v>2.9671963029950141E-3</c:v>
                </c:pt>
                <c:pt idx="447">
                  <c:v>2.9741446009196757E-3</c:v>
                </c:pt>
                <c:pt idx="448">
                  <c:v>2.9751255679957953E-3</c:v>
                </c:pt>
                <c:pt idx="449">
                  <c:v>2.9767135222016961E-3</c:v>
                </c:pt>
                <c:pt idx="450">
                  <c:v>2.9772816773723345E-3</c:v>
                </c:pt>
                <c:pt idx="451">
                  <c:v>2.9774994530131619E-3</c:v>
                </c:pt>
                <c:pt idx="452">
                  <c:v>2.9776733751958199E-3</c:v>
                </c:pt>
                <c:pt idx="453">
                  <c:v>2.9807585736541715E-3</c:v>
                </c:pt>
                <c:pt idx="454">
                  <c:v>2.981558357776656E-3</c:v>
                </c:pt>
                <c:pt idx="455">
                  <c:v>2.9849004971850561E-3</c:v>
                </c:pt>
                <c:pt idx="456">
                  <c:v>2.9852650889272189E-3</c:v>
                </c:pt>
                <c:pt idx="457">
                  <c:v>2.9859500695072478E-3</c:v>
                </c:pt>
                <c:pt idx="458">
                  <c:v>2.9864706181600767E-3</c:v>
                </c:pt>
                <c:pt idx="459">
                  <c:v>2.9917465897626788E-3</c:v>
                </c:pt>
                <c:pt idx="460">
                  <c:v>2.9920472696932619E-3</c:v>
                </c:pt>
                <c:pt idx="461">
                  <c:v>2.9920472696932619E-3</c:v>
                </c:pt>
                <c:pt idx="462">
                  <c:v>2.9954276176820515E-3</c:v>
                </c:pt>
                <c:pt idx="463">
                  <c:v>2.9969938255406657E-3</c:v>
                </c:pt>
                <c:pt idx="464">
                  <c:v>2.9973452183753484E-3</c:v>
                </c:pt>
                <c:pt idx="465">
                  <c:v>2.9982855283910525E-3</c:v>
                </c:pt>
                <c:pt idx="466">
                  <c:v>2.9993839861405316E-3</c:v>
                </c:pt>
                <c:pt idx="467">
                  <c:v>3.0008660215026365E-3</c:v>
                </c:pt>
                <c:pt idx="468">
                  <c:v>3.0011982661329447E-3</c:v>
                </c:pt>
                <c:pt idx="469">
                  <c:v>3.0027693926652009E-3</c:v>
                </c:pt>
                <c:pt idx="470">
                  <c:v>3.0033804746757635E-3</c:v>
                </c:pt>
                <c:pt idx="471">
                  <c:v>3.0049280607761827E-3</c:v>
                </c:pt>
                <c:pt idx="472">
                  <c:v>3.0057018825861673E-3</c:v>
                </c:pt>
                <c:pt idx="473">
                  <c:v>3.0058860136758761E-3</c:v>
                </c:pt>
                <c:pt idx="474">
                  <c:v>3.0071876383286904E-3</c:v>
                </c:pt>
                <c:pt idx="475">
                  <c:v>3.0076639021980843E-3</c:v>
                </c:pt>
                <c:pt idx="476">
                  <c:v>3.0095822155166959E-3</c:v>
                </c:pt>
                <c:pt idx="477">
                  <c:v>3.0135605245366357E-3</c:v>
                </c:pt>
                <c:pt idx="478">
                  <c:v>3.0137679354346552E-3</c:v>
                </c:pt>
                <c:pt idx="479">
                  <c:v>3.0194557415075519E-3</c:v>
                </c:pt>
                <c:pt idx="480">
                  <c:v>3.0206042155486814E-3</c:v>
                </c:pt>
                <c:pt idx="481">
                  <c:v>3.0213216308946755E-3</c:v>
                </c:pt>
                <c:pt idx="482">
                  <c:v>3.0214625671764654E-3</c:v>
                </c:pt>
                <c:pt idx="483">
                  <c:v>3.0223290024527999E-3</c:v>
                </c:pt>
                <c:pt idx="484">
                  <c:v>3.0228817033505625E-3</c:v>
                </c:pt>
                <c:pt idx="485">
                  <c:v>3.023291257767265E-3</c:v>
                </c:pt>
                <c:pt idx="486">
                  <c:v>3.0253771768076719E-3</c:v>
                </c:pt>
                <c:pt idx="487">
                  <c:v>3.026762448164248E-3</c:v>
                </c:pt>
                <c:pt idx="488">
                  <c:v>3.0271840278026534E-3</c:v>
                </c:pt>
                <c:pt idx="489">
                  <c:v>3.0284623718569701E-3</c:v>
                </c:pt>
                <c:pt idx="490">
                  <c:v>3.0289892225070273E-3</c:v>
                </c:pt>
                <c:pt idx="491">
                  <c:v>3.0293490181776527E-3</c:v>
                </c:pt>
                <c:pt idx="492">
                  <c:v>3.0295832139342377E-3</c:v>
                </c:pt>
                <c:pt idx="493">
                  <c:v>3.0297243311968878E-3</c:v>
                </c:pt>
                <c:pt idx="494">
                  <c:v>3.0305742245312003E-3</c:v>
                </c:pt>
                <c:pt idx="495">
                  <c:v>3.0306294438243492E-3</c:v>
                </c:pt>
                <c:pt idx="496">
                  <c:v>3.031442208741754E-3</c:v>
                </c:pt>
                <c:pt idx="497">
                  <c:v>3.0327807525318351E-3</c:v>
                </c:pt>
                <c:pt idx="498">
                  <c:v>3.0328006174004498E-3</c:v>
                </c:pt>
                <c:pt idx="499">
                  <c:v>3.0329300047539976E-3</c:v>
                </c:pt>
                <c:pt idx="500">
                  <c:v>3.0328971896207402E-3</c:v>
                </c:pt>
                <c:pt idx="501">
                  <c:v>3.032844729452019E-3</c:v>
                </c:pt>
                <c:pt idx="502">
                  <c:v>3.0327653680481564E-3</c:v>
                </c:pt>
                <c:pt idx="503">
                  <c:v>3.032586154884527E-3</c:v>
                </c:pt>
                <c:pt idx="504">
                  <c:v>3.0324917730395855E-3</c:v>
                </c:pt>
                <c:pt idx="505">
                  <c:v>3.0321530172394829E-3</c:v>
                </c:pt>
                <c:pt idx="506">
                  <c:v>3.0319917628381047E-3</c:v>
                </c:pt>
                <c:pt idx="507">
                  <c:v>3.0318102747930826E-3</c:v>
                </c:pt>
                <c:pt idx="508">
                  <c:v>3.0316070322550623E-3</c:v>
                </c:pt>
                <c:pt idx="509">
                  <c:v>3.0314181439136715E-3</c:v>
                </c:pt>
                <c:pt idx="510">
                  <c:v>3.0308420682594543E-3</c:v>
                </c:pt>
                <c:pt idx="511">
                  <c:v>3.0307090772649569E-3</c:v>
                </c:pt>
                <c:pt idx="512">
                  <c:v>3.0300568334886173E-3</c:v>
                </c:pt>
                <c:pt idx="513">
                  <c:v>3.0295367261007297E-3</c:v>
                </c:pt>
                <c:pt idx="514">
                  <c:v>3.0286470523730974E-3</c:v>
                </c:pt>
                <c:pt idx="515">
                  <c:v>3.0285099293483209E-3</c:v>
                </c:pt>
                <c:pt idx="516">
                  <c:v>3.0277520009613043E-3</c:v>
                </c:pt>
                <c:pt idx="517">
                  <c:v>3.026490024313361E-3</c:v>
                </c:pt>
                <c:pt idx="518">
                  <c:v>3.0263686081140541E-3</c:v>
                </c:pt>
                <c:pt idx="519">
                  <c:v>3.0217176065553322E-3</c:v>
                </c:pt>
                <c:pt idx="520">
                  <c:v>3.0201800018196364E-3</c:v>
                </c:pt>
                <c:pt idx="521">
                  <c:v>3.0185001064690752E-3</c:v>
                </c:pt>
                <c:pt idx="522">
                  <c:v>3.0180470017693848E-3</c:v>
                </c:pt>
                <c:pt idx="523">
                  <c:v>3.0176101530745001E-3</c:v>
                </c:pt>
                <c:pt idx="524">
                  <c:v>3.0158493618608192E-3</c:v>
                </c:pt>
                <c:pt idx="525">
                  <c:v>3.0153572655491814E-3</c:v>
                </c:pt>
                <c:pt idx="526">
                  <c:v>3.0132414753969361E-3</c:v>
                </c:pt>
                <c:pt idx="527">
                  <c:v>3.0121256982432727E-3</c:v>
                </c:pt>
                <c:pt idx="528">
                  <c:v>3.0120448405298664E-3</c:v>
                </c:pt>
                <c:pt idx="529">
                  <c:v>3.0105908884296793E-3</c:v>
                </c:pt>
                <c:pt idx="530">
                  <c:v>3.0091463385414404E-3</c:v>
                </c:pt>
                <c:pt idx="531">
                  <c:v>3.0077460885888246E-3</c:v>
                </c:pt>
                <c:pt idx="532">
                  <c:v>3.0060626902812821E-3</c:v>
                </c:pt>
                <c:pt idx="533">
                  <c:v>3.0048274930249766E-3</c:v>
                </c:pt>
                <c:pt idx="534">
                  <c:v>3.0035969197884063E-3</c:v>
                </c:pt>
                <c:pt idx="535">
                  <c:v>3.0029235772495149E-3</c:v>
                </c:pt>
                <c:pt idx="536">
                  <c:v>3.0017846716464979E-3</c:v>
                </c:pt>
                <c:pt idx="537">
                  <c:v>2.9997161046913649E-3</c:v>
                </c:pt>
                <c:pt idx="538">
                  <c:v>2.9984160489813366E-3</c:v>
                </c:pt>
                <c:pt idx="539">
                  <c:v>2.9964910914632311E-3</c:v>
                </c:pt>
                <c:pt idx="540">
                  <c:v>2.9962780015684088E-3</c:v>
                </c:pt>
                <c:pt idx="541">
                  <c:v>2.9957426159328894E-3</c:v>
                </c:pt>
                <c:pt idx="542">
                  <c:v>2.9902184658629435E-3</c:v>
                </c:pt>
                <c:pt idx="543">
                  <c:v>2.9900266146996048E-3</c:v>
                </c:pt>
                <c:pt idx="544">
                  <c:v>2.9894098708339437E-3</c:v>
                </c:pt>
                <c:pt idx="545">
                  <c:v>2.9859812215693626E-3</c:v>
                </c:pt>
                <c:pt idx="546">
                  <c:v>2.9857400931054667E-3</c:v>
                </c:pt>
                <c:pt idx="547">
                  <c:v>2.9843215219038238E-3</c:v>
                </c:pt>
                <c:pt idx="548">
                  <c:v>2.9835017277881413E-3</c:v>
                </c:pt>
                <c:pt idx="549">
                  <c:v>2.9828410892490608E-3</c:v>
                </c:pt>
                <c:pt idx="550">
                  <c:v>2.9820510398848622E-3</c:v>
                </c:pt>
                <c:pt idx="551">
                  <c:v>2.9819257456023779E-3</c:v>
                </c:pt>
                <c:pt idx="552">
                  <c:v>2.9800708902110577E-3</c:v>
                </c:pt>
                <c:pt idx="553">
                  <c:v>2.9758240844387947E-3</c:v>
                </c:pt>
                <c:pt idx="554">
                  <c:v>2.974581494388655E-3</c:v>
                </c:pt>
                <c:pt idx="555">
                  <c:v>2.9739104910368069E-3</c:v>
                </c:pt>
                <c:pt idx="556">
                  <c:v>2.9728744040808789E-3</c:v>
                </c:pt>
                <c:pt idx="557">
                  <c:v>2.972829158814336E-3</c:v>
                </c:pt>
                <c:pt idx="558">
                  <c:v>2.9719207907341755E-3</c:v>
                </c:pt>
                <c:pt idx="559">
                  <c:v>2.9697601912115766E-3</c:v>
                </c:pt>
                <c:pt idx="560">
                  <c:v>2.9672802043006446E-3</c:v>
                </c:pt>
                <c:pt idx="561">
                  <c:v>2.9666174172411162E-3</c:v>
                </c:pt>
                <c:pt idx="562">
                  <c:v>2.9649464017698136E-3</c:v>
                </c:pt>
                <c:pt idx="563">
                  <c:v>2.9647541518764992E-3</c:v>
                </c:pt>
                <c:pt idx="564">
                  <c:v>2.9608542676471373E-3</c:v>
                </c:pt>
                <c:pt idx="565">
                  <c:v>2.9565456300544315E-3</c:v>
                </c:pt>
                <c:pt idx="566">
                  <c:v>2.953985438465534E-3</c:v>
                </c:pt>
                <c:pt idx="567">
                  <c:v>2.953157632838801E-3</c:v>
                </c:pt>
                <c:pt idx="568">
                  <c:v>2.9526901741223129E-3</c:v>
                </c:pt>
                <c:pt idx="569">
                  <c:v>2.9516990216020837E-3</c:v>
                </c:pt>
                <c:pt idx="570">
                  <c:v>2.9493813702450565E-3</c:v>
                </c:pt>
                <c:pt idx="571">
                  <c:v>2.9477297656039796E-3</c:v>
                </c:pt>
                <c:pt idx="572">
                  <c:v>2.9415788915168458E-3</c:v>
                </c:pt>
                <c:pt idx="573">
                  <c:v>2.9363637151352774E-3</c:v>
                </c:pt>
                <c:pt idx="574">
                  <c:v>2.936136321612865E-3</c:v>
                </c:pt>
                <c:pt idx="575">
                  <c:v>2.9344801290818365E-3</c:v>
                </c:pt>
                <c:pt idx="576">
                  <c:v>2.9324635363371545E-3</c:v>
                </c:pt>
                <c:pt idx="577">
                  <c:v>2.9306612396779127E-3</c:v>
                </c:pt>
                <c:pt idx="578">
                  <c:v>2.9269518257313012E-3</c:v>
                </c:pt>
                <c:pt idx="579">
                  <c:v>2.9268924426532846E-3</c:v>
                </c:pt>
                <c:pt idx="580">
                  <c:v>2.9265358142596671E-3</c:v>
                </c:pt>
                <c:pt idx="581">
                  <c:v>2.9173750731084636E-3</c:v>
                </c:pt>
                <c:pt idx="582">
                  <c:v>2.9163835595397542E-3</c:v>
                </c:pt>
                <c:pt idx="583">
                  <c:v>2.9099056738327977E-3</c:v>
                </c:pt>
                <c:pt idx="584">
                  <c:v>2.9009044545221245E-3</c:v>
                </c:pt>
                <c:pt idx="585">
                  <c:v>2.9006410441705906E-3</c:v>
                </c:pt>
                <c:pt idx="586">
                  <c:v>2.8961926581105783E-3</c:v>
                </c:pt>
                <c:pt idx="587">
                  <c:v>2.8820897575368332E-3</c:v>
                </c:pt>
                <c:pt idx="588">
                  <c:v>2.8724306207796881E-3</c:v>
                </c:pt>
                <c:pt idx="589">
                  <c:v>2.8696100968215381E-3</c:v>
                </c:pt>
                <c:pt idx="590">
                  <c:v>2.8656677359445628E-3</c:v>
                </c:pt>
                <c:pt idx="591">
                  <c:v>2.865594324873654E-3</c:v>
                </c:pt>
                <c:pt idx="592">
                  <c:v>2.8636066801010335E-3</c:v>
                </c:pt>
                <c:pt idx="593">
                  <c:v>2.8573547119630674E-3</c:v>
                </c:pt>
                <c:pt idx="594">
                  <c:v>2.8540388664854664E-3</c:v>
                </c:pt>
                <c:pt idx="595">
                  <c:v>2.851609716945177E-3</c:v>
                </c:pt>
                <c:pt idx="596">
                  <c:v>2.8428359142404535E-3</c:v>
                </c:pt>
                <c:pt idx="597">
                  <c:v>2.835065683751534E-3</c:v>
                </c:pt>
                <c:pt idx="598">
                  <c:v>2.8349864857030618E-3</c:v>
                </c:pt>
                <c:pt idx="599">
                  <c:v>2.8293272753534809E-3</c:v>
                </c:pt>
                <c:pt idx="600">
                  <c:v>2.8284441343625886E-3</c:v>
                </c:pt>
                <c:pt idx="601">
                  <c:v>2.827075933218568E-3</c:v>
                </c:pt>
                <c:pt idx="602">
                  <c:v>2.8269147014424504E-3</c:v>
                </c:pt>
                <c:pt idx="603">
                  <c:v>2.8186996977031843E-3</c:v>
                </c:pt>
                <c:pt idx="604">
                  <c:v>2.8132547645996504E-3</c:v>
                </c:pt>
                <c:pt idx="605">
                  <c:v>2.807078299516555E-3</c:v>
                </c:pt>
                <c:pt idx="606">
                  <c:v>2.805143264544778E-3</c:v>
                </c:pt>
                <c:pt idx="607">
                  <c:v>2.8028624682716486E-3</c:v>
                </c:pt>
                <c:pt idx="608">
                  <c:v>2.7952740085458215E-3</c:v>
                </c:pt>
                <c:pt idx="609">
                  <c:v>2.7939844827850392E-3</c:v>
                </c:pt>
                <c:pt idx="610">
                  <c:v>2.7848730331323443E-3</c:v>
                </c:pt>
                <c:pt idx="611">
                  <c:v>2.7773006154920904E-3</c:v>
                </c:pt>
                <c:pt idx="612">
                  <c:v>2.7765024836510521E-3</c:v>
                </c:pt>
                <c:pt idx="613">
                  <c:v>2.7656685588377918E-3</c:v>
                </c:pt>
                <c:pt idx="614">
                  <c:v>2.7604986872835384E-3</c:v>
                </c:pt>
                <c:pt idx="615">
                  <c:v>2.7556538548264599E-3</c:v>
                </c:pt>
                <c:pt idx="616">
                  <c:v>2.7545518833523488E-3</c:v>
                </c:pt>
                <c:pt idx="617">
                  <c:v>2.7512348726934357E-3</c:v>
                </c:pt>
                <c:pt idx="618">
                  <c:v>2.75095770531672E-3</c:v>
                </c:pt>
                <c:pt idx="619">
                  <c:v>2.7496627354271445E-3</c:v>
                </c:pt>
                <c:pt idx="620">
                  <c:v>2.748828932258209E-3</c:v>
                </c:pt>
                <c:pt idx="621">
                  <c:v>2.7474369636883837E-3</c:v>
                </c:pt>
                <c:pt idx="622">
                  <c:v>2.7467863971081812E-3</c:v>
                </c:pt>
                <c:pt idx="623">
                  <c:v>2.7452038540220765E-3</c:v>
                </c:pt>
                <c:pt idx="624">
                  <c:v>2.7412783178949428E-3</c:v>
                </c:pt>
                <c:pt idx="625">
                  <c:v>2.7391191641314453E-3</c:v>
                </c:pt>
                <c:pt idx="626">
                  <c:v>2.7370476469514224E-3</c:v>
                </c:pt>
                <c:pt idx="627">
                  <c:v>2.7308917714580624E-3</c:v>
                </c:pt>
                <c:pt idx="628">
                  <c:v>2.7263120464928216E-3</c:v>
                </c:pt>
                <c:pt idx="629">
                  <c:v>2.7158064380153309E-3</c:v>
                </c:pt>
                <c:pt idx="630">
                  <c:v>2.7151267793709515E-3</c:v>
                </c:pt>
                <c:pt idx="631">
                  <c:v>2.7130842133860872E-3</c:v>
                </c:pt>
                <c:pt idx="632">
                  <c:v>2.7126945434783078E-3</c:v>
                </c:pt>
                <c:pt idx="633">
                  <c:v>2.7115243649431151E-3</c:v>
                </c:pt>
                <c:pt idx="634">
                  <c:v>2.7029883702397411E-3</c:v>
                </c:pt>
                <c:pt idx="635">
                  <c:v>2.6990331720862146E-3</c:v>
                </c:pt>
                <c:pt idx="636">
                  <c:v>2.696153681214571E-3</c:v>
                </c:pt>
                <c:pt idx="637">
                  <c:v>2.6954571290116903E-3</c:v>
                </c:pt>
                <c:pt idx="638">
                  <c:v>2.6938628203670143E-3</c:v>
                </c:pt>
                <c:pt idx="639">
                  <c:v>2.6918656593166107E-3</c:v>
                </c:pt>
                <c:pt idx="640">
                  <c:v>2.688760700119034E-3</c:v>
                </c:pt>
                <c:pt idx="641">
                  <c:v>2.6819101818163077E-3</c:v>
                </c:pt>
                <c:pt idx="642">
                  <c:v>2.6794794230935162E-3</c:v>
                </c:pt>
                <c:pt idx="643">
                  <c:v>2.6724536951478139E-3</c:v>
                </c:pt>
                <c:pt idx="644">
                  <c:v>2.665579044664921E-3</c:v>
                </c:pt>
                <c:pt idx="645">
                  <c:v>2.6606223526247077E-3</c:v>
                </c:pt>
                <c:pt idx="646">
                  <c:v>2.6543897369880245E-3</c:v>
                </c:pt>
                <c:pt idx="647">
                  <c:v>2.6462268382609986E-3</c:v>
                </c:pt>
                <c:pt idx="648">
                  <c:v>2.6462268382609986E-3</c:v>
                </c:pt>
                <c:pt idx="649">
                  <c:v>2.6458063973720928E-3</c:v>
                </c:pt>
                <c:pt idx="650">
                  <c:v>2.6392668871790355E-3</c:v>
                </c:pt>
                <c:pt idx="651">
                  <c:v>2.6352378515014422E-3</c:v>
                </c:pt>
                <c:pt idx="652">
                  <c:v>2.6327915380467914E-3</c:v>
                </c:pt>
                <c:pt idx="653">
                  <c:v>2.6279885981510165E-3</c:v>
                </c:pt>
                <c:pt idx="654">
                  <c:v>2.6186408336497566E-3</c:v>
                </c:pt>
                <c:pt idx="655">
                  <c:v>2.6162641714565908E-3</c:v>
                </c:pt>
                <c:pt idx="656">
                  <c:v>2.6107348387649975E-3</c:v>
                </c:pt>
                <c:pt idx="657">
                  <c:v>2.6009102963245254E-3</c:v>
                </c:pt>
                <c:pt idx="658">
                  <c:v>2.5953055390710352E-3</c:v>
                </c:pt>
                <c:pt idx="659">
                  <c:v>2.5938725712377621E-3</c:v>
                </c:pt>
                <c:pt idx="660">
                  <c:v>2.5897846069629061E-3</c:v>
                </c:pt>
                <c:pt idx="661">
                  <c:v>2.5633838574376012E-3</c:v>
                </c:pt>
                <c:pt idx="662">
                  <c:v>2.5613474784761036E-3</c:v>
                </c:pt>
                <c:pt idx="663">
                  <c:v>2.5594213160238621E-3</c:v>
                </c:pt>
                <c:pt idx="664">
                  <c:v>2.5521446271205297E-3</c:v>
                </c:pt>
                <c:pt idx="665">
                  <c:v>2.5462031662079644E-3</c:v>
                </c:pt>
                <c:pt idx="666">
                  <c:v>2.5401208266862645E-3</c:v>
                </c:pt>
                <c:pt idx="667">
                  <c:v>2.5313526042361808E-3</c:v>
                </c:pt>
                <c:pt idx="668">
                  <c:v>2.5250897210546334E-3</c:v>
                </c:pt>
                <c:pt idx="669">
                  <c:v>2.5231124800948082E-3</c:v>
                </c:pt>
                <c:pt idx="670">
                  <c:v>2.5225304314232936E-3</c:v>
                </c:pt>
                <c:pt idx="671">
                  <c:v>2.5183329003852536E-3</c:v>
                </c:pt>
                <c:pt idx="672">
                  <c:v>2.5179825701658423E-3</c:v>
                </c:pt>
                <c:pt idx="673">
                  <c:v>2.5073170306960111E-3</c:v>
                </c:pt>
                <c:pt idx="674">
                  <c:v>2.5046095254737171E-3</c:v>
                </c:pt>
                <c:pt idx="675">
                  <c:v>2.4996532056247469E-3</c:v>
                </c:pt>
                <c:pt idx="676">
                  <c:v>2.4849295836408625E-3</c:v>
                </c:pt>
                <c:pt idx="677">
                  <c:v>2.4802711515199633E-3</c:v>
                </c:pt>
                <c:pt idx="678">
                  <c:v>2.4776375624100868E-3</c:v>
                </c:pt>
                <c:pt idx="679">
                  <c:v>2.4688693702351076E-3</c:v>
                </c:pt>
                <c:pt idx="680">
                  <c:v>2.4652529909801363E-3</c:v>
                </c:pt>
                <c:pt idx="681">
                  <c:v>2.4629587309315092E-3</c:v>
                </c:pt>
                <c:pt idx="682">
                  <c:v>2.4511994515656436E-3</c:v>
                </c:pt>
                <c:pt idx="683">
                  <c:v>2.4510778205305904E-3</c:v>
                </c:pt>
                <c:pt idx="684">
                  <c:v>2.4468156245976121E-3</c:v>
                </c:pt>
                <c:pt idx="685">
                  <c:v>2.4452300019570761E-3</c:v>
                </c:pt>
                <c:pt idx="686">
                  <c:v>2.44425355820859E-3</c:v>
                </c:pt>
                <c:pt idx="687">
                  <c:v>2.4377716822611135E-3</c:v>
                </c:pt>
                <c:pt idx="688">
                  <c:v>2.4342155450991815E-3</c:v>
                </c:pt>
                <c:pt idx="689">
                  <c:v>2.4152212472699822E-3</c:v>
                </c:pt>
                <c:pt idx="690">
                  <c:v>2.414353536788046E-3</c:v>
                </c:pt>
                <c:pt idx="691">
                  <c:v>2.4134854544945461E-3</c:v>
                </c:pt>
                <c:pt idx="692">
                  <c:v>2.4072741092303171E-3</c:v>
                </c:pt>
                <c:pt idx="693">
                  <c:v>2.4010440539271221E-3</c:v>
                </c:pt>
                <c:pt idx="694">
                  <c:v>2.3995460819541399E-3</c:v>
                </c:pt>
                <c:pt idx="695">
                  <c:v>2.3961717690973092E-3</c:v>
                </c:pt>
                <c:pt idx="696">
                  <c:v>2.3960466918248528E-3</c:v>
                </c:pt>
                <c:pt idx="697">
                  <c:v>2.3897835337495202E-3</c:v>
                </c:pt>
                <c:pt idx="698">
                  <c:v>2.3897835337495202E-3</c:v>
                </c:pt>
                <c:pt idx="699">
                  <c:v>2.386268257397539E-3</c:v>
                </c:pt>
                <c:pt idx="700">
                  <c:v>2.3785905496120563E-3</c:v>
                </c:pt>
                <c:pt idx="701">
                  <c:v>2.3686082787367849E-3</c:v>
                </c:pt>
                <c:pt idx="702">
                  <c:v>2.3668347376394035E-3</c:v>
                </c:pt>
                <c:pt idx="703">
                  <c:v>2.3631566807692851E-3</c:v>
                </c:pt>
                <c:pt idx="704">
                  <c:v>2.3579468622185701E-3</c:v>
                </c:pt>
                <c:pt idx="705">
                  <c:v>2.3514504967810882E-3</c:v>
                </c:pt>
                <c:pt idx="706">
                  <c:v>2.3409690775449544E-3</c:v>
                </c:pt>
                <c:pt idx="707">
                  <c:v>2.3368668155281116E-3</c:v>
                </c:pt>
                <c:pt idx="708">
                  <c:v>2.3353267577419612E-3</c:v>
                </c:pt>
                <c:pt idx="709">
                  <c:v>2.3326294266573094E-3</c:v>
                </c:pt>
                <c:pt idx="710">
                  <c:v>2.3305724211891213E-3</c:v>
                </c:pt>
                <c:pt idx="711">
                  <c:v>2.3281276087297287E-3</c:v>
                </c:pt>
                <c:pt idx="712">
                  <c:v>2.3231021547950779E-3</c:v>
                </c:pt>
                <c:pt idx="713">
                  <c:v>2.3221991381752803E-3</c:v>
                </c:pt>
                <c:pt idx="714">
                  <c:v>2.3205212948141578E-3</c:v>
                </c:pt>
                <c:pt idx="715">
                  <c:v>2.3171624536551796E-3</c:v>
                </c:pt>
                <c:pt idx="716">
                  <c:v>2.3137994335180115E-3</c:v>
                </c:pt>
                <c:pt idx="717">
                  <c:v>2.3083581170411107E-3</c:v>
                </c:pt>
                <c:pt idx="718">
                  <c:v>2.3053738122935075E-3</c:v>
                </c:pt>
                <c:pt idx="719">
                  <c:v>2.3039454100150622E-3</c:v>
                </c:pt>
                <c:pt idx="720">
                  <c:v>2.2986149948376472E-3</c:v>
                </c:pt>
                <c:pt idx="721">
                  <c:v>2.2980944195907845E-3</c:v>
                </c:pt>
                <c:pt idx="722">
                  <c:v>2.2923618751972703E-3</c:v>
                </c:pt>
                <c:pt idx="723">
                  <c:v>2.2897524321994719E-3</c:v>
                </c:pt>
                <c:pt idx="724">
                  <c:v>2.2809939960626749E-3</c:v>
                </c:pt>
                <c:pt idx="725">
                  <c:v>2.2666910514782096E-3</c:v>
                </c:pt>
                <c:pt idx="726">
                  <c:v>2.2634013107805393E-3</c:v>
                </c:pt>
                <c:pt idx="727">
                  <c:v>2.2373618442191323E-3</c:v>
                </c:pt>
                <c:pt idx="728">
                  <c:v>2.2360346857113484E-3</c:v>
                </c:pt>
                <c:pt idx="729">
                  <c:v>2.2311198276060624E-3</c:v>
                </c:pt>
                <c:pt idx="730">
                  <c:v>2.2267305549328116E-3</c:v>
                </c:pt>
                <c:pt idx="731">
                  <c:v>2.2251331250143181E-3</c:v>
                </c:pt>
                <c:pt idx="732">
                  <c:v>2.2235349903679601E-3</c:v>
                </c:pt>
                <c:pt idx="733">
                  <c:v>2.2214030534006791E-3</c:v>
                </c:pt>
                <c:pt idx="734">
                  <c:v>2.2214030534006791E-3</c:v>
                </c:pt>
                <c:pt idx="735">
                  <c:v>2.2170020265074946E-3</c:v>
                </c:pt>
                <c:pt idx="736">
                  <c:v>2.2168685804262161E-3</c:v>
                </c:pt>
                <c:pt idx="737">
                  <c:v>2.1930407406053833E-3</c:v>
                </c:pt>
                <c:pt idx="738">
                  <c:v>2.1888762261936868E-3</c:v>
                </c:pt>
                <c:pt idx="739">
                  <c:v>2.1762227274851418E-3</c:v>
                </c:pt>
                <c:pt idx="740">
                  <c:v>2.1728510849703853E-3</c:v>
                </c:pt>
                <c:pt idx="741">
                  <c:v>2.1667755613186835E-3</c:v>
                </c:pt>
                <c:pt idx="742">
                  <c:v>2.1642078379025972E-3</c:v>
                </c:pt>
                <c:pt idx="743">
                  <c:v>2.1615033858881738E-3</c:v>
                </c:pt>
                <c:pt idx="744">
                  <c:v>2.1489067453987249E-3</c:v>
                </c:pt>
                <c:pt idx="745">
                  <c:v>2.1377722840415668E-3</c:v>
                </c:pt>
                <c:pt idx="746">
                  <c:v>2.1345086511674743E-3</c:v>
                </c:pt>
                <c:pt idx="747">
                  <c:v>2.0977899925351002E-3</c:v>
                </c:pt>
                <c:pt idx="748">
                  <c:v>2.0943652373824513E-3</c:v>
                </c:pt>
                <c:pt idx="749">
                  <c:v>2.0866867063144483E-3</c:v>
                </c:pt>
                <c:pt idx="750">
                  <c:v>2.0777621923912153E-3</c:v>
                </c:pt>
                <c:pt idx="751">
                  <c:v>2.074601303215014E-3</c:v>
                </c:pt>
                <c:pt idx="752">
                  <c:v>2.0644212475106334E-3</c:v>
                </c:pt>
                <c:pt idx="753">
                  <c:v>2.0634574779993314E-3</c:v>
                </c:pt>
                <c:pt idx="754">
                  <c:v>2.0590499746205768E-3</c:v>
                </c:pt>
                <c:pt idx="755">
                  <c:v>2.0514681934225608E-3</c:v>
                </c:pt>
                <c:pt idx="756">
                  <c:v>2.0447069203235065E-3</c:v>
                </c:pt>
                <c:pt idx="757">
                  <c:v>2.0418073834745946E-3</c:v>
                </c:pt>
                <c:pt idx="758">
                  <c:v>2.039183057257565E-3</c:v>
                </c:pt>
                <c:pt idx="759">
                  <c:v>2.0286771087375316E-3</c:v>
                </c:pt>
                <c:pt idx="760">
                  <c:v>2.0278471173015402E-3</c:v>
                </c:pt>
                <c:pt idx="761">
                  <c:v>2.0242495426232897E-3</c:v>
                </c:pt>
                <c:pt idx="762">
                  <c:v>2.0228654555273355E-3</c:v>
                </c:pt>
                <c:pt idx="763">
                  <c:v>2.0224501860191227E-3</c:v>
                </c:pt>
                <c:pt idx="764">
                  <c:v>2.0182964021942329E-3</c:v>
                </c:pt>
                <c:pt idx="765">
                  <c:v>2.0012460478495476E-3</c:v>
                </c:pt>
                <c:pt idx="766">
                  <c:v>1.9988871032396729E-3</c:v>
                </c:pt>
                <c:pt idx="767">
                  <c:v>1.9879178094349436E-3</c:v>
                </c:pt>
                <c:pt idx="768">
                  <c:v>1.9769373960729546E-3</c:v>
                </c:pt>
                <c:pt idx="769">
                  <c:v>1.9761030103914753E-3</c:v>
                </c:pt>
                <c:pt idx="770">
                  <c:v>1.9701215463587395E-3</c:v>
                </c:pt>
                <c:pt idx="771">
                  <c:v>1.9627450877867133E-3</c:v>
                </c:pt>
                <c:pt idx="772">
                  <c:v>1.9461681922018153E-3</c:v>
                </c:pt>
                <c:pt idx="773">
                  <c:v>1.9424044480842886E-3</c:v>
                </c:pt>
                <c:pt idx="774">
                  <c:v>1.9379425645571378E-3</c:v>
                </c:pt>
                <c:pt idx="775">
                  <c:v>1.9376636565999839E-3</c:v>
                </c:pt>
                <c:pt idx="776">
                  <c:v>1.9325030345025086E-3</c:v>
                </c:pt>
                <c:pt idx="777">
                  <c:v>1.9198044620184751E-3</c:v>
                </c:pt>
                <c:pt idx="778">
                  <c:v>1.9118463366285111E-3</c:v>
                </c:pt>
                <c:pt idx="779">
                  <c:v>1.9073773851877498E-3</c:v>
                </c:pt>
                <c:pt idx="780">
                  <c:v>1.8924287083722231E-3</c:v>
                </c:pt>
                <c:pt idx="781">
                  <c:v>1.8918697291963188E-3</c:v>
                </c:pt>
                <c:pt idx="782">
                  <c:v>1.8894939596500189E-3</c:v>
                </c:pt>
                <c:pt idx="783">
                  <c:v>1.881946316649829E-3</c:v>
                </c:pt>
                <c:pt idx="784">
                  <c:v>1.8742574206397056E-3</c:v>
                </c:pt>
                <c:pt idx="785">
                  <c:v>1.8679655839630891E-3</c:v>
                </c:pt>
                <c:pt idx="786">
                  <c:v>1.852722879169253E-3</c:v>
                </c:pt>
                <c:pt idx="787">
                  <c:v>1.85216346659688E-3</c:v>
                </c:pt>
                <c:pt idx="788">
                  <c:v>1.8299260179697209E-3</c:v>
                </c:pt>
                <c:pt idx="789">
                  <c:v>1.8216747588262036E-3</c:v>
                </c:pt>
                <c:pt idx="790">
                  <c:v>1.8212552196925308E-3</c:v>
                </c:pt>
                <c:pt idx="791">
                  <c:v>1.812864893653874E-3</c:v>
                </c:pt>
                <c:pt idx="792">
                  <c:v>1.808670123583867E-3</c:v>
                </c:pt>
                <c:pt idx="793">
                  <c:v>1.7923139662516774E-3</c:v>
                </c:pt>
                <c:pt idx="794">
                  <c:v>1.7879814180059431E-3</c:v>
                </c:pt>
                <c:pt idx="795">
                  <c:v>1.7724730669521173E-3</c:v>
                </c:pt>
                <c:pt idx="796">
                  <c:v>1.7694003867027633E-3</c:v>
                </c:pt>
                <c:pt idx="797">
                  <c:v>1.7667470177606804E-3</c:v>
                </c:pt>
                <c:pt idx="798">
                  <c:v>1.7664677329179898E-3</c:v>
                </c:pt>
                <c:pt idx="799">
                  <c:v>1.7647920938981025E-3</c:v>
                </c:pt>
                <c:pt idx="800">
                  <c:v>1.7403709235362243E-3</c:v>
                </c:pt>
                <c:pt idx="801">
                  <c:v>1.7353511086380781E-3</c:v>
                </c:pt>
                <c:pt idx="802">
                  <c:v>1.7250374423400184E-3</c:v>
                </c:pt>
                <c:pt idx="803">
                  <c:v>1.724619464729062E-3</c:v>
                </c:pt>
                <c:pt idx="804">
                  <c:v>1.7180726869449195E-3</c:v>
                </c:pt>
                <c:pt idx="805">
                  <c:v>1.6949750733895109E-3</c:v>
                </c:pt>
                <c:pt idx="806">
                  <c:v>1.6734477998268079E-3</c:v>
                </c:pt>
                <c:pt idx="807">
                  <c:v>1.6719216660638166E-3</c:v>
                </c:pt>
                <c:pt idx="808">
                  <c:v>1.6690087603299815E-3</c:v>
                </c:pt>
                <c:pt idx="809">
                  <c:v>1.6648489062974E-3</c:v>
                </c:pt>
                <c:pt idx="810">
                  <c:v>1.6593051306457954E-3</c:v>
                </c:pt>
                <c:pt idx="811">
                  <c:v>1.6530721719965208E-3</c:v>
                </c:pt>
                <c:pt idx="812">
                  <c:v>1.6320499744153305E-3</c:v>
                </c:pt>
                <c:pt idx="813">
                  <c:v>1.6258360861190707E-3</c:v>
                </c:pt>
                <c:pt idx="814">
                  <c:v>1.6239038293724918E-3</c:v>
                </c:pt>
                <c:pt idx="815">
                  <c:v>1.6208683545851127E-3</c:v>
                </c:pt>
                <c:pt idx="816">
                  <c:v>1.6124578615488851E-3</c:v>
                </c:pt>
                <c:pt idx="817">
                  <c:v>1.6081871601231954E-3</c:v>
                </c:pt>
                <c:pt idx="818">
                  <c:v>1.5986900888542261E-3</c:v>
                </c:pt>
                <c:pt idx="819">
                  <c:v>1.5951146619374963E-3</c:v>
                </c:pt>
                <c:pt idx="820">
                  <c:v>1.5938774271252885E-3</c:v>
                </c:pt>
                <c:pt idx="821">
                  <c:v>1.5922281137718873E-3</c:v>
                </c:pt>
                <c:pt idx="822">
                  <c:v>1.5813797983708921E-3</c:v>
                </c:pt>
                <c:pt idx="823">
                  <c:v>1.5809681729393734E-3</c:v>
                </c:pt>
                <c:pt idx="824">
                  <c:v>1.5743855802372898E-3</c:v>
                </c:pt>
                <c:pt idx="825">
                  <c:v>1.5726039120497089E-3</c:v>
                </c:pt>
                <c:pt idx="826">
                  <c:v>1.5672618101310958E-3</c:v>
                </c:pt>
                <c:pt idx="827">
                  <c:v>1.567124890881159E-3</c:v>
                </c:pt>
                <c:pt idx="828">
                  <c:v>1.5582314300579142E-3</c:v>
                </c:pt>
                <c:pt idx="829">
                  <c:v>1.5579579836036337E-3</c:v>
                </c:pt>
                <c:pt idx="830">
                  <c:v>1.5550875206511543E-3</c:v>
                </c:pt>
                <c:pt idx="831">
                  <c:v>1.5498967440318585E-3</c:v>
                </c:pt>
                <c:pt idx="832">
                  <c:v>1.5452561210062565E-3</c:v>
                </c:pt>
                <c:pt idx="833">
                  <c:v>1.5447104010907192E-3</c:v>
                </c:pt>
                <c:pt idx="834">
                  <c:v>1.5436191111035885E-3</c:v>
                </c:pt>
                <c:pt idx="835">
                  <c:v>1.5259142009443453E-3</c:v>
                </c:pt>
                <c:pt idx="836">
                  <c:v>1.5259142009443453E-3</c:v>
                </c:pt>
                <c:pt idx="837">
                  <c:v>1.5054194194416462E-3</c:v>
                </c:pt>
                <c:pt idx="838">
                  <c:v>1.5054194194416462E-3</c:v>
                </c:pt>
                <c:pt idx="839">
                  <c:v>1.5033877868040634E-3</c:v>
                </c:pt>
                <c:pt idx="840">
                  <c:v>1.491484910013311E-3</c:v>
                </c:pt>
                <c:pt idx="841">
                  <c:v>1.4828458173392165E-3</c:v>
                </c:pt>
                <c:pt idx="842">
                  <c:v>1.4771846193398531E-3</c:v>
                </c:pt>
                <c:pt idx="843">
                  <c:v>1.473144947874857E-3</c:v>
                </c:pt>
                <c:pt idx="844">
                  <c:v>1.4640010160887169E-3</c:v>
                </c:pt>
                <c:pt idx="845">
                  <c:v>1.4617178109861005E-3</c:v>
                </c:pt>
                <c:pt idx="846">
                  <c:v>1.4500508770313504E-3</c:v>
                </c:pt>
                <c:pt idx="847">
                  <c:v>1.4450981826664236E-3</c:v>
                </c:pt>
                <c:pt idx="848">
                  <c:v>1.4432256265497977E-3</c:v>
                </c:pt>
                <c:pt idx="849">
                  <c:v>1.4412201971220661E-3</c:v>
                </c:pt>
                <c:pt idx="850">
                  <c:v>1.4276077421545529E-3</c:v>
                </c:pt>
                <c:pt idx="851">
                  <c:v>1.4272080288981355E-3</c:v>
                </c:pt>
                <c:pt idx="852">
                  <c:v>1.4206847369530576E-3</c:v>
                </c:pt>
                <c:pt idx="853">
                  <c:v>1.4174933646571002E-3</c:v>
                </c:pt>
                <c:pt idx="854">
                  <c:v>1.4161643514370573E-3</c:v>
                </c:pt>
                <c:pt idx="855">
                  <c:v>1.4136404071549479E-3</c:v>
                </c:pt>
                <c:pt idx="856">
                  <c:v>1.4085971878595273E-3</c:v>
                </c:pt>
                <c:pt idx="857">
                  <c:v>1.404752635169064E-3</c:v>
                </c:pt>
                <c:pt idx="858">
                  <c:v>1.4026330775696279E-3</c:v>
                </c:pt>
                <c:pt idx="859">
                  <c:v>1.3917881123479969E-3</c:v>
                </c:pt>
                <c:pt idx="860">
                  <c:v>1.3908637121654716E-3</c:v>
                </c:pt>
                <c:pt idx="861">
                  <c:v>1.3829493581218823E-3</c:v>
                </c:pt>
                <c:pt idx="862">
                  <c:v>1.3736052717852538E-3</c:v>
                </c:pt>
                <c:pt idx="863">
                  <c:v>1.3666453296694561E-3</c:v>
                </c:pt>
                <c:pt idx="864">
                  <c:v>1.3590439090370521E-3</c:v>
                </c:pt>
                <c:pt idx="865">
                  <c:v>1.3572114729884831E-3</c:v>
                </c:pt>
                <c:pt idx="866">
                  <c:v>1.3535494094670001E-3</c:v>
                </c:pt>
                <c:pt idx="867">
                  <c:v>1.3531572683577896E-3</c:v>
                </c:pt>
                <c:pt idx="868">
                  <c:v>1.3517197877568252E-3</c:v>
                </c:pt>
                <c:pt idx="869">
                  <c:v>1.3410224792346234E-3</c:v>
                </c:pt>
                <c:pt idx="870">
                  <c:v>1.3356861463947049E-3</c:v>
                </c:pt>
                <c:pt idx="871">
                  <c:v>1.3288002825497436E-3</c:v>
                </c:pt>
                <c:pt idx="872">
                  <c:v>1.318174392192311E-3</c:v>
                </c:pt>
                <c:pt idx="873">
                  <c:v>1.3120993045097947E-3</c:v>
                </c:pt>
                <c:pt idx="874">
                  <c:v>1.304489170954848E-3</c:v>
                </c:pt>
                <c:pt idx="875">
                  <c:v>1.3032011006657478E-3</c:v>
                </c:pt>
                <c:pt idx="876">
                  <c:v>1.302171018317569E-3</c:v>
                </c:pt>
                <c:pt idx="877">
                  <c:v>1.2947129075079724E-3</c:v>
                </c:pt>
                <c:pt idx="878">
                  <c:v>1.2925302527178821E-3</c:v>
                </c:pt>
                <c:pt idx="879">
                  <c:v>1.2917602676172917E-3</c:v>
                </c:pt>
                <c:pt idx="880">
                  <c:v>1.2839429103451475E-3</c:v>
                </c:pt>
                <c:pt idx="881">
                  <c:v>1.2692594581225922E-3</c:v>
                </c:pt>
                <c:pt idx="882">
                  <c:v>1.2635332846013866E-3</c:v>
                </c:pt>
                <c:pt idx="883">
                  <c:v>1.2628977274289374E-3</c:v>
                </c:pt>
                <c:pt idx="884">
                  <c:v>1.2560424816875488E-3</c:v>
                </c:pt>
                <c:pt idx="885">
                  <c:v>1.2465481405857369E-3</c:v>
                </c:pt>
                <c:pt idx="886">
                  <c:v>1.2459163019647227E-3</c:v>
                </c:pt>
                <c:pt idx="887">
                  <c:v>1.2441479006606354E-3</c:v>
                </c:pt>
                <c:pt idx="888">
                  <c:v>1.2101368290981641E-3</c:v>
                </c:pt>
                <c:pt idx="889">
                  <c:v>1.200426666146906E-3</c:v>
                </c:pt>
                <c:pt idx="890">
                  <c:v>1.1978185330079427E-3</c:v>
                </c:pt>
                <c:pt idx="891">
                  <c:v>1.1975702759013727E-3</c:v>
                </c:pt>
                <c:pt idx="892">
                  <c:v>1.1974461562617798E-3</c:v>
                </c:pt>
                <c:pt idx="893">
                  <c:v>1.1952130198891735E-3</c:v>
                </c:pt>
                <c:pt idx="894">
                  <c:v>1.190752543312824E-3</c:v>
                </c:pt>
                <c:pt idx="895">
                  <c:v>1.1844468269760131E-3</c:v>
                </c:pt>
                <c:pt idx="896">
                  <c:v>1.1830888225801825E-3</c:v>
                </c:pt>
                <c:pt idx="897">
                  <c:v>1.1798818998443898E-3</c:v>
                </c:pt>
                <c:pt idx="898">
                  <c:v>1.1673405714938327E-3</c:v>
                </c:pt>
                <c:pt idx="899">
                  <c:v>1.1630518480401199E-3</c:v>
                </c:pt>
                <c:pt idx="900">
                  <c:v>1.1604822366829853E-3</c:v>
                </c:pt>
                <c:pt idx="901">
                  <c:v>1.1372370087830246E-3</c:v>
                </c:pt>
                <c:pt idx="902">
                  <c:v>1.1361473343780026E-3</c:v>
                </c:pt>
                <c:pt idx="903">
                  <c:v>1.1346952327741635E-3</c:v>
                </c:pt>
                <c:pt idx="904">
                  <c:v>1.1243152882490575E-3</c:v>
                </c:pt>
                <c:pt idx="905">
                  <c:v>1.1181820676715261E-3</c:v>
                </c:pt>
                <c:pt idx="906">
                  <c:v>1.1167413860915475E-3</c:v>
                </c:pt>
                <c:pt idx="907">
                  <c:v>1.1156614837756042E-3</c:v>
                </c:pt>
                <c:pt idx="908">
                  <c:v>1.1148219209262582E-3</c:v>
                </c:pt>
                <c:pt idx="909">
                  <c:v>1.1126644979391224E-3</c:v>
                </c:pt>
                <c:pt idx="910">
                  <c:v>1.1082363800046266E-3</c:v>
                </c:pt>
                <c:pt idx="911">
                  <c:v>1.1070411156944395E-3</c:v>
                </c:pt>
                <c:pt idx="912">
                  <c:v>1.101908893756294E-3</c:v>
                </c:pt>
                <c:pt idx="913">
                  <c:v>1.1011937282313538E-3</c:v>
                </c:pt>
                <c:pt idx="914">
                  <c:v>1.0990496432591093E-3</c:v>
                </c:pt>
                <c:pt idx="915">
                  <c:v>1.0933424604448775E-3</c:v>
                </c:pt>
                <c:pt idx="916">
                  <c:v>1.0920366957737869E-3</c:v>
                </c:pt>
                <c:pt idx="917">
                  <c:v>1.0910875490447284E-3</c:v>
                </c:pt>
                <c:pt idx="918">
                  <c:v>1.0849283888499871E-3</c:v>
                </c:pt>
                <c:pt idx="919">
                  <c:v>1.0720760584352351E-3</c:v>
                </c:pt>
                <c:pt idx="920">
                  <c:v>1.0684352943344192E-3</c:v>
                </c:pt>
                <c:pt idx="921">
                  <c:v>1.0636299989319458E-3</c:v>
                </c:pt>
                <c:pt idx="922">
                  <c:v>1.059303232293645E-3</c:v>
                </c:pt>
                <c:pt idx="923">
                  <c:v>1.0489335601101117E-3</c:v>
                </c:pt>
                <c:pt idx="924">
                  <c:v>1.0422048097093557E-3</c:v>
                </c:pt>
                <c:pt idx="925">
                  <c:v>1.0401212541221608E-3</c:v>
                </c:pt>
                <c:pt idx="926">
                  <c:v>1.0391959422697526E-3</c:v>
                </c:pt>
                <c:pt idx="927">
                  <c:v>1.0325005812437929E-3</c:v>
                </c:pt>
                <c:pt idx="928">
                  <c:v>1.0274368055757895E-3</c:v>
                </c:pt>
                <c:pt idx="929">
                  <c:v>1.0203242299554E-3</c:v>
                </c:pt>
                <c:pt idx="930">
                  <c:v>1.0125540748725005E-3</c:v>
                </c:pt>
                <c:pt idx="931">
                  <c:v>1.0070887068169253E-3</c:v>
                </c:pt>
                <c:pt idx="932">
                  <c:v>9.9654559595447256E-4</c:v>
                </c:pt>
                <c:pt idx="933">
                  <c:v>9.8291970652920261E-4</c:v>
                </c:pt>
                <c:pt idx="934">
                  <c:v>9.8280752911714423E-4</c:v>
                </c:pt>
                <c:pt idx="935">
                  <c:v>9.8191036626863685E-4</c:v>
                </c:pt>
                <c:pt idx="936">
                  <c:v>9.744145559046159E-4</c:v>
                </c:pt>
                <c:pt idx="937">
                  <c:v>9.7196024596753357E-4</c:v>
                </c:pt>
                <c:pt idx="938">
                  <c:v>9.6895288079959562E-4</c:v>
                </c:pt>
                <c:pt idx="939">
                  <c:v>9.6683972436871989E-4</c:v>
                </c:pt>
                <c:pt idx="940">
                  <c:v>9.6606184715564039E-4</c:v>
                </c:pt>
                <c:pt idx="941">
                  <c:v>9.6173441629661155E-4</c:v>
                </c:pt>
                <c:pt idx="942">
                  <c:v>9.6018365334395791E-4</c:v>
                </c:pt>
                <c:pt idx="943">
                  <c:v>9.5542944537934499E-4</c:v>
                </c:pt>
                <c:pt idx="944">
                  <c:v>9.4826826167419527E-4</c:v>
                </c:pt>
                <c:pt idx="945">
                  <c:v>9.481583290351631E-4</c:v>
                </c:pt>
                <c:pt idx="946">
                  <c:v>9.4310928772314536E-4</c:v>
                </c:pt>
                <c:pt idx="947">
                  <c:v>9.3971536414196217E-4</c:v>
                </c:pt>
                <c:pt idx="948">
                  <c:v>9.3905928531100291E-4</c:v>
                </c:pt>
                <c:pt idx="949">
                  <c:v>9.3742023812968633E-4</c:v>
                </c:pt>
                <c:pt idx="950">
                  <c:v>9.2957571795124108E-4</c:v>
                </c:pt>
                <c:pt idx="951">
                  <c:v>9.1335526463792347E-4</c:v>
                </c:pt>
                <c:pt idx="952">
                  <c:v>9.05093294249537E-4</c:v>
                </c:pt>
                <c:pt idx="953">
                  <c:v>8.9549222639403558E-4</c:v>
                </c:pt>
                <c:pt idx="954">
                  <c:v>8.8817227626896182E-4</c:v>
                </c:pt>
                <c:pt idx="955">
                  <c:v>8.8215220280350108E-4</c:v>
                </c:pt>
                <c:pt idx="956">
                  <c:v>8.8151992633681226E-4</c:v>
                </c:pt>
                <c:pt idx="957">
                  <c:v>8.745827126769815E-4</c:v>
                </c:pt>
                <c:pt idx="958">
                  <c:v>8.6694787803642424E-4</c:v>
                </c:pt>
                <c:pt idx="959">
                  <c:v>8.6538404887414797E-4</c:v>
                </c:pt>
                <c:pt idx="960">
                  <c:v>8.624694435718903E-4</c:v>
                </c:pt>
                <c:pt idx="961">
                  <c:v>8.6132603973231438E-4</c:v>
                </c:pt>
                <c:pt idx="962">
                  <c:v>8.4428490278291282E-4</c:v>
                </c:pt>
                <c:pt idx="963">
                  <c:v>8.4079907121667084E-4</c:v>
                </c:pt>
                <c:pt idx="964">
                  <c:v>8.4069667988674352E-4</c:v>
                </c:pt>
                <c:pt idx="965">
                  <c:v>8.376284799766578E-4</c:v>
                </c:pt>
                <c:pt idx="966">
                  <c:v>8.3426137927146437E-4</c:v>
                </c:pt>
                <c:pt idx="967">
                  <c:v>8.2562681086056997E-4</c:v>
                </c:pt>
                <c:pt idx="968">
                  <c:v>8.1855746599286813E-4</c:v>
                </c:pt>
                <c:pt idx="969">
                  <c:v>8.1845674718831259E-4</c:v>
                </c:pt>
                <c:pt idx="970">
                  <c:v>8.0752438247129194E-4</c:v>
                </c:pt>
                <c:pt idx="971">
                  <c:v>8.0702508628083616E-4</c:v>
                </c:pt>
                <c:pt idx="972">
                  <c:v>8.0532891684239466E-4</c:v>
                </c:pt>
                <c:pt idx="973">
                  <c:v>8.0144610407507618E-4</c:v>
                </c:pt>
                <c:pt idx="974">
                  <c:v>8.0134669868512135E-4</c:v>
                </c:pt>
                <c:pt idx="975">
                  <c:v>7.9995583163155158E-4</c:v>
                </c:pt>
                <c:pt idx="976">
                  <c:v>7.9698048553901012E-4</c:v>
                </c:pt>
                <c:pt idx="977">
                  <c:v>7.9470408380214049E-4</c:v>
                </c:pt>
                <c:pt idx="978">
                  <c:v>7.9401207542545578E-4</c:v>
                </c:pt>
                <c:pt idx="979">
                  <c:v>7.9401207542545578E-4</c:v>
                </c:pt>
                <c:pt idx="980">
                  <c:v>7.9065626842283944E-4</c:v>
                </c:pt>
                <c:pt idx="981">
                  <c:v>7.8642493809019198E-4</c:v>
                </c:pt>
                <c:pt idx="982">
                  <c:v>7.8338330481317407E-4</c:v>
                </c:pt>
                <c:pt idx="983">
                  <c:v>7.8318732547823461E-4</c:v>
                </c:pt>
                <c:pt idx="984">
                  <c:v>7.7917656616568738E-4</c:v>
                </c:pt>
                <c:pt idx="985">
                  <c:v>7.734278154827945E-4</c:v>
                </c:pt>
                <c:pt idx="986">
                  <c:v>7.7119408087809069E-4</c:v>
                </c:pt>
                <c:pt idx="987">
                  <c:v>7.7032112679145052E-4</c:v>
                </c:pt>
                <c:pt idx="988">
                  <c:v>7.5730222047587948E-4</c:v>
                </c:pt>
                <c:pt idx="989">
                  <c:v>7.5576861897860435E-4</c:v>
                </c:pt>
                <c:pt idx="990">
                  <c:v>7.5127517289545807E-4</c:v>
                </c:pt>
                <c:pt idx="991">
                  <c:v>7.4974940842275674E-4</c:v>
                </c:pt>
                <c:pt idx="992">
                  <c:v>7.4186647704907677E-4</c:v>
                </c:pt>
                <c:pt idx="993">
                  <c:v>7.4044757355452829E-4</c:v>
                </c:pt>
                <c:pt idx="994">
                  <c:v>7.3893600836399931E-4</c:v>
                </c:pt>
                <c:pt idx="995">
                  <c:v>7.2355753052138095E-4</c:v>
                </c:pt>
                <c:pt idx="996">
                  <c:v>7.234644028853175E-4</c:v>
                </c:pt>
                <c:pt idx="997">
                  <c:v>7.2309197039336606E-4</c:v>
                </c:pt>
                <c:pt idx="998">
                  <c:v>7.1909620942257749E-4</c:v>
                </c:pt>
                <c:pt idx="999">
                  <c:v>7.1816903171031325E-4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35-4B81-9496-A2A8BC51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447551"/>
        <c:axId val="677434111"/>
      </c:lineChart>
      <c:dateAx>
        <c:axId val="677447551"/>
        <c:scaling>
          <c:orientation val="minMax"/>
        </c:scaling>
        <c:delete val="0"/>
        <c:axPos val="b"/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34111"/>
        <c:crosses val="autoZero"/>
        <c:auto val="0"/>
        <c:lblOffset val="100"/>
        <c:baseTimeUnit val="days"/>
      </c:dateAx>
      <c:valAx>
        <c:axId val="677434111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67744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sx="99000" sy="99000" algn="tl" rotWithShape="0">
        <a:prstClr val="black">
          <a:alpha val="65000"/>
        </a:prstClr>
      </a:outerShdw>
      <a:softEdge rad="127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[Project.xlsx]Customers!pvt_Top 5 Purchse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Top 5</a:t>
            </a:r>
            <a:r>
              <a:rPr lang="en-US" sz="1400" b="1" baseline="0"/>
              <a:t> Customer By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96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96D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Customers!$E$4:$E$9</c:f>
              <c:strCache>
                <c:ptCount val="5"/>
                <c:pt idx="0">
                  <c:v>361</c:v>
                </c:pt>
                <c:pt idx="1">
                  <c:v>708</c:v>
                </c:pt>
                <c:pt idx="2">
                  <c:v>474</c:v>
                </c:pt>
                <c:pt idx="3">
                  <c:v>928</c:v>
                </c:pt>
                <c:pt idx="4">
                  <c:v>848</c:v>
                </c:pt>
              </c:strCache>
            </c:strRef>
          </c:cat>
          <c:val>
            <c:numRef>
              <c:f>Customers!$F$4:$F$9</c:f>
              <c:numCache>
                <c:formatCode>"$"#,##0.00_);[Red]\("$"#,##0.00\)</c:formatCode>
                <c:ptCount val="5"/>
                <c:pt idx="0">
                  <c:v>498.33</c:v>
                </c:pt>
                <c:pt idx="1">
                  <c:v>498.23</c:v>
                </c:pt>
                <c:pt idx="2">
                  <c:v>497.8</c:v>
                </c:pt>
                <c:pt idx="3">
                  <c:v>497.76</c:v>
                </c:pt>
                <c:pt idx="4">
                  <c:v>497.75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5-41C1-990A-F2F3EE6C6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99601679"/>
        <c:axId val="899597839"/>
      </c:barChart>
      <c:catAx>
        <c:axId val="89960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597839"/>
        <c:crosses val="autoZero"/>
        <c:auto val="1"/>
        <c:lblAlgn val="ctr"/>
        <c:lblOffset val="100"/>
        <c:noMultiLvlLbl val="0"/>
      </c:catAx>
      <c:valAx>
        <c:axId val="899597839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89960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[Project.xlsx]Customers!pvt_Bottom 5 Purchse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Bottom 5 Customer By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Customers!$E$12:$E$17</c:f>
              <c:strCache>
                <c:ptCount val="5"/>
                <c:pt idx="0">
                  <c:v>615</c:v>
                </c:pt>
                <c:pt idx="1">
                  <c:v>48</c:v>
                </c:pt>
                <c:pt idx="2">
                  <c:v>382</c:v>
                </c:pt>
                <c:pt idx="3">
                  <c:v>589</c:v>
                </c:pt>
                <c:pt idx="4">
                  <c:v>243</c:v>
                </c:pt>
              </c:strCache>
            </c:strRef>
          </c:cat>
          <c:val>
            <c:numRef>
              <c:f>Customers!$F$12:$F$17</c:f>
              <c:numCache>
                <c:formatCode>"$"#,##0.00_);[Red]\("$"#,##0.00\)</c:formatCode>
                <c:ptCount val="5"/>
                <c:pt idx="0">
                  <c:v>51.44</c:v>
                </c:pt>
                <c:pt idx="1">
                  <c:v>51.22</c:v>
                </c:pt>
                <c:pt idx="2">
                  <c:v>50.79</c:v>
                </c:pt>
                <c:pt idx="3">
                  <c:v>50.78</c:v>
                </c:pt>
                <c:pt idx="4">
                  <c:v>50.71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0-434F-A8CD-DFD37DC2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99585839"/>
        <c:axId val="899582479"/>
      </c:barChart>
      <c:catAx>
        <c:axId val="8995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582479"/>
        <c:crosses val="autoZero"/>
        <c:auto val="1"/>
        <c:lblAlgn val="ctr"/>
        <c:lblOffset val="100"/>
        <c:noMultiLvlLbl val="0"/>
      </c:catAx>
      <c:valAx>
        <c:axId val="899582479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899585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50800" dir="5400000" algn="ctr" rotWithShape="0">
        <a:schemeClr val="tx1">
          <a:alpha val="65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[Project.xlsx]Customers!pvt_Age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Customers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Customers!$H$4:$H$8</c:f>
              <c:strCache>
                <c:ptCount val="4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</c:strCache>
            </c:strRef>
          </c:cat>
          <c:val>
            <c:numRef>
              <c:f>Customers!$I$4:$I$8</c:f>
              <c:numCache>
                <c:formatCode>0.00%</c:formatCode>
                <c:ptCount val="4"/>
                <c:pt idx="0">
                  <c:v>0.29899999999999999</c:v>
                </c:pt>
                <c:pt idx="1">
                  <c:v>0.3</c:v>
                </c:pt>
                <c:pt idx="2">
                  <c:v>0.30499999999999999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7-49DC-A0F0-6E77159C2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99635279"/>
        <c:axId val="899633839"/>
      </c:barChart>
      <c:catAx>
        <c:axId val="89963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33839"/>
        <c:crosses val="autoZero"/>
        <c:auto val="1"/>
        <c:lblAlgn val="ctr"/>
        <c:lblOffset val="100"/>
        <c:noMultiLvlLbl val="0"/>
      </c:catAx>
      <c:valAx>
        <c:axId val="89963383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9963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[Project.xlsx]Customers!pvt_Gender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Customer_ID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513910761154856E-2"/>
              <c:y val="0.202225138524351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EEEE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465069991251095E-2"/>
              <c:y val="7.83668708078156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0C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628390201224846E-2"/>
              <c:y val="-1.8484616506270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Customers!$L$3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33A1E0"/>
            </a:solidFill>
          </c:spPr>
          <c:dPt>
            <c:idx val="0"/>
            <c:bubble3D val="0"/>
            <c:spPr>
              <a:solidFill>
                <a:srgbClr val="33A1E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45-4F7C-8E22-1F2464FF8943}"/>
              </c:ext>
            </c:extLst>
          </c:dPt>
          <c:dPt>
            <c:idx val="1"/>
            <c:bubble3D val="0"/>
            <c:spPr>
              <a:solidFill>
                <a:srgbClr val="EEEEE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45-4F7C-8E22-1F2464FF8943}"/>
              </c:ext>
            </c:extLst>
          </c:dPt>
          <c:dPt>
            <c:idx val="2"/>
            <c:bubble3D val="0"/>
            <c:spPr>
              <a:solidFill>
                <a:srgbClr val="FFF0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45-4F7C-8E22-1F2464FF8943}"/>
              </c:ext>
            </c:extLst>
          </c:dPt>
          <c:dLbls>
            <c:dLbl>
              <c:idx val="0"/>
              <c:layout>
                <c:manualLayout>
                  <c:x val="4.513910761154856E-2"/>
                  <c:y val="0.2022251385243511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45-4F7C-8E22-1F2464FF8943}"/>
                </c:ext>
              </c:extLst>
            </c:dLbl>
            <c:dLbl>
              <c:idx val="1"/>
              <c:layout>
                <c:manualLayout>
                  <c:x val="-2.465069991251095E-2"/>
                  <c:y val="7.83668708078156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45-4F7C-8E22-1F2464FF8943}"/>
                </c:ext>
              </c:extLst>
            </c:dLbl>
            <c:dLbl>
              <c:idx val="2"/>
              <c:layout>
                <c:manualLayout>
                  <c:x val="-5.9628390201224846E-2"/>
                  <c:y val="-1.848461650627004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45-4F7C-8E22-1F2464FF8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Customers!$K$4:$K$7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Customers!$L$4:$L$7</c:f>
              <c:numCache>
                <c:formatCode>0.00%</c:formatCode>
                <c:ptCount val="3"/>
                <c:pt idx="0">
                  <c:v>0.45200000000000001</c:v>
                </c:pt>
                <c:pt idx="1">
                  <c:v>0.44900000000000001</c:v>
                </c:pt>
                <c:pt idx="2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45-4F7C-8E22-1F2464FF8943}"/>
            </c:ext>
          </c:extLst>
        </c:ser>
        <c:ser>
          <c:idx val="1"/>
          <c:order val="1"/>
          <c:tx>
            <c:strRef>
              <c:f>Customers!$M$3</c:f>
              <c:strCache>
                <c:ptCount val="1"/>
                <c:pt idx="0">
                  <c:v>Sum of Purchase_Amount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B45-4F7C-8E22-1F2464FF8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B45-4F7C-8E22-1F2464FF8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B45-4F7C-8E22-1F2464FF89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Customers!$K$4:$K$7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Customers!$M$4:$M$7</c:f>
              <c:numCache>
                <c:formatCode>"$"#,##0.00_);[Red]\("$"#,##0.00\)</c:formatCode>
                <c:ptCount val="3"/>
                <c:pt idx="0">
                  <c:v>127503.70999999995</c:v>
                </c:pt>
                <c:pt idx="1">
                  <c:v>120160.69000000003</c:v>
                </c:pt>
                <c:pt idx="2">
                  <c:v>27399.480000000003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45-4F7C-8E22-1F2464FF89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06496062992122"/>
          <c:y val="0.23950131233595801"/>
          <c:w val="0.11826837270341208"/>
          <c:h val="0.43808034412365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[Project.xlsx]Customers!pvt_Status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Purchase_Amout By Marital_Status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Customers!$I$12:$I$16</c:f>
              <c:strCache>
                <c:ptCount val="4"/>
                <c:pt idx="0">
                  <c:v>Married</c:v>
                </c:pt>
                <c:pt idx="1">
                  <c:v>Widowed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Customers!$J$12:$J$16</c:f>
              <c:numCache>
                <c:formatCode>"$"#,##0.00_);[Red]\("$"#,##0.00\)</c:formatCode>
                <c:ptCount val="4"/>
                <c:pt idx="0">
                  <c:v>70981.160000000018</c:v>
                </c:pt>
                <c:pt idx="1">
                  <c:v>69899.87999999999</c:v>
                </c:pt>
                <c:pt idx="2">
                  <c:v>67261.210000000006</c:v>
                </c:pt>
                <c:pt idx="3">
                  <c:v>66921.630000000048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7-4D7C-8605-F4B5EB98AF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899639599"/>
        <c:axId val="899637679"/>
      </c:barChart>
      <c:catAx>
        <c:axId val="89963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37679"/>
        <c:crosses val="autoZero"/>
        <c:auto val="1"/>
        <c:lblAlgn val="ctr"/>
        <c:lblOffset val="100"/>
        <c:noMultiLvlLbl val="0"/>
      </c:catAx>
      <c:valAx>
        <c:axId val="899637679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89963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[Project.xlsx]Customers!pvt_Income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Purchase_Amount  By Income_Level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Customers!$E$20:$E$22</c:f>
              <c:strCache>
                <c:ptCount val="2"/>
                <c:pt idx="0">
                  <c:v>High</c:v>
                </c:pt>
                <c:pt idx="1">
                  <c:v>Middle</c:v>
                </c:pt>
              </c:strCache>
            </c:strRef>
          </c:cat>
          <c:val>
            <c:numRef>
              <c:f>Customers!$F$20:$F$22</c:f>
              <c:numCache>
                <c:formatCode>"$"#,##0.00_);[Red]\("$"#,##0.00\)</c:formatCode>
                <c:ptCount val="2"/>
                <c:pt idx="0">
                  <c:v>141888.49</c:v>
                </c:pt>
                <c:pt idx="1">
                  <c:v>133175.38999999987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5-4C75-B0A2-4D55A8BF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-27"/>
        <c:axId val="899625199"/>
        <c:axId val="899625679"/>
      </c:barChart>
      <c:catAx>
        <c:axId val="89962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25679"/>
        <c:crosses val="autoZero"/>
        <c:auto val="1"/>
        <c:lblAlgn val="ctr"/>
        <c:lblOffset val="100"/>
        <c:noMultiLvlLbl val="0"/>
      </c:catAx>
      <c:valAx>
        <c:axId val="899625679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89962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[Project.xlsx]Customers!pvt_Occupation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Purchase_Amount</a:t>
            </a:r>
            <a:r>
              <a:rPr lang="en-US" b="1" baseline="0"/>
              <a:t>  By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Customers!$J$18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Customers!$I$19:$I$21</c:f>
              <c:strCache>
                <c:ptCount val="2"/>
                <c:pt idx="0">
                  <c:v>High</c:v>
                </c:pt>
                <c:pt idx="1">
                  <c:v>Middle</c:v>
                </c:pt>
              </c:strCache>
            </c:strRef>
          </c:cat>
          <c:val>
            <c:numRef>
              <c:f>Customers!$J$19:$J$21</c:f>
              <c:numCache>
                <c:formatCode>"$"#,##0.00_);[Red]\("$"#,##0.00\)</c:formatCode>
                <c:ptCount val="2"/>
                <c:pt idx="0">
                  <c:v>140776.66999999993</c:v>
                </c:pt>
                <c:pt idx="1">
                  <c:v>134287.20999999993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9-48CA-8331-A662F51E8D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-27"/>
        <c:axId val="951198863"/>
        <c:axId val="951210863"/>
      </c:barChart>
      <c:catAx>
        <c:axId val="95119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10863"/>
        <c:crosses val="autoZero"/>
        <c:auto val="1"/>
        <c:lblAlgn val="ctr"/>
        <c:lblOffset val="100"/>
        <c:noMultiLvlLbl val="0"/>
      </c:catAx>
      <c:valAx>
        <c:axId val="951210863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9511988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[Project.xlsx]Customers!pvt_Education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Purchase_Amount By Education_Level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Customers!$F$24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Customers!$E$25:$E$28</c:f>
              <c:strCache>
                <c:ptCount val="3"/>
                <c:pt idx="0">
                  <c:v>Bachelor's</c:v>
                </c:pt>
                <c:pt idx="1">
                  <c:v>High School</c:v>
                </c:pt>
                <c:pt idx="2">
                  <c:v>Master's</c:v>
                </c:pt>
              </c:strCache>
            </c:strRef>
          </c:cat>
          <c:val>
            <c:numRef>
              <c:f>Customers!$F$25:$F$28</c:f>
              <c:numCache>
                <c:formatCode>"$"#,##0.00_);[Red]\("$"#,##0.00\)</c:formatCode>
                <c:ptCount val="3"/>
                <c:pt idx="0">
                  <c:v>96786.120000000083</c:v>
                </c:pt>
                <c:pt idx="1">
                  <c:v>90763.60000000002</c:v>
                </c:pt>
                <c:pt idx="2">
                  <c:v>87514.160000000018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F-4E18-B88C-9EEA696B0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7"/>
        <c:axId val="951208463"/>
        <c:axId val="951211823"/>
      </c:barChart>
      <c:catAx>
        <c:axId val="95120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11823"/>
        <c:crosses val="autoZero"/>
        <c:auto val="1"/>
        <c:lblAlgn val="ctr"/>
        <c:lblOffset val="100"/>
        <c:noMultiLvlLbl val="0"/>
      </c:catAx>
      <c:valAx>
        <c:axId val="951211823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95120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[Project.xlsx]Customers!pvt_Location_Top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 5</a:t>
            </a:r>
            <a:r>
              <a:rPr lang="en-US" sz="1600" b="1" baseline="0"/>
              <a:t> Locations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Customers!$I$24:$I$29</c:f>
              <c:strCache>
                <c:ptCount val="5"/>
                <c:pt idx="0">
                  <c:v>Gteborg</c:v>
                </c:pt>
                <c:pt idx="1">
                  <c:v>Oslo</c:v>
                </c:pt>
                <c:pt idx="2">
                  <c:v>Punta Gorda</c:v>
                </c:pt>
                <c:pt idx="3">
                  <c:v>Magdalena</c:v>
                </c:pt>
                <c:pt idx="4">
                  <c:v>Hoolt</c:v>
                </c:pt>
              </c:strCache>
            </c:strRef>
          </c:cat>
          <c:val>
            <c:numRef>
              <c:f>Customers!$J$24:$J$29</c:f>
              <c:numCache>
                <c:formatCode>"$"#,##0.00_);[Red]\("$"#,##0.00\)</c:formatCode>
                <c:ptCount val="5"/>
                <c:pt idx="0">
                  <c:v>1161.29</c:v>
                </c:pt>
                <c:pt idx="1">
                  <c:v>1021.55</c:v>
                </c:pt>
                <c:pt idx="2">
                  <c:v>820.45</c:v>
                </c:pt>
                <c:pt idx="3">
                  <c:v>804.74</c:v>
                </c:pt>
                <c:pt idx="4">
                  <c:v>780.6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B-4B29-B29E-FDB4B53F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951210383"/>
        <c:axId val="951182543"/>
      </c:barChart>
      <c:catAx>
        <c:axId val="95121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82543"/>
        <c:crosses val="autoZero"/>
        <c:auto val="1"/>
        <c:lblAlgn val="ctr"/>
        <c:lblOffset val="100"/>
        <c:noMultiLvlLbl val="0"/>
      </c:catAx>
      <c:valAx>
        <c:axId val="951182543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95121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[Project.xlsx]Customers!pvt_Location_Bottom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Bottom 5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3A1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Customers!$M$23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Customers!$L$24:$L$29</c:f>
              <c:strCache>
                <c:ptCount val="5"/>
                <c:pt idx="0">
                  <c:v>Likhoy</c:v>
                </c:pt>
                <c:pt idx="1">
                  <c:v>Norrkoping</c:v>
                </c:pt>
                <c:pt idx="2">
                  <c:v>Xudat</c:v>
                </c:pt>
                <c:pt idx="3">
                  <c:v>Yishui</c:v>
                </c:pt>
                <c:pt idx="4">
                  <c:v>Alung</c:v>
                </c:pt>
              </c:strCache>
            </c:strRef>
          </c:cat>
          <c:val>
            <c:numRef>
              <c:f>Customers!$M$24:$M$29</c:f>
              <c:numCache>
                <c:formatCode>"$"#,##0.00_);[Red]\("$"#,##0.00\)</c:formatCode>
                <c:ptCount val="5"/>
                <c:pt idx="0">
                  <c:v>51.44</c:v>
                </c:pt>
                <c:pt idx="1">
                  <c:v>51.22</c:v>
                </c:pt>
                <c:pt idx="2">
                  <c:v>50.79</c:v>
                </c:pt>
                <c:pt idx="3">
                  <c:v>50.78</c:v>
                </c:pt>
                <c:pt idx="4">
                  <c:v>50.71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5-437C-B292-3BCCDA3CA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227183"/>
        <c:axId val="951217583"/>
      </c:barChart>
      <c:catAx>
        <c:axId val="951227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17583"/>
        <c:crosses val="autoZero"/>
        <c:auto val="1"/>
        <c:lblAlgn val="ctr"/>
        <c:lblOffset val="100"/>
        <c:noMultiLvlLbl val="0"/>
      </c:catAx>
      <c:valAx>
        <c:axId val="951217583"/>
        <c:scaling>
          <c:orientation val="minMax"/>
        </c:scaling>
        <c:delete val="1"/>
        <c:axPos val="l"/>
        <c:numFmt formatCode="&quot;$&quot;#,##0.00_);[Red]\(&quot;$&quot;#,##0.00\)" sourceLinked="1"/>
        <c:majorTickMark val="out"/>
        <c:minorTickMark val="none"/>
        <c:tickLblPos val="nextTo"/>
        <c:crossAx val="95122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[Project.xlsx]Customers!pvt_Loyalty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Loyalty_Proggramm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0C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EEEE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EEEEE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0CE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3A1E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723097112860894E-2"/>
              <c:y val="0.233005613881598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EEEE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317585301837017E-3"/>
              <c:y val="0.104277850685331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0C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81485126859142E-2"/>
              <c:y val="-2.47812773403324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Customers!$F$30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A1E0"/>
            </a:solidFill>
          </c:spPr>
          <c:dPt>
            <c:idx val="0"/>
            <c:bubble3D val="0"/>
            <c:spPr>
              <a:solidFill>
                <a:srgbClr val="33A1E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2D-4E05-9F45-9EC87F94302F}"/>
              </c:ext>
            </c:extLst>
          </c:dPt>
          <c:dPt>
            <c:idx val="1"/>
            <c:bubble3D val="0"/>
            <c:spPr>
              <a:solidFill>
                <a:srgbClr val="EEEEE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2D-4E05-9F45-9EC87F94302F}"/>
              </c:ext>
            </c:extLst>
          </c:dPt>
          <c:dPt>
            <c:idx val="2"/>
            <c:bubble3D val="0"/>
            <c:spPr>
              <a:solidFill>
                <a:srgbClr val="FFF0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2D-4E05-9F45-9EC87F94302F}"/>
              </c:ext>
            </c:extLst>
          </c:dPt>
          <c:dLbls>
            <c:dLbl>
              <c:idx val="0"/>
              <c:layout>
                <c:manualLayout>
                  <c:x val="3.2723097112860894E-2"/>
                  <c:y val="0.2330056138815981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2D-4E05-9F45-9EC87F94302F}"/>
                </c:ext>
              </c:extLst>
            </c:dLbl>
            <c:dLbl>
              <c:idx val="1"/>
              <c:layout>
                <c:manualLayout>
                  <c:x val="4.4317585301837017E-3"/>
                  <c:y val="0.1042778506853310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2D-4E05-9F45-9EC87F94302F}"/>
                </c:ext>
              </c:extLst>
            </c:dLbl>
            <c:dLbl>
              <c:idx val="2"/>
              <c:layout>
                <c:manualLayout>
                  <c:x val="-8.081485126859142E-2"/>
                  <c:y val="-2.478127734033245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2D-4E05-9F45-9EC87F9430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Customers!$E$31:$E$34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Customers!$F$31:$F$34</c:f>
              <c:numCache>
                <c:formatCode>0.00%</c:formatCode>
                <c:ptCount val="3"/>
                <c:pt idx="0">
                  <c:v>0.45200000000000001</c:v>
                </c:pt>
                <c:pt idx="1">
                  <c:v>0.44900000000000001</c:v>
                </c:pt>
                <c:pt idx="2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2D-4E05-9F45-9EC87F943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06496062992122"/>
          <c:y val="0.21172353455818022"/>
          <c:w val="0.11826837270341208"/>
          <c:h val="0.465858121901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EEE"/>
    </a:solidFill>
    <a:ln w="9525" cap="flat" cmpd="sng" algn="ctr">
      <a:noFill/>
      <a:round/>
    </a:ln>
    <a:effectLst>
      <a:outerShdw blurRad="101600" dist="38100" dir="2700000" algn="tl" rotWithShape="0">
        <a:prstClr val="black">
          <a:alpha val="6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5</xdr:row>
      <xdr:rowOff>164193</xdr:rowOff>
    </xdr:from>
    <xdr:to>
      <xdr:col>24</xdr:col>
      <xdr:colOff>408215</xdr:colOff>
      <xdr:row>20</xdr:row>
      <xdr:rowOff>145144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2C99FC7-28EB-0757-BE3A-F1D0C1666735}"/>
            </a:ext>
          </a:extLst>
        </xdr:cNvPr>
        <xdr:cNvGrpSpPr/>
      </xdr:nvGrpSpPr>
      <xdr:grpSpPr>
        <a:xfrm>
          <a:off x="68036" y="1116693"/>
          <a:ext cx="15111256" cy="2838451"/>
          <a:chOff x="368300" y="1892300"/>
          <a:chExt cx="15316200" cy="283845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721EF37-DC1C-46CF-87EB-819CCC6878F2}"/>
              </a:ext>
            </a:extLst>
          </xdr:cNvPr>
          <xdr:cNvGraphicFramePr>
            <a:graphicFrameLocks/>
          </xdr:cNvGraphicFramePr>
        </xdr:nvGraphicFramePr>
        <xdr:xfrm>
          <a:off x="368300" y="1892300"/>
          <a:ext cx="5156200" cy="28384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604833BB-D0DA-4C0A-80C4-4D97FA7FBA7D}"/>
              </a:ext>
            </a:extLst>
          </xdr:cNvPr>
          <xdr:cNvGraphicFramePr>
            <a:graphicFrameLocks/>
          </xdr:cNvGraphicFramePr>
        </xdr:nvGraphicFramePr>
        <xdr:xfrm>
          <a:off x="5727700" y="1892300"/>
          <a:ext cx="4876800" cy="2832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36175F2B-2921-4A3F-A6B2-D4E0ED27786C}"/>
              </a:ext>
            </a:extLst>
          </xdr:cNvPr>
          <xdr:cNvGraphicFramePr>
            <a:graphicFrameLocks/>
          </xdr:cNvGraphicFramePr>
        </xdr:nvGraphicFramePr>
        <xdr:xfrm>
          <a:off x="10807700" y="1892300"/>
          <a:ext cx="4876800" cy="28371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127452</xdr:colOff>
      <xdr:row>21</xdr:row>
      <xdr:rowOff>41728</xdr:rowOff>
    </xdr:from>
    <xdr:to>
      <xdr:col>24</xdr:col>
      <xdr:colOff>394607</xdr:colOff>
      <xdr:row>35</xdr:row>
      <xdr:rowOff>117928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D8312E26-84F6-76A5-CD9C-21BE402096E4}"/>
            </a:ext>
          </a:extLst>
        </xdr:cNvPr>
        <xdr:cNvGrpSpPr/>
      </xdr:nvGrpSpPr>
      <xdr:grpSpPr>
        <a:xfrm>
          <a:off x="127452" y="4042228"/>
          <a:ext cx="15038232" cy="2743200"/>
          <a:chOff x="384174" y="4870450"/>
          <a:chExt cx="15287626" cy="2743200"/>
        </a:xfrm>
        <a:solidFill>
          <a:srgbClr val="EEEEEE"/>
        </a:solidFill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436719AF-E155-475C-98A8-109A6FF96F7E}"/>
              </a:ext>
            </a:extLst>
          </xdr:cNvPr>
          <xdr:cNvGraphicFramePr>
            <a:graphicFrameLocks/>
          </xdr:cNvGraphicFramePr>
        </xdr:nvGraphicFramePr>
        <xdr:xfrm>
          <a:off x="384174" y="4870450"/>
          <a:ext cx="511492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316CB3B-5561-4C4A-87B3-9D3ED85C1C4D}"/>
              </a:ext>
            </a:extLst>
          </xdr:cNvPr>
          <xdr:cNvGraphicFramePr>
            <a:graphicFrameLocks/>
          </xdr:cNvGraphicFramePr>
        </xdr:nvGraphicFramePr>
        <xdr:xfrm>
          <a:off x="10833100" y="4870450"/>
          <a:ext cx="48387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FED684D-3A58-4876-8FD8-3D9187371ED5}"/>
              </a:ext>
            </a:extLst>
          </xdr:cNvPr>
          <xdr:cNvGraphicFramePr>
            <a:graphicFrameLocks/>
          </xdr:cNvGraphicFramePr>
        </xdr:nvGraphicFramePr>
        <xdr:xfrm>
          <a:off x="5721350" y="4870450"/>
          <a:ext cx="48895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0</xdr:col>
      <xdr:colOff>122464</xdr:colOff>
      <xdr:row>38</xdr:row>
      <xdr:rowOff>14514</xdr:rowOff>
    </xdr:from>
    <xdr:to>
      <xdr:col>25</xdr:col>
      <xdr:colOff>173264</xdr:colOff>
      <xdr:row>52</xdr:row>
      <xdr:rowOff>90714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5E6D8FB1-D384-F618-9A70-3BDE77CC7091}"/>
            </a:ext>
          </a:extLst>
        </xdr:cNvPr>
        <xdr:cNvGrpSpPr/>
      </xdr:nvGrpSpPr>
      <xdr:grpSpPr>
        <a:xfrm>
          <a:off x="122464" y="7253514"/>
          <a:ext cx="15437338" cy="2743200"/>
          <a:chOff x="381000" y="7797800"/>
          <a:chExt cx="15290800" cy="274320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F6605D92-646F-42A9-B66F-DC59DEC1AFA0}"/>
              </a:ext>
            </a:extLst>
          </xdr:cNvPr>
          <xdr:cNvGraphicFramePr>
            <a:graphicFrameLocks/>
          </xdr:cNvGraphicFramePr>
        </xdr:nvGraphicFramePr>
        <xdr:xfrm>
          <a:off x="381000" y="7797800"/>
          <a:ext cx="51054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6CFADE65-01E1-4ED8-9396-72B0BFB2219F}"/>
              </a:ext>
            </a:extLst>
          </xdr:cNvPr>
          <xdr:cNvGraphicFramePr>
            <a:graphicFrameLocks/>
          </xdr:cNvGraphicFramePr>
        </xdr:nvGraphicFramePr>
        <xdr:xfrm>
          <a:off x="10833100" y="7797800"/>
          <a:ext cx="48387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4821230A-58D9-4AFB-AB38-6E2BEDB75390}"/>
              </a:ext>
            </a:extLst>
          </xdr:cNvPr>
          <xdr:cNvGraphicFramePr>
            <a:graphicFrameLocks/>
          </xdr:cNvGraphicFramePr>
        </xdr:nvGraphicFramePr>
        <xdr:xfrm>
          <a:off x="5715000" y="7797800"/>
          <a:ext cx="48895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0</xdr:col>
      <xdr:colOff>149679</xdr:colOff>
      <xdr:row>53</xdr:row>
      <xdr:rowOff>117022</xdr:rowOff>
    </xdr:from>
    <xdr:to>
      <xdr:col>25</xdr:col>
      <xdr:colOff>200479</xdr:colOff>
      <xdr:row>68</xdr:row>
      <xdr:rowOff>2722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B19AB2D-E253-71F1-41D9-B1D685C04B68}"/>
            </a:ext>
          </a:extLst>
        </xdr:cNvPr>
        <xdr:cNvGrpSpPr/>
      </xdr:nvGrpSpPr>
      <xdr:grpSpPr>
        <a:xfrm>
          <a:off x="149679" y="10213522"/>
          <a:ext cx="15437338" cy="2743200"/>
          <a:chOff x="381000" y="10648950"/>
          <a:chExt cx="15290800" cy="2743200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6C3E0162-B595-41BA-A775-DC432103554E}"/>
              </a:ext>
            </a:extLst>
          </xdr:cNvPr>
          <xdr:cNvGraphicFramePr>
            <a:graphicFrameLocks/>
          </xdr:cNvGraphicFramePr>
        </xdr:nvGraphicFramePr>
        <xdr:xfrm>
          <a:off x="381000" y="10648950"/>
          <a:ext cx="51054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F6F2D570-5235-4D3C-9E34-D0A058DFA264}"/>
              </a:ext>
            </a:extLst>
          </xdr:cNvPr>
          <xdr:cNvGraphicFramePr>
            <a:graphicFrameLocks/>
          </xdr:cNvGraphicFramePr>
        </xdr:nvGraphicFramePr>
        <xdr:xfrm>
          <a:off x="5724525" y="10648950"/>
          <a:ext cx="48895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63081EEB-76BC-4BCC-BD2F-73775EDA8F7D}"/>
              </a:ext>
            </a:extLst>
          </xdr:cNvPr>
          <xdr:cNvGraphicFramePr>
            <a:graphicFrameLocks/>
          </xdr:cNvGraphicFramePr>
        </xdr:nvGraphicFramePr>
        <xdr:xfrm>
          <a:off x="10852150" y="10648950"/>
          <a:ext cx="48196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24</xdr:col>
      <xdr:colOff>312963</xdr:colOff>
      <xdr:row>6</xdr:row>
      <xdr:rowOff>18143</xdr:rowOff>
    </xdr:from>
    <xdr:to>
      <xdr:col>30</xdr:col>
      <xdr:colOff>586153</xdr:colOff>
      <xdr:row>35</xdr:row>
      <xdr:rowOff>122464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8BF6B8F3-AE1E-6810-1C3F-0DA711A3B6B4}"/>
            </a:ext>
          </a:extLst>
        </xdr:cNvPr>
        <xdr:cNvGrpSpPr/>
      </xdr:nvGrpSpPr>
      <xdr:grpSpPr>
        <a:xfrm>
          <a:off x="15084040" y="1161143"/>
          <a:ext cx="3965959" cy="5628821"/>
          <a:chOff x="14886214" y="1106715"/>
          <a:chExt cx="3156857" cy="4396467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F753E53B-0BC9-2950-8B0B-7AFD14A5B171}"/>
              </a:ext>
            </a:extLst>
          </xdr:cNvPr>
          <xdr:cNvGrpSpPr/>
        </xdr:nvGrpSpPr>
        <xdr:grpSpPr>
          <a:xfrm>
            <a:off x="14977278" y="1106715"/>
            <a:ext cx="2943330" cy="790575"/>
            <a:chOff x="0" y="152400"/>
            <a:chExt cx="2476500" cy="790575"/>
          </a:xfrm>
        </xdr:grpSpPr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EA63B6D5-CBD9-66FF-BB45-C93DBFD40A2F}"/>
                </a:ext>
              </a:extLst>
            </xdr:cNvPr>
            <xdr:cNvSpPr/>
          </xdr:nvSpPr>
          <xdr:spPr>
            <a:xfrm>
              <a:off x="129461" y="152400"/>
              <a:ext cx="2143125" cy="79057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37" name="Rectangle: Rounded Corners 36">
              <a:extLst>
                <a:ext uri="{FF2B5EF4-FFF2-40B4-BE49-F238E27FC236}">
                  <a16:creationId xmlns:a16="http://schemas.microsoft.com/office/drawing/2014/main" id="{A074ABD8-A7A9-DB8E-3F19-BA1046BC6AFA}"/>
                </a:ext>
              </a:extLst>
            </xdr:cNvPr>
            <xdr:cNvSpPr/>
          </xdr:nvSpPr>
          <xdr:spPr>
            <a:xfrm>
              <a:off x="38100" y="238126"/>
              <a:ext cx="2438400" cy="3238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/>
                <a:t>Total_</a:t>
              </a:r>
              <a:r>
                <a:rPr lang="en-US" sz="1800" b="1">
                  <a:solidFill>
                    <a:schemeClr val="bg1"/>
                  </a:solidFill>
                </a:rPr>
                <a:t>Amount</a:t>
              </a:r>
              <a:endParaRPr lang="en-US" sz="1600" b="1">
                <a:solidFill>
                  <a:schemeClr val="bg1"/>
                </a:solidFill>
              </a:endParaRPr>
            </a:p>
          </xdr:txBody>
        </xdr:sp>
        <xdr:sp macro="" textlink="Customers!H14">
          <xdr:nvSpPr>
            <xdr:cNvPr id="38" name="Rectangle: Rounded Corners 37">
              <a:extLst>
                <a:ext uri="{FF2B5EF4-FFF2-40B4-BE49-F238E27FC236}">
                  <a16:creationId xmlns:a16="http://schemas.microsoft.com/office/drawing/2014/main" id="{37C0EDE6-9CBC-81BE-C5E6-8DDDCE8E2E17}"/>
                </a:ext>
              </a:extLst>
            </xdr:cNvPr>
            <xdr:cNvSpPr/>
          </xdr:nvSpPr>
          <xdr:spPr>
            <a:xfrm>
              <a:off x="0" y="523876"/>
              <a:ext cx="2438400" cy="3048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09AA0DE-CDAA-4CB5-8121-6DCB01B22925}" type="TxLink">
                <a:rPr lang="en-US" sz="16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$275,063.88 </a:t>
              </a:fld>
              <a:endParaRPr lang="en-US" sz="16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440D1ABF-405F-934D-AC4D-C7A4A37D2969}"/>
              </a:ext>
            </a:extLst>
          </xdr:cNvPr>
          <xdr:cNvGrpSpPr/>
        </xdr:nvGrpSpPr>
        <xdr:grpSpPr>
          <a:xfrm>
            <a:off x="14937349" y="4712607"/>
            <a:ext cx="3105722" cy="790575"/>
            <a:chOff x="2724150" y="352425"/>
            <a:chExt cx="2476500" cy="790575"/>
          </a:xfrm>
        </xdr:grpSpPr>
        <xdr:sp macro="" textlink="">
          <xdr:nvSpPr>
            <xdr:cNvPr id="33" name="Rectangle: Rounded Corners 32">
              <a:extLst>
                <a:ext uri="{FF2B5EF4-FFF2-40B4-BE49-F238E27FC236}">
                  <a16:creationId xmlns:a16="http://schemas.microsoft.com/office/drawing/2014/main" id="{6764A900-01A8-DE9D-16E2-E7158603AFEF}"/>
                </a:ext>
              </a:extLst>
            </xdr:cNvPr>
            <xdr:cNvSpPr/>
          </xdr:nvSpPr>
          <xdr:spPr>
            <a:xfrm>
              <a:off x="2878681" y="352425"/>
              <a:ext cx="2043586" cy="79057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34" name="Rectangle: Rounded Corners 33">
              <a:extLst>
                <a:ext uri="{FF2B5EF4-FFF2-40B4-BE49-F238E27FC236}">
                  <a16:creationId xmlns:a16="http://schemas.microsoft.com/office/drawing/2014/main" id="{EB4B633B-478C-D130-CCE8-6485C49CFB9A}"/>
                </a:ext>
              </a:extLst>
            </xdr:cNvPr>
            <xdr:cNvSpPr/>
          </xdr:nvSpPr>
          <xdr:spPr>
            <a:xfrm>
              <a:off x="2762250" y="466726"/>
              <a:ext cx="2438400" cy="3238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/>
                <a:t>Avg_</a:t>
              </a:r>
              <a:r>
                <a:rPr lang="en-US" sz="1800" b="1">
                  <a:solidFill>
                    <a:schemeClr val="bg1"/>
                  </a:solidFill>
                </a:rPr>
                <a:t>Amount</a:t>
              </a:r>
              <a:endParaRPr lang="en-US" sz="1600" b="1">
                <a:solidFill>
                  <a:schemeClr val="bg1"/>
                </a:solidFill>
              </a:endParaRPr>
            </a:p>
          </xdr:txBody>
        </xdr:sp>
        <xdr:sp macro="" textlink="Customers!H13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950352AF-2716-817F-9812-333C7907ED2B}"/>
                </a:ext>
              </a:extLst>
            </xdr:cNvPr>
            <xdr:cNvSpPr/>
          </xdr:nvSpPr>
          <xdr:spPr>
            <a:xfrm>
              <a:off x="2724150" y="752476"/>
              <a:ext cx="2438400" cy="3048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EE8E59C8-E042-4D2D-869E-CEEDFE548A2B}" type="TxLink">
                <a:rPr lang="en-US" sz="16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$275.06 </a:t>
              </a:fld>
              <a:endPara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758FEF7A-08BE-A235-C4F9-E64285C9608A}"/>
              </a:ext>
            </a:extLst>
          </xdr:cNvPr>
          <xdr:cNvGrpSpPr/>
        </xdr:nvGrpSpPr>
        <xdr:grpSpPr>
          <a:xfrm>
            <a:off x="14945535" y="3811134"/>
            <a:ext cx="2934339" cy="790575"/>
            <a:chOff x="2523198" y="1668916"/>
            <a:chExt cx="2445665" cy="790575"/>
          </a:xfrm>
        </xdr:grpSpPr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E9D844DF-029A-1335-5706-B15EA6A7E8F8}"/>
                </a:ext>
              </a:extLst>
            </xdr:cNvPr>
            <xdr:cNvSpPr/>
          </xdr:nvSpPr>
          <xdr:spPr>
            <a:xfrm>
              <a:off x="2677896" y="1668916"/>
              <a:ext cx="2143125" cy="79057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6EB49A9B-2B54-E0B1-AE50-0A47AD56B19C}"/>
                </a:ext>
              </a:extLst>
            </xdr:cNvPr>
            <xdr:cNvSpPr/>
          </xdr:nvSpPr>
          <xdr:spPr>
            <a:xfrm>
              <a:off x="2523198" y="1781176"/>
              <a:ext cx="2438400" cy="3238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/>
                <a:t>Max</a:t>
              </a:r>
              <a:r>
                <a:rPr lang="en-US" sz="1400" b="1"/>
                <a:t>_</a:t>
              </a:r>
              <a:r>
                <a:rPr lang="en-US" sz="1600" b="1">
                  <a:solidFill>
                    <a:schemeClr val="bg1"/>
                  </a:solidFill>
                </a:rPr>
                <a:t>Amount</a:t>
              </a:r>
              <a:endParaRPr lang="en-US" sz="1400" b="1">
                <a:solidFill>
                  <a:schemeClr val="bg1"/>
                </a:solidFill>
              </a:endParaRPr>
            </a:p>
          </xdr:txBody>
        </xdr:sp>
        <xdr:sp macro="" textlink="Customers!H11">
          <xdr:nvSpPr>
            <xdr:cNvPr id="32" name="Rectangle: Rounded Corners 31">
              <a:extLst>
                <a:ext uri="{FF2B5EF4-FFF2-40B4-BE49-F238E27FC236}">
                  <a16:creationId xmlns:a16="http://schemas.microsoft.com/office/drawing/2014/main" id="{BABCD5AE-A35E-A959-F792-EE539329A1F5}"/>
                </a:ext>
              </a:extLst>
            </xdr:cNvPr>
            <xdr:cNvSpPr/>
          </xdr:nvSpPr>
          <xdr:spPr>
            <a:xfrm>
              <a:off x="2530463" y="2045670"/>
              <a:ext cx="2438400" cy="3048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D07375A8-62B3-4601-A3FA-BF225014B457}" type="TxLink">
                <a:rPr lang="en-US" sz="16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$498.33 </a:t>
              </a:fld>
              <a:endPara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B8821A12-6E6D-75AC-E644-6C2DC07CFFF3}"/>
              </a:ext>
            </a:extLst>
          </xdr:cNvPr>
          <xdr:cNvGrpSpPr/>
        </xdr:nvGrpSpPr>
        <xdr:grpSpPr>
          <a:xfrm>
            <a:off x="14886214" y="2909661"/>
            <a:ext cx="2911929" cy="790575"/>
            <a:chOff x="5651427" y="1013732"/>
            <a:chExt cx="2464981" cy="790575"/>
          </a:xfrm>
        </xdr:grpSpPr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DBE0F9CF-B473-5EF2-9FC1-70DF6A684D99}"/>
                </a:ext>
              </a:extLst>
            </xdr:cNvPr>
            <xdr:cNvSpPr/>
          </xdr:nvSpPr>
          <xdr:spPr>
            <a:xfrm>
              <a:off x="5858761" y="1013732"/>
              <a:ext cx="2159675" cy="79057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45557A0E-C128-FA57-1BF7-85C7061CB88D}"/>
                </a:ext>
              </a:extLst>
            </xdr:cNvPr>
            <xdr:cNvSpPr/>
          </xdr:nvSpPr>
          <xdr:spPr>
            <a:xfrm>
              <a:off x="5678008" y="1113323"/>
              <a:ext cx="2438400" cy="3238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/>
                <a:t>Min_</a:t>
              </a:r>
              <a:r>
                <a:rPr lang="en-US" sz="1800" b="1">
                  <a:solidFill>
                    <a:schemeClr val="bg1"/>
                  </a:solidFill>
                </a:rPr>
                <a:t>Amount</a:t>
              </a:r>
              <a:endParaRPr lang="en-US" sz="1600" b="1">
                <a:solidFill>
                  <a:schemeClr val="bg1"/>
                </a:solidFill>
              </a:endParaRPr>
            </a:p>
          </xdr:txBody>
        </xdr:sp>
        <xdr:sp macro="" textlink="Customers!H12">
          <xdr:nvSpPr>
            <xdr:cNvPr id="29" name="Rectangle: Rounded Corners 28">
              <a:extLst>
                <a:ext uri="{FF2B5EF4-FFF2-40B4-BE49-F238E27FC236}">
                  <a16:creationId xmlns:a16="http://schemas.microsoft.com/office/drawing/2014/main" id="{A1280301-A99D-15C9-D8A3-C927DC4E30E5}"/>
                </a:ext>
              </a:extLst>
            </xdr:cNvPr>
            <xdr:cNvSpPr/>
          </xdr:nvSpPr>
          <xdr:spPr>
            <a:xfrm>
              <a:off x="5651427" y="1409701"/>
              <a:ext cx="2438400" cy="3048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5907FA6D-B50B-4E94-9298-79813BC63417}" type="TxLink">
                <a:rPr lang="en-US" sz="16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$50.71 </a:t>
              </a:fld>
              <a:endPara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2C1BE27B-5461-A288-04E7-0D2FE17561E4}"/>
              </a:ext>
            </a:extLst>
          </xdr:cNvPr>
          <xdr:cNvGrpSpPr/>
        </xdr:nvGrpSpPr>
        <xdr:grpSpPr>
          <a:xfrm>
            <a:off x="14995070" y="2008188"/>
            <a:ext cx="2884715" cy="790575"/>
            <a:chOff x="6276975" y="2270351"/>
            <a:chExt cx="2476500" cy="790575"/>
          </a:xfrm>
        </xdr:grpSpPr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DFF9BFDA-AA50-C9B5-5904-E8E4C27D4771}"/>
                </a:ext>
              </a:extLst>
            </xdr:cNvPr>
            <xdr:cNvSpPr/>
          </xdr:nvSpPr>
          <xdr:spPr>
            <a:xfrm>
              <a:off x="6393792" y="2270351"/>
              <a:ext cx="2216808" cy="79057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2D852E8D-427A-1A30-5324-9452122D8557}"/>
                </a:ext>
              </a:extLst>
            </xdr:cNvPr>
            <xdr:cNvSpPr/>
          </xdr:nvSpPr>
          <xdr:spPr>
            <a:xfrm>
              <a:off x="6315075" y="2362201"/>
              <a:ext cx="2438400" cy="3238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400" b="1">
                  <a:solidFill>
                    <a:schemeClr val="lt1"/>
                  </a:solidFill>
                </a:rPr>
                <a:t>#</a:t>
              </a:r>
              <a:r>
                <a:rPr lang="en-US" sz="1600" b="1">
                  <a:solidFill>
                    <a:schemeClr val="lt1"/>
                  </a:solidFill>
                </a:rPr>
                <a:t>Amount</a:t>
              </a:r>
              <a:endParaRPr lang="en-US" sz="1400" b="1">
                <a:solidFill>
                  <a:schemeClr val="lt1"/>
                </a:solidFill>
              </a:endParaRPr>
            </a:p>
          </xdr:txBody>
        </xdr:sp>
        <xdr:sp macro="" textlink="Customers!H15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3903E7B6-F24C-5C2C-C469-0DAA5349FC8A}"/>
                </a:ext>
              </a:extLst>
            </xdr:cNvPr>
            <xdr:cNvSpPr/>
          </xdr:nvSpPr>
          <xdr:spPr>
            <a:xfrm>
              <a:off x="6276975" y="2647951"/>
              <a:ext cx="2438400" cy="3048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72D69528-7CBC-4D78-A6CD-87B9BDE5B8F0}" type="TxLink">
                <a:rPr lang="en-US" sz="16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1000</a:t>
              </a:fld>
              <a:endPara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53383</xdr:colOff>
      <xdr:row>2</xdr:row>
      <xdr:rowOff>43961</xdr:rowOff>
    </xdr:from>
    <xdr:to>
      <xdr:col>24</xdr:col>
      <xdr:colOff>407168</xdr:colOff>
      <xdr:row>5</xdr:row>
      <xdr:rowOff>100484</xdr:rowOff>
    </xdr:to>
    <xdr:sp macro="" textlink="">
      <xdr:nvSpPr>
        <xdr:cNvPr id="2" name="Rectangle: Top Corners Rounded 1">
          <a:extLst>
            <a:ext uri="{FF2B5EF4-FFF2-40B4-BE49-F238E27FC236}">
              <a16:creationId xmlns:a16="http://schemas.microsoft.com/office/drawing/2014/main" id="{B6DADA20-B50E-D98C-3FF6-F73988B29058}"/>
            </a:ext>
          </a:extLst>
        </xdr:cNvPr>
        <xdr:cNvSpPr/>
      </xdr:nvSpPr>
      <xdr:spPr>
        <a:xfrm>
          <a:off x="53383" y="424961"/>
          <a:ext cx="15124862" cy="628023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Customer</a:t>
          </a:r>
          <a:r>
            <a:rPr lang="en-US" sz="2400" b="1" baseline="0"/>
            <a:t> Dashboar - Analysis</a:t>
          </a:r>
          <a:endParaRPr lang="en-US" sz="2400" b="1"/>
        </a:p>
      </xdr:txBody>
    </xdr:sp>
    <xdr:clientData/>
  </xdr:twoCellAnchor>
  <xdr:twoCellAnchor editAs="oneCell">
    <xdr:from>
      <xdr:col>8</xdr:col>
      <xdr:colOff>58616</xdr:colOff>
      <xdr:row>2</xdr:row>
      <xdr:rowOff>29308</xdr:rowOff>
    </xdr:from>
    <xdr:to>
      <xdr:col>9</xdr:col>
      <xdr:colOff>52678</xdr:colOff>
      <xdr:row>5</xdr:row>
      <xdr:rowOff>67332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88BBD9-985E-217A-396D-8AF9F7CA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08" y="410308"/>
          <a:ext cx="609524" cy="6095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ware" refreshedDate="45893.121862731481" createdVersion="8" refreshedVersion="8" minRefreshableVersion="3" recordCount="1000" xr:uid="{9CB01CCA-17ED-4623-B8A3-4A2B98FBEA69}">
  <cacheSource type="worksheet">
    <worksheetSource name="tbl_Original"/>
  </cacheSource>
  <cacheFields count="32">
    <cacheField name="Customer_ID" numFmtId="0">
      <sharedItems count="1000">
        <s v="37-611-6911"/>
        <s v="29-392-9296"/>
        <s v="84-649-5117"/>
        <s v="48-980-6078"/>
        <s v="91-170-9072"/>
        <s v="82-561-4233"/>
        <s v="90-144-9193"/>
        <s v="88-661-4689"/>
        <s v="37-065-3182"/>
        <s v="84-894-9222"/>
        <s v="44-674-4037"/>
        <s v="78-116-8349"/>
        <s v="19-933-8095"/>
        <s v="80-684-5072"/>
        <s v="23-302-7502"/>
        <s v="90-069-8934"/>
        <s v="45-073-7243"/>
        <s v="89-883-2101"/>
        <s v="00-477-9449"/>
        <s v="67-159-7366"/>
        <s v="85-691-4293"/>
        <s v="56-085-0464"/>
        <s v="33-264-2822"/>
        <s v="95-478-2650"/>
        <s v="04-349-6759"/>
        <s v="21-755-8745"/>
        <s v="29-625-7057"/>
        <s v="58-623-8404"/>
        <s v="56-506-4709"/>
        <s v="25-839-8670"/>
        <s v="89-194-0596"/>
        <s v="55-163-1389"/>
        <s v="28-225-4286"/>
        <s v="14-305-8712"/>
        <s v="85-738-6864"/>
        <s v="17-198-5155"/>
        <s v="15-354-9904"/>
        <s v="35-198-9248"/>
        <s v="03-950-6074"/>
        <s v="19-999-0134"/>
        <s v="57-989-1487"/>
        <s v="07-816-2673"/>
        <s v="70-761-3550"/>
        <s v="38-242-3251"/>
        <s v="95-525-0842"/>
        <s v="37-101-4922"/>
        <s v="37-128-5425"/>
        <s v="27-439-9545"/>
        <s v="37-126-7954"/>
        <s v="82-990-0504"/>
        <s v="21-734-0212"/>
        <s v="76-148-9413"/>
        <s v="53-639-3774"/>
        <s v="20-817-9584"/>
        <s v="18-655-3670"/>
        <s v="72-431-5021"/>
        <s v="07-479-3919"/>
        <s v="17-032-6274"/>
        <s v="64-166-9097"/>
        <s v="39-499-3854"/>
        <s v="39-636-5871"/>
        <s v="71-667-2334"/>
        <s v="35-192-9050"/>
        <s v="91-440-0011"/>
        <s v="20-830-4758"/>
        <s v="84-337-1016"/>
        <s v="09-346-4992"/>
        <s v="75-083-3608"/>
        <s v="29-779-7209"/>
        <s v="12-409-5166"/>
        <s v="07-024-4995"/>
        <s v="74-478-5950"/>
        <s v="31-395-1286"/>
        <s v="60-838-4334"/>
        <s v="71-197-8227"/>
        <s v="15-530-3861"/>
        <s v="30-567-4471"/>
        <s v="04-465-1819"/>
        <s v="69-692-0614"/>
        <s v="12-839-8066"/>
        <s v="05-465-8765"/>
        <s v="81-580-3810"/>
        <s v="74-353-6312"/>
        <s v="78-824-1887"/>
        <s v="31-218-0024"/>
        <s v="15-711-4107"/>
        <s v="76-672-1193"/>
        <s v="46-503-5589"/>
        <s v="87-499-6916"/>
        <s v="30-520-8656"/>
        <s v="36-323-3504"/>
        <s v="93-810-4051"/>
        <s v="66-515-3648"/>
        <s v="09-216-1957"/>
        <s v="23-253-2565"/>
        <s v="74-509-4985"/>
        <s v="05-857-1572"/>
        <s v="26-521-8328"/>
        <s v="31-147-6197"/>
        <s v="90-093-0469"/>
        <s v="38-935-1865"/>
        <s v="75-953-8663"/>
        <s v="38-478-2681"/>
        <s v="70-895-5298"/>
        <s v="02-653-5884"/>
        <s v="11-719-8800"/>
        <s v="59-355-5251"/>
        <s v="82-572-9091"/>
        <s v="86-044-1071"/>
        <s v="08-733-0300"/>
        <s v="70-108-1493"/>
        <s v="46-230-8307"/>
        <s v="74-431-0242"/>
        <s v="78-272-6417"/>
        <s v="13-792-4356"/>
        <s v="04-563-9091"/>
        <s v="79-592-5396"/>
        <s v="39-952-4459"/>
        <s v="67-935-7964"/>
        <s v="26-828-2720"/>
        <s v="57-410-7415"/>
        <s v="62-989-8214"/>
        <s v="73-827-2774"/>
        <s v="19-643-1879"/>
        <s v="57-345-3921"/>
        <s v="98-817-6731"/>
        <s v="31-788-0864"/>
        <s v="27-806-4972"/>
        <s v="48-343-1220"/>
        <s v="15-640-6493"/>
        <s v="64-846-7450"/>
        <s v="58-788-8938"/>
        <s v="52-240-3825"/>
        <s v="60-618-2561"/>
        <s v="94-969-6819"/>
        <s v="76-982-8107"/>
        <s v="52-779-8972"/>
        <s v="40-520-3271"/>
        <s v="79-884-5600"/>
        <s v="80-607-9947"/>
        <s v="87-290-8263"/>
        <s v="99-316-9993"/>
        <s v="54-164-2243"/>
        <s v="14-784-5606"/>
        <s v="47-992-7446"/>
        <s v="37-513-5073"/>
        <s v="93-473-7248"/>
        <s v="72-830-1211"/>
        <s v="87-934-6762"/>
        <s v="71-975-9564"/>
        <s v="40-232-5631"/>
        <s v="22-414-4955"/>
        <s v="99-089-1930"/>
        <s v="62-198-2511"/>
        <s v="21-297-1223"/>
        <s v="10-961-9336"/>
        <s v="71-473-2656"/>
        <s v="84-954-2973"/>
        <s v="22-382-9636"/>
        <s v="89-724-2536"/>
        <s v="85-391-1888"/>
        <s v="84-934-2483"/>
        <s v="96-229-1698"/>
        <s v="36-948-6994"/>
        <s v="43-172-9431"/>
        <s v="53-690-5759"/>
        <s v="00-496-3067"/>
        <s v="10-330-6387"/>
        <s v="87-590-8963"/>
        <s v="47-931-2642"/>
        <s v="76-501-6422"/>
        <s v="39-274-2175"/>
        <s v="62-493-5282"/>
        <s v="18-841-7253"/>
        <s v="18-097-5707"/>
        <s v="83-792-5141"/>
        <s v="65-036-2410"/>
        <s v="67-593-9579"/>
        <s v="33-484-6674"/>
        <s v="65-249-5416"/>
        <s v="17-328-4678"/>
        <s v="00-733-8770"/>
        <s v="47-501-3435"/>
        <s v="46-779-7065"/>
        <s v="91-603-1565"/>
        <s v="35-122-5020"/>
        <s v="63-684-4073"/>
        <s v="74-483-2893"/>
        <s v="72-728-4406"/>
        <s v="13-588-2488"/>
        <s v="79-861-6506"/>
        <s v="66-974-6707"/>
        <s v="95-112-6724"/>
        <s v="27-262-6874"/>
        <s v="92-908-5062"/>
        <s v="70-014-6406"/>
        <s v="52-908-9971"/>
        <s v="57-623-5362"/>
        <s v="48-315-0196"/>
        <s v="71-959-3896"/>
        <s v="29-987-3969"/>
        <s v="78-613-1546"/>
        <s v="43-664-4451"/>
        <s v="34-095-3364"/>
        <s v="72-393-6893"/>
        <s v="73-707-2809"/>
        <s v="04-609-7885"/>
        <s v="73-139-4306"/>
        <s v="23-794-8196"/>
        <s v="66-050-6391"/>
        <s v="22-311-5460"/>
        <s v="51-917-0766"/>
        <s v="53-013-1026"/>
        <s v="29-779-3457"/>
        <s v="18-047-5540"/>
        <s v="89-438-5310"/>
        <s v="23-985-3535"/>
        <s v="67-939-2463"/>
        <s v="03-623-6767"/>
        <s v="86-749-6914"/>
        <s v="03-977-8103"/>
        <s v="03-827-4021"/>
        <s v="68-507-4747"/>
        <s v="73-942-8440"/>
        <s v="21-821-6398"/>
        <s v="64-641-7874"/>
        <s v="53-459-7870"/>
        <s v="36-240-3240"/>
        <s v="54-936-4361"/>
        <s v="67-209-0990"/>
        <s v="19-667-0201"/>
        <s v="36-274-5269"/>
        <s v="09-948-3150"/>
        <s v="19-873-9468"/>
        <s v="37-748-4988"/>
        <s v="08-755-1170"/>
        <s v="07-402-7433"/>
        <s v="60-073-3575"/>
        <s v="97-237-3483"/>
        <s v="93-675-1619"/>
        <s v="43-884-2577"/>
        <s v="33-200-7615"/>
        <s v="63-631-8261"/>
        <s v="34-016-7909"/>
        <s v="82-304-6495"/>
        <s v="70-207-6999"/>
        <s v="71-780-8195"/>
        <s v="93-356-8589"/>
        <s v="92-142-9480"/>
        <s v="53-042-5685"/>
        <s v="35-853-2222"/>
        <s v="83-670-9273"/>
        <s v="37-783-6086"/>
        <s v="79-902-8144"/>
        <s v="41-009-7879"/>
        <s v="89-302-8461"/>
        <s v="23-066-1915"/>
        <s v="39-090-0124"/>
        <s v="41-854-0707"/>
        <s v="04-352-1558"/>
        <s v="93-867-8303"/>
        <s v="31-088-6950"/>
        <s v="43-616-8365"/>
        <s v="71-876-9118"/>
        <s v="18-263-0366"/>
        <s v="25-502-1415"/>
        <s v="50-000-9588"/>
        <s v="32-338-5967"/>
        <s v="19-311-9149"/>
        <s v="94-212-7169"/>
        <s v="17-246-6194"/>
        <s v="26-672-1285"/>
        <s v="00-265-0556"/>
        <s v="76-397-3294"/>
        <s v="43-612-8079"/>
        <s v="17-213-2834"/>
        <s v="36-214-1586"/>
        <s v="32-414-1466"/>
        <s v="12-699-6543"/>
        <s v="83-427-3218"/>
        <s v="61-663-9008"/>
        <s v="86-917-7481"/>
        <s v="66-086-2306"/>
        <s v="43-671-9834"/>
        <s v="90-888-8726"/>
        <s v="23-085-0811"/>
        <s v="85-192-9218"/>
        <s v="82-671-7236"/>
        <s v="42-674-3987"/>
        <s v="41-934-7739"/>
        <s v="48-825-0400"/>
        <s v="30-133-5120"/>
        <s v="29-827-8515"/>
        <s v="91-724-4633"/>
        <s v="10-328-5732"/>
        <s v="38-912-1128"/>
        <s v="07-751-9620"/>
        <s v="81-877-9170"/>
        <s v="19-885-2597"/>
        <s v="82-389-2029"/>
        <s v="97-463-0048"/>
        <s v="91-572-6135"/>
        <s v="10-232-0685"/>
        <s v="77-761-7475"/>
        <s v="78-826-3039"/>
        <s v="86-668-1045"/>
        <s v="14-603-9698"/>
        <s v="23-752-2213"/>
        <s v="71-486-8561"/>
        <s v="76-382-7162"/>
        <s v="28-947-4295"/>
        <s v="84-765-0748"/>
        <s v="54-207-8349"/>
        <s v="20-419-0341"/>
        <s v="52-005-9914"/>
        <s v="34-846-7805"/>
        <s v="26-596-5461"/>
        <s v="20-157-8631"/>
        <s v="91-199-9097"/>
        <s v="55-846-2579"/>
        <s v="83-455-7266"/>
        <s v="67-599-9267"/>
        <s v="41-501-9276"/>
        <s v="99-509-4653"/>
        <s v="31-284-5722"/>
        <s v="88-000-9227"/>
        <s v="52-726-9328"/>
        <s v="60-198-5417"/>
        <s v="00-107-4749"/>
        <s v="88-428-8409"/>
        <s v="21-313-7424"/>
        <s v="79-973-7862"/>
        <s v="81-814-3498"/>
        <s v="34-375-8138"/>
        <s v="05-067-9686"/>
        <s v="61-951-7929"/>
        <s v="53-667-0793"/>
        <s v="61-212-1117"/>
        <s v="09-443-7536"/>
        <s v="27-463-5671"/>
        <s v="53-380-3968"/>
        <s v="42-969-0735"/>
        <s v="12-440-5464"/>
        <s v="33-467-2534"/>
        <s v="35-418-0288"/>
        <s v="33-787-2143"/>
        <s v="58-528-6262"/>
        <s v="31-060-2716"/>
        <s v="81-515-5823"/>
        <s v="90-858-0453"/>
        <s v="28-874-8938"/>
        <s v="89-625-5542"/>
        <s v="07-966-8728"/>
        <s v="94-408-2581"/>
        <s v="55-301-9368"/>
        <s v="72-336-1992"/>
        <s v="06-008-2805"/>
        <s v="77-178-6086"/>
        <s v="28-832-2885"/>
        <s v="75-210-7391"/>
        <s v="60-470-3563"/>
        <s v="24-241-7171"/>
        <s v="53-784-1855"/>
        <s v="83-561-3374"/>
        <s v="96-121-0629"/>
        <s v="00-275-9990"/>
        <s v="36-593-2907"/>
        <s v="22-692-3470"/>
        <s v="90-322-7329"/>
        <s v="28-395-9872"/>
        <s v="79-297-1061"/>
        <s v="93-649-9356"/>
        <s v="27-543-7069"/>
        <s v="96-079-9597"/>
        <s v="38-940-4942"/>
        <s v="82-014-2564"/>
        <s v="70-699-5799"/>
        <s v="53-240-2040"/>
        <s v="27-742-2776"/>
        <s v="55-620-7906"/>
        <s v="04-213-4617"/>
        <s v="79-384-7469"/>
        <s v="30-839-5589"/>
        <s v="76-848-9229"/>
        <s v="98-559-6096"/>
        <s v="56-810-2066"/>
        <s v="55-580-7707"/>
        <s v="18-605-0795"/>
        <s v="86-268-2904"/>
        <s v="75-847-7630"/>
        <s v="76-910-2337"/>
        <s v="56-719-7145"/>
        <s v="14-025-2335"/>
        <s v="10-300-8072"/>
        <s v="73-698-2326"/>
        <s v="01-023-2094"/>
        <s v="65-359-4645"/>
        <s v="33-405-7978"/>
        <s v="09-783-7921"/>
        <s v="76-561-2427"/>
        <s v="82-467-3300"/>
        <s v="92-946-7398"/>
        <s v="59-891-2990"/>
        <s v="22-579-3978"/>
        <s v="22-352-0576"/>
        <s v="28-676-0614"/>
        <s v="07-211-9364"/>
        <s v="98-238-6733"/>
        <s v="72-006-3769"/>
        <s v="75-845-3143"/>
        <s v="26-028-2671"/>
        <s v="55-876-7407"/>
        <s v="47-720-9520"/>
        <s v="42-207-5005"/>
        <s v="47-266-2261"/>
        <s v="77-642-7686"/>
        <s v="37-468-8133"/>
        <s v="00-335-5034"/>
        <s v="95-148-1769"/>
        <s v="72-324-1243"/>
        <s v="62-687-5354"/>
        <s v="54-634-0814"/>
        <s v="64-769-5737"/>
        <s v="62-892-2088"/>
        <s v="53-951-2529"/>
        <s v="00-264-3797"/>
        <s v="88-445-9235"/>
        <s v="65-539-9955"/>
        <s v="89-730-1134"/>
        <s v="74-051-7865"/>
        <s v="40-450-4266"/>
        <s v="78-796-5651"/>
        <s v="78-163-4800"/>
        <s v="90-272-5701"/>
        <s v="14-118-5229"/>
        <s v="24-662-2119"/>
        <s v="61-794-8438"/>
        <s v="21-959-5766"/>
        <s v="42-518-2602"/>
        <s v="35-850-8676"/>
        <s v="07-958-2231"/>
        <s v="78-503-0416"/>
        <s v="46-167-7999"/>
        <s v="93-989-8649"/>
        <s v="98-130-8811"/>
        <s v="18-614-2070"/>
        <s v="80-277-3242"/>
        <s v="44-949-9040"/>
        <s v="04-545-9162"/>
        <s v="51-320-2801"/>
        <s v="50-510-5119"/>
        <s v="63-964-6954"/>
        <s v="55-569-9247"/>
        <s v="02-911-0447"/>
        <s v="77-626-7240"/>
        <s v="75-915-9803"/>
        <s v="78-905-2660"/>
        <s v="02-677-6735"/>
        <s v="20-460-9796"/>
        <s v="57-587-4005"/>
        <s v="99-477-8256"/>
        <s v="03-992-3728"/>
        <s v="24-878-4507"/>
        <s v="22-106-8347"/>
        <s v="81-479-0790"/>
        <s v="03-023-9932"/>
        <s v="36-632-2460"/>
        <s v="32-799-7704"/>
        <s v="09-369-0588"/>
        <s v="87-727-6434"/>
        <s v="18-793-9543"/>
        <s v="63-625-5757"/>
        <s v="93-413-4758"/>
        <s v="15-663-7994"/>
        <s v="29-319-4519"/>
        <s v="40-347-2903"/>
        <s v="18-452-1635"/>
        <s v="47-710-5471"/>
        <s v="88-167-7129"/>
        <s v="86-771-9082"/>
        <s v="46-678-4172"/>
        <s v="14-249-1256"/>
        <s v="75-617-1460"/>
        <s v="10-247-0192"/>
        <s v="94-120-9525"/>
        <s v="22-234-9315"/>
        <s v="37-560-7247"/>
        <s v="91-857-0797"/>
        <s v="19-344-0102"/>
        <s v="48-609-7715"/>
        <s v="13-571-6506"/>
        <s v="47-073-6440"/>
        <s v="50-303-1693"/>
        <s v="69-157-9577"/>
        <s v="09-513-4923"/>
        <s v="82-975-8569"/>
        <s v="70-774-7728"/>
        <s v="13-015-8097"/>
        <s v="68-391-7279"/>
        <s v="28-764-3337"/>
        <s v="00-285-9607"/>
        <s v="04-832-3559"/>
        <s v="27-613-5005"/>
        <s v="49-825-3438"/>
        <s v="31-783-9785"/>
        <s v="58-059-8187"/>
        <s v="74-882-6648"/>
        <s v="03-180-9200"/>
        <s v="46-578-1425"/>
        <s v="13-588-5783"/>
        <s v="25-085-7917"/>
        <s v="66-085-1226"/>
        <s v="37-037-1765"/>
        <s v="48-630-6410"/>
        <s v="50-471-0212"/>
        <s v="48-642-5768"/>
        <s v="15-152-9751"/>
        <s v="23-451-9920"/>
        <s v="09-775-4058"/>
        <s v="43-595-0966"/>
        <s v="56-592-0089"/>
        <s v="29-374-1297"/>
        <s v="80-728-6133"/>
        <s v="58-502-7490"/>
        <s v="23-537-0742"/>
        <s v="22-483-3115"/>
        <s v="57-372-5969"/>
        <s v="37-283-9076"/>
        <s v="39-075-3518"/>
        <s v="84-315-7189"/>
        <s v="75-964-5589"/>
        <s v="06-594-3417"/>
        <s v="08-297-3351"/>
        <s v="05-546-5128"/>
        <s v="79-759-6726"/>
        <s v="12-851-1771"/>
        <s v="79-960-1714"/>
        <s v="30-417-6981"/>
        <s v="91-532-5399"/>
        <s v="89-997-9041"/>
        <s v="26-235-6745"/>
        <s v="99-080-9462"/>
        <s v="87-056-8987"/>
        <s v="06-160-8063"/>
        <s v="73-434-2308"/>
        <s v="84-260-6464"/>
        <s v="00-149-4481"/>
        <s v="05-710-6109"/>
        <s v="84-724-8407"/>
        <s v="45-795-1873"/>
        <s v="06-647-3248"/>
        <s v="06-767-5206"/>
        <s v="94-288-4423"/>
        <s v="49-891-9711"/>
        <s v="08-806-0588"/>
        <s v="94-746-2001"/>
        <s v="38-943-5744"/>
        <s v="98-535-8497"/>
        <s v="33-243-8793"/>
        <s v="99-581-5577"/>
        <s v="64-180-2404"/>
        <s v="73-097-0986"/>
        <s v="88-051-0567"/>
        <s v="44-715-9594"/>
        <s v="84-188-6577"/>
        <s v="19-116-4723"/>
        <s v="21-783-9242"/>
        <s v="95-528-2313"/>
        <s v="94-682-4886"/>
        <s v="55-944-9669"/>
        <s v="32-314-2958"/>
        <s v="67-697-2331"/>
        <s v="28-855-1639"/>
        <s v="38-069-8615"/>
        <s v="58-233-5963"/>
        <s v="02-004-0620"/>
        <s v="78-822-9328"/>
        <s v="73-359-1998"/>
        <s v="84-459-7736"/>
        <s v="07-395-5818"/>
        <s v="07-560-6637"/>
        <s v="61-926-1691"/>
        <s v="68-129-1060"/>
        <s v="04-052-5592"/>
        <s v="41-215-6092"/>
        <s v="89-833-7175"/>
        <s v="08-117-9893"/>
        <s v="24-109-2173"/>
        <s v="79-939-2140"/>
        <s v="95-999-0984"/>
        <s v="64-799-3174"/>
        <s v="27-018-2262"/>
        <s v="38-881-0766"/>
        <s v="17-344-8603"/>
        <s v="51-387-9144"/>
        <s v="42-101-8525"/>
        <s v="69-157-6752"/>
        <s v="27-843-5553"/>
        <s v="04-468-5487"/>
        <s v="08-584-8296"/>
        <s v="81-014-4502"/>
        <s v="65-167-9819"/>
        <s v="19-925-2376"/>
        <s v="03-669-7519"/>
        <s v="00-520-4376"/>
        <s v="62-701-1037"/>
        <s v="87-806-4478"/>
        <s v="04-809-8989"/>
        <s v="39-867-1989"/>
        <s v="45-584-7333"/>
        <s v="85-885-6579"/>
        <s v="65-457-2840"/>
        <s v="82-726-1255"/>
        <s v="90-602-3583"/>
        <s v="02-711-1034"/>
        <s v="27-347-7437"/>
        <s v="95-675-7816"/>
        <s v="87-418-1400"/>
        <s v="73-991-0066"/>
        <s v="62-273-8089"/>
        <s v="51-220-3072"/>
        <s v="17-648-0171"/>
        <s v="11-975-9054"/>
        <s v="75-518-2831"/>
        <s v="13-297-9777"/>
        <s v="81-604-7906"/>
        <s v="87-518-0375"/>
        <s v="53-437-2629"/>
        <s v="46-681-0764"/>
        <s v="43-990-6454"/>
        <s v="55-570-3804"/>
        <s v="29-067-4901"/>
        <s v="93-957-6269"/>
        <s v="81-225-6647"/>
        <s v="64-706-7841"/>
        <s v="47-178-9529"/>
        <s v="63-808-3641"/>
        <s v="85-738-8909"/>
        <s v="40-224-1057"/>
        <s v="24-853-1635"/>
        <s v="61-627-1822"/>
        <s v="89-392-5002"/>
        <s v="71-573-6085"/>
        <s v="91-810-3612"/>
        <s v="07-323-0255"/>
        <s v="81-054-5343"/>
        <s v="14-854-9545"/>
        <s v="52-150-4629"/>
        <s v="48-918-4473"/>
        <s v="06-764-5496"/>
        <s v="67-036-4295"/>
        <s v="35-880-9374"/>
        <s v="08-614-6177"/>
        <s v="35-879-0014"/>
        <s v="91-570-2695"/>
        <s v="54-193-3526"/>
        <s v="55-237-7991"/>
        <s v="90-569-7391"/>
        <s v="88-395-8741"/>
        <s v="06-638-0433"/>
        <s v="84-208-7045"/>
        <s v="71-568-0867"/>
        <s v="18-925-1867"/>
        <s v="69-394-1424"/>
        <s v="91-695-8237"/>
        <s v="68-458-0904"/>
        <s v="28-862-5550"/>
        <s v="85-666-7449"/>
        <s v="30-987-7421"/>
        <s v="39-107-6852"/>
        <s v="85-467-6564"/>
        <s v="82-692-9306"/>
        <s v="18-593-8611"/>
        <s v="93-093-0556"/>
        <s v="59-080-5779"/>
        <s v="64-915-2968"/>
        <s v="94-495-3402"/>
        <s v="84-458-6432"/>
        <s v="46-452-3822"/>
        <s v="54-877-5699"/>
        <s v="15-146-4456"/>
        <s v="76-620-2994"/>
        <s v="60-834-3348"/>
        <s v="77-742-5663"/>
        <s v="05-167-0833"/>
        <s v="86-182-9556"/>
        <s v="14-415-2802"/>
        <s v="49-469-9163"/>
        <s v="67-937-6624"/>
        <s v="91-761-9492"/>
        <s v="19-184-7665"/>
        <s v="19-383-9741"/>
        <s v="15-625-4047"/>
        <s v="81-820-4735"/>
        <s v="71-436-6908"/>
        <s v="73-145-5784"/>
        <s v="50-637-1630"/>
        <s v="44-938-7475"/>
        <s v="55-279-3045"/>
        <s v="59-997-3903"/>
        <s v="12-029-9344"/>
        <s v="41-130-2570"/>
        <s v="25-285-7453"/>
        <s v="47-225-8686"/>
        <s v="33-519-4214"/>
        <s v="03-991-2098"/>
        <s v="30-735-8744"/>
        <s v="13-848-5757"/>
        <s v="21-300-2001"/>
        <s v="38-587-1781"/>
        <s v="66-557-1474"/>
        <s v="03-422-8710"/>
        <s v="39-731-8532"/>
        <s v="80-830-3184"/>
        <s v="97-505-8416"/>
        <s v="98-585-4742"/>
        <s v="51-302-9537"/>
        <s v="88-313-2633"/>
        <s v="61-286-0069"/>
        <s v="35-907-0586"/>
        <s v="30-522-1574"/>
        <s v="43-715-8777"/>
        <s v="94-692-4313"/>
        <s v="96-915-4091"/>
        <s v="67-073-5578"/>
        <s v="27-010-9462"/>
        <s v="19-689-4556"/>
        <s v="53-143-6147"/>
        <s v="02-725-7664"/>
        <s v="54-439-4748"/>
        <s v="66-949-9895"/>
        <s v="20-648-1010"/>
        <s v="79-939-5393"/>
        <s v="89-249-8369"/>
        <s v="85-366-1482"/>
        <s v="34-874-7357"/>
        <s v="11-820-5039"/>
        <s v="73-846-1423"/>
        <s v="90-363-8040"/>
        <s v="65-533-1660"/>
        <s v="98-376-8787"/>
        <s v="18-938-9896"/>
        <s v="04-829-7037"/>
        <s v="93-455-0576"/>
        <s v="84-637-9188"/>
        <s v="81-111-7832"/>
        <s v="77-401-8183"/>
        <s v="01-484-8220"/>
        <s v="11-121-0709"/>
        <s v="36-649-0081"/>
        <s v="61-176-8712"/>
        <s v="75-526-2611"/>
        <s v="72-339-1854"/>
        <s v="80-360-6324"/>
        <s v="24-591-4327"/>
        <s v="58-487-8848"/>
        <s v="61-453-3503"/>
        <s v="63-680-7694"/>
        <s v="51-431-7150"/>
        <s v="23-039-9347"/>
        <s v="18-832-6916"/>
        <s v="29-438-8126"/>
        <s v="68-201-1633"/>
        <s v="07-314-2945"/>
        <s v="64-490-6975"/>
        <s v="91-789-3191"/>
        <s v="83-714-9649"/>
        <s v="33-203-4230"/>
        <s v="90-918-2833"/>
        <s v="53-409-1176"/>
        <s v="52-491-3386"/>
        <s v="10-870-3357"/>
        <s v="41-816-7753"/>
        <s v="68-296-5978"/>
        <s v="03-874-9055"/>
        <s v="28-123-8406"/>
        <s v="01-089-2223"/>
        <s v="23-758-1012"/>
        <s v="34-788-8387"/>
        <s v="53-865-9342"/>
        <s v="79-052-8470"/>
        <s v="86-359-7320"/>
        <s v="27-111-2242"/>
        <s v="84-538-0238"/>
        <s v="04-660-2742"/>
        <s v="96-496-9833"/>
        <s v="27-672-6081"/>
        <s v="66-033-0540"/>
        <s v="99-643-9845"/>
        <s v="27-571-9402"/>
        <s v="10-430-5821"/>
        <s v="36-835-7445"/>
        <s v="41-602-4042"/>
        <s v="63-743-6962"/>
        <s v="66-772-9922"/>
        <s v="23-246-5927"/>
        <s v="74-022-7557"/>
        <s v="78-214-5658"/>
        <s v="25-286-8786"/>
        <s v="55-955-9889"/>
        <s v="34-237-3943"/>
        <s v="19-386-9088"/>
        <s v="16-583-2801"/>
        <s v="83-752-5439"/>
        <s v="25-485-2023"/>
        <s v="90-822-7664"/>
        <s v="22-039-6819"/>
        <s v="50-395-1941"/>
        <s v="99-771-9310"/>
        <s v="18-518-0140"/>
        <s v="57-000-8646"/>
        <s v="81-926-9297"/>
        <s v="53-070-2625"/>
        <s v="63-217-7638"/>
        <s v="64-120-6212"/>
        <s v="01-404-3425"/>
        <s v="68-971-6148"/>
        <s v="22-053-4627"/>
        <s v="09-258-0424"/>
        <s v="56-782-9001"/>
        <s v="05-506-7216"/>
        <s v="47-356-9730"/>
        <s v="42-898-6421"/>
        <s v="17-364-8685"/>
        <s v="13-618-9438"/>
        <s v="32-457-2982"/>
        <s v="43-386-2489"/>
        <s v="67-438-2378"/>
        <s v="65-431-1264"/>
        <s v="73-367-8478"/>
        <s v="84-162-8799"/>
        <s v="51-546-9992"/>
        <s v="89-189-3295"/>
        <s v="45-776-7217"/>
        <s v="71-354-5174"/>
        <s v="05-975-6985"/>
        <s v="42-859-2475"/>
        <s v="34-094-1923"/>
        <s v="57-797-8139"/>
        <s v="21-048-8669"/>
        <s v="30-038-8752"/>
        <s v="06-237-7338"/>
        <s v="71-817-5422"/>
        <s v="68-512-0568"/>
        <s v="18-633-9387"/>
        <s v="08-977-4418"/>
        <s v="97-738-8095"/>
        <s v="15-421-1255"/>
        <s v="92-142-4328"/>
        <s v="06-357-6548"/>
        <s v="59-261-4453"/>
        <s v="35-644-3184"/>
        <s v="30-528-9105"/>
        <s v="14-709-8547"/>
        <s v="80-508-9866"/>
        <s v="27-100-0661"/>
        <s v="68-488-7343"/>
        <s v="63-304-1852"/>
        <s v="53-843-5619"/>
        <s v="44-786-7696"/>
        <s v="45-631-4619"/>
        <s v="11-850-1953"/>
        <s v="20-421-2544"/>
        <s v="37-100-8709"/>
        <s v="78-361-5100"/>
        <s v="67-676-5945"/>
        <s v="67-639-5838"/>
        <s v="51-415-1931"/>
        <s v="96-764-3843"/>
        <s v="16-730-2056"/>
        <s v="22-157-2494"/>
        <s v="29-341-6463"/>
        <s v="64-906-4475"/>
        <s v="36-340-8494"/>
        <s v="77-031-4898"/>
        <s v="86-097-9642"/>
        <s v="64-090-3433"/>
        <s v="96-140-1936"/>
        <s v="38-830-6976"/>
        <s v="82-864-1154"/>
        <s v="79-711-6779"/>
        <s v="22-860-9860"/>
        <s v="72-590-6161"/>
        <s v="76-213-5806"/>
        <s v="66-894-5431"/>
        <s v="20-939-3906"/>
        <s v="86-390-9555"/>
        <s v="91-602-0761"/>
        <s v="62-974-7965"/>
        <s v="21-232-1397"/>
        <s v="31-364-4144"/>
        <s v="99-945-7193"/>
        <s v="91-053-3261"/>
        <s v="50-447-5171"/>
        <s v="89-754-7244"/>
        <s v="56-072-7011"/>
        <s v="74-281-3421"/>
        <s v="86-068-2133"/>
        <s v="03-102-0288"/>
        <s v="74-033-1145"/>
        <s v="24-272-6205"/>
        <s v="90-170-1951"/>
        <s v="73-259-8940"/>
        <s v="77-796-5786"/>
        <s v="23-949-1954"/>
        <s v="51-313-7293"/>
        <s v="62-797-9254"/>
        <s v="27-941-4995"/>
        <s v="01-799-2615"/>
        <s v="82-133-0444"/>
        <s v="43-920-9499"/>
        <s v="17-551-9779"/>
        <s v="49-037-2300"/>
        <s v="95-876-9757"/>
        <s v="47-947-4888"/>
        <s v="83-003-2165"/>
        <s v="27-619-9264"/>
        <s v="49-476-1729"/>
        <s v="64-803-7087"/>
        <s v="01-925-4021"/>
        <s v="51-116-5937"/>
        <s v="72-454-2741"/>
        <s v="96-484-1000"/>
        <s v="07-834-3350"/>
        <s v="11-802-5604"/>
        <s v="41-750-4105"/>
        <s v="31-491-8457"/>
        <s v="86-257-9581"/>
        <s v="22-981-6595"/>
        <s v="54-002-5845"/>
        <s v="31-927-7787"/>
        <s v="46-098-9737"/>
        <s v="27-017-7173"/>
        <s v="53-102-9949"/>
        <s v="02-676-9312"/>
        <s v="28-969-7540"/>
        <s v="30-083-9565"/>
        <s v="30-975-0306"/>
        <s v="14-364-4904"/>
        <s v="08-652-2085"/>
        <s v="67-037-2087"/>
        <s v="09-737-8354"/>
        <s v="12-417-5609"/>
        <s v="25-096-6830"/>
        <s v="91-558-5922"/>
        <s v="25-560-4506"/>
        <s v="33-609-0598"/>
        <s v="45-337-1798"/>
        <s v="34-265-8558"/>
        <s v="67-323-7406"/>
        <s v="40-149-8247"/>
        <s v="37-361-8691"/>
        <s v="17-763-9416"/>
        <s v="56-453-8263"/>
        <s v="19-560-0717"/>
        <s v="40-199-1803"/>
        <s v="09-332-0236"/>
        <s v="83-982-5300"/>
        <s v="46-662-1571"/>
        <s v="20-699-9217"/>
        <s v="26-150-0209"/>
        <s v="94-985-5336"/>
        <s v="97-715-3606"/>
        <s v="02-100-4320"/>
        <s v="16-070-0138"/>
        <s v="82-474-5074"/>
        <s v="36-444-5336"/>
        <s v="54-680-5344"/>
        <s v="16-364-8096"/>
        <s v="62-644-8183"/>
        <s v="59-971-0799"/>
        <s v="64-031-2046"/>
        <s v="87-079-0237"/>
        <s v="78-091-8662"/>
        <s v="62-720-2922"/>
        <s v="47-528-3961"/>
        <s v="21-808-2293"/>
        <s v="22-022-9256"/>
        <s v="96-772-7220"/>
        <s v="25-866-7286"/>
        <s v="72-694-4159"/>
        <s v="10-079-8237"/>
        <s v="47-460-8015"/>
        <s v="06-061-0023"/>
        <s v="80-487-2550"/>
        <s v="23-617-2637"/>
        <s v="60-005-5187"/>
        <s v="24-371-5870"/>
        <s v="02-055-8248"/>
        <s v="54-238-5459"/>
        <s v="85-922-0190"/>
        <s v="48-271-1908"/>
        <s v="46-978-3874"/>
        <s v="53-595-7635"/>
        <s v="08-185-6608"/>
        <s v="20-562-2569"/>
        <s v="41-366-4205"/>
        <s v="77-241-7621"/>
        <s v="53-091-2176"/>
        <s v="48-203-9118"/>
      </sharedItems>
    </cacheField>
    <cacheField name="Cutomer_Number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Age" numFmtId="0">
      <sharedItems containsSemiMixedTypes="0" containsString="0" containsNumber="1" containsInteger="1" minValue="18" maxValue="50" count="33">
        <n v="22"/>
        <n v="49"/>
        <n v="24"/>
        <n v="29"/>
        <n v="33"/>
        <n v="45"/>
        <n v="21"/>
        <n v="39"/>
        <n v="25"/>
        <n v="38"/>
        <n v="34"/>
        <n v="32"/>
        <n v="30"/>
        <n v="40"/>
        <n v="37"/>
        <n v="36"/>
        <n v="31"/>
        <n v="50"/>
        <n v="48"/>
        <n v="46"/>
        <n v="43"/>
        <n v="42"/>
        <n v="35"/>
        <n v="27"/>
        <n v="19"/>
        <n v="23"/>
        <n v="47"/>
        <n v="18"/>
        <n v="20"/>
        <n v="26"/>
        <n v="41"/>
        <n v="28"/>
        <n v="44"/>
      </sharedItems>
      <fieldGroup base="2">
        <rangePr startNum="18" endNum="50" groupInterval="10"/>
        <groupItems count="6">
          <s v="&lt;18"/>
          <s v="18-27"/>
          <s v="28-37"/>
          <s v="38-47"/>
          <s v="48-57"/>
          <s v="&gt;58"/>
        </groupItems>
      </fieldGroup>
    </cacheField>
    <cacheField name="Gender" numFmtId="0">
      <sharedItems count="3">
        <s v="Female"/>
        <s v="Male"/>
        <s v="Other"/>
      </sharedItems>
    </cacheField>
    <cacheField name="Gender2" numFmtId="0">
      <sharedItems count="8">
        <s v="Female"/>
        <s v="Male"/>
        <s v="Bigender"/>
        <s v="Genderfluid"/>
        <s v="Non-binary"/>
        <s v="Polygender"/>
        <s v="Agender"/>
        <s v="Genderqueer"/>
      </sharedItems>
    </cacheField>
    <cacheField name="Income_Level" numFmtId="0">
      <sharedItems count="2">
        <s v="Middle"/>
        <s v="High"/>
      </sharedItems>
    </cacheField>
    <cacheField name="Marital_Status" numFmtId="0">
      <sharedItems count="4">
        <s v="Married"/>
        <s v="Single"/>
        <s v="Widowed"/>
        <s v="Divorced"/>
      </sharedItems>
    </cacheField>
    <cacheField name="Education_Level" numFmtId="0">
      <sharedItems count="3">
        <s v="Bachelor's"/>
        <s v="High School"/>
        <s v="Master's"/>
      </sharedItems>
    </cacheField>
    <cacheField name="Occupation" numFmtId="0">
      <sharedItems count="2">
        <s v="Middle"/>
        <s v="High"/>
      </sharedItems>
    </cacheField>
    <cacheField name="Location" numFmtId="0">
      <sharedItems count="969">
        <s v="Evry"/>
        <s v="Huocheng"/>
        <s v="Huzhen"/>
        <s v="Wiwil"/>
        <s v="Nara"/>
        <s v="Boro Utara"/>
        <s v="Liren"/>
        <s v="Taocheng"/>
        <s v="Grabo"/>
        <s v="Pryamitsyno"/>
        <s v="Punta Gorda"/>
        <s v="Gyor"/>
        <s v="Gaosheng"/>
        <s v="Rokytne"/>
        <s v="Alameda"/>
        <s v="Dhankuta"/>
        <s v="Jindong"/>
        <s v="Ngeru"/>
        <s v="White Rock"/>
        <s v="Monastyrshchina"/>
        <s v="Pangkalanbunut"/>
        <s v="Lederaba"/>
        <s v="Lugo"/>
        <s v="So Roque"/>
        <s v="Bani Khaddash"/>
        <s v="Montpellier"/>
        <s v="Nesovice"/>
        <s v="Pasirhuni"/>
        <s v="Glendale"/>
        <s v="Tla"/>
        <s v="Marseille"/>
        <s v="Nasielsk"/>
        <s v="Paris 06"/>
        <s v="Bronnitsy"/>
        <s v="Inayauan"/>
        <s v="Qianjin"/>
        <s v="Bagahanlad"/>
        <s v="Rzewnie"/>
        <s v="Strabychovo"/>
        <s v="Hongqi"/>
        <s v="Oeoh"/>
        <s v="Topolanoye"/>
        <s v="Kovarov"/>
        <s v="Majdal Bani Fadil"/>
        <s v="Delta Del Tigre"/>
        <s v="Santa Cruz La Laguna"/>
        <s v="Manchester"/>
        <s v="Norrkoping"/>
        <s v="Sosno"/>
        <s v="Pella"/>
        <s v="Namur"/>
        <s v="Benevides"/>
        <s v="Qinghaihu"/>
        <s v="Alfeizerao"/>
        <s v="Prostedni Becva"/>
        <s v="Oeiras"/>
        <s v="Kythnos"/>
        <s v="Rizal"/>
        <s v="Fullerton"/>
        <s v="Huaidao"/>
        <s v="Bilice"/>
        <s v="Isla Verde"/>
        <s v="Hunkuyi"/>
        <s v="Shiree"/>
        <s v="Strezhevoy"/>
        <s v="Longxing"/>
        <s v="Jesus Menendez"/>
        <s v="Hongguang"/>
        <s v="Pilaya"/>
        <s v="Camp Ithier"/>
        <s v="Holboo"/>
        <s v="Luxi"/>
        <s v="Ostashkov"/>
        <s v="Hongshanzui"/>
        <s v="Tocoa"/>
        <s v="Bayan Tuohai"/>
        <s v="Parumasan"/>
        <s v="Karpogory"/>
        <s v="Shahzadpur"/>
        <s v="Muaratiga"/>
        <s v="Gjegjan"/>
        <s v="Guacari"/>
        <s v="Pameungpeuk"/>
        <s v="Junshan"/>
        <s v="Lewotola"/>
        <s v="Laocheng"/>
        <s v="Sancang"/>
        <s v="Ndewel"/>
        <s v="San Patricio"/>
        <s v="Fengtai"/>
        <s v="Awrn Ad Daydah"/>
        <s v="Magdalena"/>
        <s v="Lenica"/>
        <s v="Hinlayagan Ilaud"/>
        <s v="Forshaga"/>
        <s v="Rakszawa"/>
        <s v="Fengjiang"/>
        <s v="Jiangcun"/>
        <s v="Kuchi"/>
        <s v="Novoukrainskiy"/>
        <s v="Acobambilla"/>
        <s v="Kyonju"/>
        <s v="Pomar"/>
        <s v="Zalan"/>
        <s v="Trlaz"/>
        <s v="Messina"/>
        <s v="Mrgowo"/>
        <s v="Ngawi"/>
        <s v="Oslo"/>
        <s v="Dobrica"/>
        <s v="La Roche-Sur-Yon"/>
        <s v="Point Pedro"/>
        <s v="Tianbao"/>
        <s v="Puqian"/>
        <s v="Binalbagan"/>
        <s v="Tessalit"/>
        <s v="Nikolayevsk"/>
        <s v="Dashuipo"/>
        <s v="Tn Nad Vltavou"/>
        <s v="Kaum Kaler"/>
        <s v="Gandapura"/>
        <s v="Kawangkoan"/>
        <s v="Mondorf-Les-Bains"/>
        <s v="Manwakh"/>
        <s v="Karlstad"/>
        <s v="Obong"/>
        <s v="Kolsko"/>
        <s v="Dlbandn"/>
        <s v="Shazi"/>
        <s v="Hachiji"/>
        <s v="Jolo"/>
        <s v="Pedra Azul"/>
        <s v="Gustavsberg"/>
        <s v="La Mohammedia"/>
        <s v="Florida"/>
        <s v="Zhongcheng"/>
        <s v="Goiatuba"/>
        <s v="Krajan Kidul Rojopolo"/>
        <s v="Metchosin"/>
        <s v="Staritsa"/>
        <s v="Benito Juarez"/>
        <s v="Man"/>
        <s v="Vitali"/>
        <s v="Mizque"/>
        <s v="Zgornje Pirnie"/>
        <s v="Cipolletti"/>
        <s v="Sollefte"/>
        <s v="Klonowa"/>
        <s v="Suvorov"/>
        <s v="Dragash"/>
        <s v="Freiburg Im Breisgau"/>
        <s v="Macau"/>
        <s v="Pancas"/>
        <s v="Dayapan"/>
        <s v="Gordon Town"/>
        <s v="Proptisht"/>
        <s v="Kamal"/>
        <s v="Kouvola"/>
        <s v="Zhongdong"/>
        <s v="Betong"/>
        <s v="Jinping"/>
        <s v="Mgachi"/>
        <s v="Lameira"/>
        <s v="Medicine Hat"/>
        <s v="Yeniky"/>
        <s v="Peer"/>
        <s v="Belsovka"/>
        <s v="Houston"/>
        <s v="Hengdian"/>
        <s v="Shuigou"/>
        <s v="Xingxi"/>
        <s v="Dhbn"/>
        <s v="Chengguan"/>
        <s v="Paris 09"/>
        <s v="Rozhdestveno"/>
        <s v="Porangatu"/>
        <s v="Shalkar"/>
        <s v="Quimbaya"/>
        <s v="Narok"/>
        <s v="Gimcheon"/>
        <s v="Visaginas"/>
        <s v="Shostka"/>
        <s v="Pukekohe East"/>
        <s v="Blokdesa Situgede"/>
        <s v="Yueyang"/>
        <s v="Liutan"/>
        <s v="Huanggang"/>
        <s v="Baturit"/>
        <s v="Miaersi"/>
        <s v="Xuedian"/>
        <s v="Yuyapichis"/>
        <s v="Shiroishi"/>
        <s v="Kobe"/>
        <s v="Gulou"/>
        <s v="Jilin"/>
        <s v="Balboa"/>
        <s v="Cipari"/>
        <s v="Orlando"/>
        <s v="Torsby"/>
        <s v="San Pablo"/>
        <s v="Daszewice"/>
        <s v="Villa Concepcin Del To"/>
        <s v="Hacienda La Calera"/>
        <s v="Puerto Lpez"/>
        <s v="Xinchengzi"/>
        <s v="Tecpn Guatemala"/>
        <s v="Araci"/>
        <s v="Duyure"/>
        <s v="Huangni"/>
        <s v="Kuala Lumpur"/>
        <s v="Seleu"/>
        <s v="Monrovia"/>
        <s v="Kristinehamn"/>
        <s v="Huancabamba"/>
        <s v="San Jos Acatempa"/>
        <s v="Quebrada Canoa"/>
        <s v="Moate"/>
        <s v="Kubangwaru"/>
        <s v="Oe"/>
        <s v="Xinquan"/>
        <s v="Providence"/>
        <s v="Autun"/>
        <s v="Shilin"/>
        <s v="Paris 17"/>
        <s v="Stoczek Ukowski"/>
        <s v="Ormstown"/>
        <s v="Ponte"/>
        <s v="Boshkengash"/>
        <s v="Th"/>
        <s v="Rada"/>
        <s v="Sinarwangi"/>
        <s v="Dagup"/>
        <s v="Ek"/>
        <s v="Moju"/>
        <s v="Vأ­Lia"/>
        <s v="Prince Rupert"/>
        <s v="Jiangmen"/>
        <s v="Alung"/>
        <s v="Osorno"/>
        <s v="Labo"/>
        <s v="Dakingari"/>
        <s v="Selasari"/>
        <s v="Besko"/>
        <s v="Aubergenville"/>
        <s v="Sula"/>
        <s v="Valongo"/>
        <s v="Al Khnkah"/>
        <s v="Mrtola"/>
        <s v="Rates"/>
        <s v="Anyang"/>
        <s v="Nymburk"/>
        <s v="Tafo"/>
        <s v="Cibaregbeg"/>
        <s v="Wang Yang"/>
        <s v="Liangnong"/>
        <s v="Hengshi"/>
        <s v="Kandangan"/>
        <s v="Naranjal"/>
        <s v="Abiko"/>
        <s v="Longhuashan"/>
        <s v="Zhovkva"/>
        <s v="Lebak"/>
        <s v="Gereshk"/>
        <s v="Yonghe"/>
        <s v="Dabai"/>
        <s v="Moutnice"/>
        <s v="Qiryat Yam"/>
        <s v="Piran"/>
        <s v="Colima"/>
        <s v="Marshintsy"/>
        <s v="Halinw"/>
        <s v="Hallsberg"/>
        <s v="Celso Ramos"/>
        <s v="White River"/>
        <s v="Taishihe"/>
        <s v="Shanghu"/>
        <s v="Brandsen"/>
        <s v="Ranot"/>
        <s v="Saint-Jouan-Des-Gurets"/>
        <s v="Daan"/>
        <s v="Kisovec"/>
        <s v="Nbd"/>
        <s v="Dafeng"/>
        <s v="Campo Maior"/>
        <s v="Svedalen"/>
        <s v="Brikcha"/>
        <s v="Xidianzi"/>
        <s v="La Unin"/>
        <s v="Kliteh"/>
        <s v="Bja"/>
        <s v="Ferreira Do Alentejo"/>
        <s v="Gegernoong"/>
        <s v="La Montaأ±Ita"/>
        <s v="Sarishbri"/>
        <s v="Mangge"/>
        <s v="Chabaovice"/>
        <s v="Yangping"/>
        <s v="Berezna"/>
        <s v="Vidual"/>
        <s v="Hultsfred"/>
        <s v="Nأ­Kaia"/>
        <s v="Macayug"/>
        <s v="Mahanoro"/>
        <s v="Mozdok"/>
        <s v="Hoolt"/>
        <s v="San Luis"/>
        <s v="Pergan"/>
        <s v="Kanoni"/>
        <s v="Gromadka"/>
        <s v="Payapa"/>
        <s v="Rat Burana"/>
        <s v="Trhov Sviny"/>
        <s v="Kiev"/>
        <s v="Creteil"/>
        <s v="Lomintsevskiy"/>
        <s v="Monchegorsk"/>
        <s v="Olavarra"/>
        <s v="Jianshan"/>
        <s v="Shreveport"/>
        <s v="Pingzhuang"/>
        <s v="Merlo"/>
        <s v="Ziniar"/>
        <s v="Zduska Wola"/>
        <s v="Mount Ayliff"/>
        <s v="Prgaaj"/>
        <s v="Zbraslavice"/>
        <s v="Xilu"/>
        <s v="Bamut"/>
        <s v="La Tour-Du-Pin"/>
        <s v="Pader Palwo"/>
        <s v="Maurisu"/>
        <s v="Gorzyce"/>
        <s v="Qingyun"/>
        <s v="Jiuxian"/>
        <s v="Ndungu"/>
        <s v="Emiliano Zapata"/>
        <s v="Spasskoye"/>
        <s v="Giero"/>
        <s v="Sobue"/>
        <s v="High Point"/>
        <s v="Qiankeng"/>
        <s v="Pandean"/>
        <s v="Phongn"/>
        <s v="Mirw"/>
        <s v="Franceville"/>
        <s v="Bordeaux"/>
        <s v="Zamora"/>
        <s v="Jubaoshan"/>
        <s v="Shdegn"/>
        <s v="Gueltat Zemmour"/>
        <s v="Mosalask"/>
        <s v="Kokstad"/>
        <s v="Malasin"/>
        <s v="Huaqiu"/>
        <s v="Loket"/>
        <s v="Santa Maria Do Souto"/>
        <s v="Yanshang"/>
        <s v="Tempuran"/>
        <s v="Karafao"/>
        <s v="So Cristvo"/>
        <s v="Buensuseso"/>
        <s v="Blantyre"/>
        <s v="Kozelashchyna"/>
        <s v="Cibuah"/>
        <s v="Cockburn Town"/>
        <s v="Maslog"/>
        <s v="Faqqah"/>
        <s v="Yelyzavethradka"/>
        <s v="Jackson"/>
        <s v="Itagua"/>
        <s v="Fteli"/>
        <s v="Kiambu"/>
        <s v="Xibr-Murriz"/>
        <s v="Xudat"/>
        <s v="Yaodu"/>
        <s v="Saint-Gratien"/>
        <s v="Totora"/>
        <s v="Gteborg"/>
        <s v="Slav"/>
        <s v="Rudnogorsk"/>
        <s v="Pindiga"/>
        <s v="Adela"/>
        <s v="Krajan Baru"/>
        <s v="Jinqiao"/>
        <s v="Barge Mat"/>
        <s v="Argenteuil"/>
        <s v="Daying"/>
        <s v="Ngrejo"/>
        <s v="Xieba"/>
        <s v="Sigli"/>
        <s v="Aristbulo Del Valle"/>
        <s v="Cane"/>
        <s v="Podhum"/>
        <s v="Vilar"/>
        <s v="Portela"/>
        <s v="Arendal"/>
        <s v="Nabnagar"/>
        <s v="La Ravoire"/>
        <s v="Dostoyevka"/>
        <s v="Liuzhou"/>
        <s v="So Mateus Do Maranho"/>
        <s v="Rumbek"/>
        <s v="Cigedang"/>
        <s v="Muaralabuh"/>
        <s v="Chemiec"/>
        <s v="Santa Marta"/>
        <s v="Brnd"/>
        <s v="Liangshuihe"/>
        <s v="Cimara"/>
        <s v="Sanxing"/>
        <s v="Linao"/>
        <s v="Bairan"/>
        <s v="Abaetetuba"/>
        <s v="Pasirjaya"/>
        <s v="Acheng"/>
        <s v="Huakoulongtan"/>
        <s v="Burgastai"/>
        <s v="Chavarra"/>
        <s v="Demuk"/>
        <s v="Sertolovo"/>
        <s v="Jixian"/>
        <s v="Deqing"/>
        <s v="Sala"/>
        <s v="Dutw"/>
        <s v="Regimin"/>
        <s v="Semiletka"/>
        <s v="Dayr Sharaf"/>
        <s v="Adani"/>
        <s v="Rakhiv"/>
        <s v="Ma'An"/>
        <s v="Navoiy"/>
        <s v="Sishilichengzi"/>
        <s v="Tigaherang"/>
        <s v="Villa Dolores"/>
        <s v="Po"/>
        <s v="Shibushi"/>
        <s v="Tilburg"/>
        <s v="Ugra"/>
        <s v="Montreuil"/>
        <s v="Garibaldi"/>
        <s v="Tiang"/>
        <s v="Mouquim"/>
        <s v="Montecristi"/>
        <s v="Prince Albert"/>
        <s v="Zajeov"/>
        <s v="Liushun"/>
        <s v="Sancha"/>
        <s v="Damnoen Saduak"/>
        <s v="Cianorte"/>
        <s v="Liuzuo"/>
        <s v="Kshmar"/>
        <s v="Arad"/>
        <s v="Lenart V Slov. Goricah"/>
        <s v="Bigaa"/>
        <s v="Guadalupe"/>
        <s v="Xiaruyue"/>
        <s v="Gweedore"/>
        <s v="Przelewice"/>
        <s v="Dalumangcob"/>
        <s v="Cravo Norte"/>
        <s v="Montera"/>
        <s v="Mikuna"/>
        <s v="Samamiya"/>
        <s v="Tanahmerah"/>
        <s v="Rebro"/>
        <s v="Kefar Yona"/>
        <s v="Pasto"/>
        <s v="Huangtan"/>
        <s v="Ilainskiy"/>
        <s v="Ugljevik"/>
        <s v="Na Chaluai"/>
        <s v="Marolambo"/>
        <s v="Cali"/>
        <s v="Tamana"/>
        <s v="Miyazu"/>
        <s v="Gryfwlski"/>
        <s v="Pinagsibaan"/>
        <s v="Jardin"/>
        <s v="Aguilares"/>
        <s v="Muslyumovo"/>
        <s v="Taiyuan"/>
        <s v="Chatturat"/>
        <s v="Paisha"/>
        <s v="Kadugadung"/>
        <s v="Paris 15"/>
        <s v="Dualing"/>
        <s v="Adelaide"/>
        <s v="Pingshi"/>
        <s v="Renshan"/>
        <s v="Sobinka"/>
        <s v="Narol"/>
        <s v="Fresno"/>
        <s v="Vabalninkas"/>
        <s v="Jambuwerkrajan"/>
        <s v="Ozubulu"/>
        <s v="Nakhchivan"/>
        <s v="Curuman"/>
        <s v="Praia"/>
        <s v="Pallisa"/>
        <s v="San Pascual"/>
        <s v="Arah Ash Shamlyah"/>
        <s v="Dom Pedrito"/>
        <s v="San Sebastin De Yal"/>
        <s v="Shchkino"/>
        <s v="Turkestan"/>
        <s v="Rzeczenica"/>
        <s v="Perzw"/>
        <s v="Sabon Gari-Nangere"/>
        <s v="Hengshui"/>
        <s v="Nantes"/>
        <s v="Tamorot"/>
        <s v="Sinchao"/>
        <s v="Anding"/>
        <s v="Rukem"/>
        <s v="Bogovarovo"/>
        <s v="Valbo"/>
        <s v="Jaguaruana"/>
        <s v="Cqchah Khnah"/>
        <s v="Lipovci"/>
        <s v="Panagyurishte"/>
        <s v="Thl Tryn Than Uyn"/>
        <s v="Clichy"/>
        <s v="Koczew"/>
        <s v="Zhukovo"/>
        <s v="Nykping"/>
        <s v="Jianmin"/>
        <s v="Bucaramanga"/>
        <s v="Kudanding"/>
        <s v="Kyoto"/>
        <s v="Saraburi"/>
        <s v="Negeriagung"/>
        <s v="Latacunga"/>
        <s v="Guanzhou"/>
        <s v="Tabuc Pontevedra"/>
        <s v="Kabale"/>
        <s v="Malveira"/>
        <s v="Veiga"/>
        <s v="Jagistay"/>
        <s v="Yuannan"/>
        <s v="Mount Darwin"/>
        <s v="Qalaeh-Ye Khvjeh"/>
        <s v="Al Qarrah"/>
        <s v="Fandriana"/>
        <s v="Carregueira"/>
        <s v="Lincheng"/>
        <s v="Semenivka"/>
        <s v="Ylne"/>
        <s v="Cendagah"/>
        <s v="Frzbd"/>
        <s v="Trondheim"/>
        <s v="Yakovlevo"/>
        <s v="Katav-Ivanovsk"/>
        <s v="Voznesenskoye"/>
        <s v="Voskhod"/>
        <s v="Gudja"/>
        <s v="Gawul"/>
        <s v="Sobeok"/>
        <s v="Nanhuang"/>
        <s v="Tanudan"/>
        <s v="Jiaozuo"/>
        <s v="Takb"/>
        <s v="Gualeguay"/>
        <s v="Lagoa Seca"/>
        <s v="Bugarama"/>
        <s v="Dicamay"/>
        <s v="Xiluodu"/>
        <s v="Abbah"/>
        <s v="Lobuk"/>
        <s v="Waiwukak"/>
        <s v="Abaet"/>
        <s v="Xiaqiao"/>
        <s v="Zubbah"/>
        <s v="Ksowo"/>
        <s v="Colombo"/>
        <s v="Messأ­Ni"/>
        <s v="Yishui"/>
        <s v="Nanyaojie"/>
        <s v="Buzen"/>
        <s v="Bom Jesus Do Itabapoana"/>
        <s v="Centenario"/>
        <s v="Al Jzah"/>
        <s v="Thl Tryn Cm Thsy"/>
        <s v="Curahkalak Tengah"/>
        <s v="Ebu"/>
        <s v="To Pujio"/>
        <s v="Shaxi"/>
        <s v="Kelshd Va Sdarjn"/>
        <s v="Segodim"/>
        <s v="Yinying"/>
        <s v="Harembo"/>
        <s v="Lazarevac"/>
        <s v="Zhongcun"/>
        <s v="Gaopeng"/>
        <s v="Tabonok"/>
        <s v="Tirana"/>
        <s v="Maralal"/>
        <s v="Xinjiang"/>
        <s v="Mocho"/>
        <s v="Likhoy"/>
        <s v="Mineiros"/>
        <s v="Noisy-Le-Grand"/>
        <s v="Taoyuan"/>
        <s v="San Marcos De Coln"/>
        <s v="Pokrovka"/>
        <s v="Shuntian"/>
        <s v="Jo Cmara"/>
        <s v="Cunha"/>
        <s v="Fengyi"/>
        <s v="Myshkin"/>
        <s v="Tewulike"/>
        <s v="Bistrinci"/>
        <s v="Chenguang"/>
        <s v="Muara"/>
        <s v="Qorveh"/>
        <s v="Bom Despacho"/>
        <s v="Arhust"/>
        <s v="Thaton"/>
        <s v="Changbai"/>
        <s v="Kragan"/>
        <s v="Bida"/>
        <s v="Pointe Michel"/>
        <s v="Juyuan"/>
        <s v="Sabugo"/>
        <s v="Huangjin"/>
        <s v="Huquan"/>
        <s v="Xinqiao"/>
        <s v="Trzemeszno"/>
        <s v="Dashkawka"/>
        <s v="Sakura"/>
        <s v="Lianghu"/>
        <s v="Karabash"/>
        <s v="Maomiaoji"/>
        <s v="Pingtian"/>
        <s v="Tina"/>
        <s v="Montceau-Les-Mines"/>
        <s v="Karengan"/>
        <s v="Sungai Raya"/>
        <s v="Zwedru"/>
        <s v="Ah"/>
        <s v="Masaran"/>
        <s v="Huangtang"/>
        <s v="Skotari"/>
        <s v="Jelat"/>
        <s v="Doibang"/>
        <s v="Kazimierz Dolny"/>
        <s v="Margasari"/>
        <s v="Gara"/>
        <s v="Muff"/>
        <s v="Kryva Hora"/>
        <s v="Pyra"/>
        <s v="General Lavalle"/>
        <s v="Zhongzhang"/>
        <s v="Estacion"/>
        <s v="Xinglongchang"/>
        <s v="San Nicolas"/>
        <s v="Ropa"/>
        <s v="San Diego"/>
        <s v="Pan-An"/>
        <s v="Shu"/>
        <s v="Mojogajeh"/>
        <s v="Mawu"/>
        <s v="Genting"/>
        <s v="Madan"/>
        <s v="Hexiangqiao"/>
        <s v="Na Muen"/>
        <s v="Gafargaon"/>
        <s v="Qingban"/>
        <s v="Labge"/>
        <s v="Port Elizabeth"/>
        <s v="Sauri"/>
        <s v="Desakolot"/>
        <s v="Huambo"/>
        <s v="Luoting"/>
        <s v="Stepnogorsk"/>
        <s v="Zarechnyy"/>
        <s v="Banjar Medura"/>
        <s v="Arnprior"/>
        <s v="Donglu"/>
        <s v="Inderka"/>
        <s v="Tochio-Honch"/>
        <s v="Pasadena"/>
        <s v="Barishl"/>
        <s v="Kihurio"/>
        <s v="Oekero"/>
        <s v="Cluses"/>
        <s v="Wrzsowice"/>
        <s v="Hengfeng"/>
        <s v="Bor"/>
        <s v="Nawu"/>
        <s v="Longotea"/>
        <s v="Abl Al Jabr"/>
        <s v="Gueset"/>
        <s v="Lkak"/>
        <s v="Yuanguping"/>
        <s v="Coln"/>
        <s v="Lyon"/>
        <s v="Chamical"/>
        <s v="Gios Andras"/>
        <s v="Cibeusi"/>
        <s v="Itsandzni"/>
        <s v="Kosh-Agach"/>
        <s v="Kuafeu"/>
        <s v="Xincheng"/>
        <s v="Minneapolis"/>
        <s v="Pfki"/>
        <s v="Awall"/>
        <s v="Imielin"/>
        <s v="Przeworsk"/>
        <s v="Amsterdam Nieuw West"/>
        <s v="Klishkivtsi"/>
        <s v="Borova"/>
        <s v="Vendargues"/>
        <s v="Zilang"/>
        <s v="Camalote"/>
        <s v="Julayjilah"/>
        <s v="Badajoz"/>
        <s v="Fort Wayne"/>
        <s v="Galn"/>
        <s v="Saint Joseph"/>
        <s v="Hospitalet De Llobregatl"/>
        <s v="Palma De Mallorca"/>
        <s v="Pho Duc"/>
        <s v="Eba"/>
        <s v="Yaguaraparo"/>
        <s v="Novoorsk"/>
        <s v="Wuyang"/>
        <s v="Pelasgأa"/>
        <s v="Phc Th"/>
        <s v="Vsevolozhsk"/>
        <s v="Kara Suu"/>
        <s v="Beigucheng"/>
        <s v="Cerro"/>
        <s v="Yamaga"/>
        <s v="Sacramento"/>
        <s v="Foso"/>
        <s v="Nowe Brzesko"/>
        <s v="Konrak"/>
        <s v="Qingshandi"/>
        <s v="Mbala"/>
        <s v="Shiqiao"/>
        <s v="Yatsuomachi-Higashikumisaka"/>
        <s v="Czarna Dbrwka"/>
        <s v="Pasirmadang"/>
        <s v="Mao"/>
        <s v="Tiwi"/>
        <s v="Ahar"/>
        <s v="Dake"/>
        <s v="Harstad"/>
        <s v="Perbaungan"/>
        <s v="Soroti"/>
        <s v="Caruaru"/>
        <s v="Kamiennik"/>
        <s v="Boundiali"/>
        <s v="Gtene"/>
        <s v="Kadumelati"/>
        <s v="Amparo"/>
        <s v="Shimen"/>
        <s v="Philadelphia"/>
        <s v="Myingyan"/>
        <s v="Qingqu"/>
        <s v="Poste De Flacq"/>
        <s v="Phu Loc"/>
        <s v="Jembangan"/>
        <s v="Harhorin"/>
        <s v="Meijiang"/>
        <s v="Lagub"/>
        <s v="Bangbayang"/>
        <s v="Stboice"/>
        <s v="Banturkrajan"/>
        <s v="So Torcato"/>
        <s v="Kapan"/>
        <s v="Vfn Giang"/>
        <s v="Tanushimarumachi-Toyoki"/>
        <s v="Kazo"/>
        <s v="Rawa Mazowiecka"/>
        <s v="Wnsan"/>
        <s v="Villavicencio"/>
        <s v="Berlin"/>
        <s v="Wailang"/>
        <s v="Fangshan"/>
        <s v="Tallahassee"/>
        <s v="Anchorage"/>
        <s v="Mulhouse"/>
        <s v="Tangkilsari"/>
        <s v="San Carlos"/>
        <s v="Queluz"/>
        <s v="Srkisalo"/>
        <s v="Vitoria-Gasteiz"/>
        <s v="Coro"/>
        <s v="Purwa"/>
        <s v="Gvle"/>
        <s v="Embu Guaأ§U"/>
        <s v="Fubin"/>
        <s v="Talshand"/>
        <s v="Palampal"/>
        <s v="Kamأ،Rai"/>
        <s v="Ettelbruck"/>
        <s v="Cawayan"/>
        <s v="Don Carlos"/>
        <s v="Cervantes"/>
        <s v="Ebebiyin"/>
        <s v="Chuquitira"/>
        <s v="Proletarsk"/>
        <s v="Naghalin"/>
        <s v="Honolulu"/>
        <s v="Dhalie"/>
        <s v="Giesteira"/>
        <s v="Khilok"/>
        <s v="Vereshchagino"/>
        <s v="Binagadi"/>
        <s v="Tsuen Wan"/>
        <s v="Banjar Batanpoh"/>
        <s v="Yenakiyeve"/>
        <s v="San Ramon"/>
        <s v="Sakt"/>
        <s v="Pantenan"/>
        <s v="Antrukan"/>
        <s v="Dhahab"/>
        <s v="Vetluga"/>
        <s v="Wolfsberg"/>
        <s v="San Bautista"/>
        <s v="Reuleuet"/>
        <s v="Lonpao Dajah"/>
        <s v="Nanqiao"/>
        <s v="Ishikawa"/>
        <s v="Oguma"/>
        <s v="Tany"/>
        <s v="Aksha"/>
        <s v="Lahan Sai"/>
        <s v="Estncia"/>
        <s v="Las Lomas"/>
        <s v="Xiamayu"/>
        <s v="Iapari"/>
        <s v="Orsay"/>
        <s v="Zhongying"/>
        <s v="Bayn"/>
        <s v="Beizhakou"/>
        <s v="Kyngsng"/>
        <s v="Turinsk"/>
        <s v="As Sawd"/>
        <s v="Legaspi"/>
        <s v="Shimorskoye"/>
        <s v="Koإ›Cielec"/>
        <s v="Yongfu"/>
        <s v="Vinkkil"/>
        <s v="Revolucion Verde"/>
        <s v="Newton"/>
        <s v="Nantang"/>
        <s v="Perugia"/>
        <s v="Tancheng"/>
        <s v="Leon Postigo"/>
        <s v="Bollne"/>
        <s v="Baihe"/>
        <s v="Puqi"/>
        <s v="Pedraza"/>
        <s v="Pasinan Barat"/>
        <s v="Saltpond"/>
        <s v="Rende"/>
        <s v="Zarasai"/>
        <s v="Nanchangshan"/>
        <s v="Pegأµes"/>
        <s v="Esprito Santo Do Pinhal"/>
        <s v="Jezd"/>
        <s v="Bhadrapur"/>
        <s v="Kostrovo"/>
        <s v="Lemery"/>
        <s v="Youcheng"/>
        <s v="Napoli"/>
        <s v="El Cao"/>
        <s v="Heemstede"/>
        <s v="Panyam"/>
        <s v="Faraulep"/>
        <s v="San Isidro"/>
        <s v="Mranggen"/>
        <s v="Cigadog"/>
        <s v="Caitang"/>
        <s v="Masoyila"/>
        <s v="Beiyuan"/>
        <s v="Kariya"/>
        <s v="Malakhovka"/>
        <s v="At-Bashi"/>
        <s v="Sankeyushu"/>
        <s v="Limoges"/>
        <s v="Hgersten"/>
        <s v="Tarata"/>
        <s v="Marabahan"/>
        <s v="Eslmbd"/>
        <s v="Emar"/>
        <s v="Baisha"/>
        <s v="Skrzec"/>
        <s v="So Jo Dos Inhamuns"/>
        <s v="Tambaksari"/>
        <s v="Lazarat"/>
        <s v="Belene"/>
        <s v="Xiangshan"/>
        <s v="Zengfu"/>
        <s v="Tingsryd"/>
        <s v="Tipaz"/>
        <s v="W Das Salq"/>
        <s v="Wasagu"/>
        <s v="Wangsi"/>
        <s v="Esmeralda"/>
        <s v="Chivilcoy"/>
        <s v="So Miguel Do Araguaia"/>
        <s v="Libei"/>
        <s v="Kusov"/>
        <s v="Bokong Timur"/>
        <s v="Gaowu"/>
        <s v="Guret"/>
        <s v="Postekov"/>
        <s v="Gobojango"/>
        <s v="Tandahimba"/>
        <s v="Iwade"/>
        <s v="La Guata"/>
        <s v="Saint-Brieuc"/>
        <s v="Paya Dapur"/>
        <s v="Xinzha"/>
        <s v="Al Qah"/>
        <s v="Antipolo"/>
        <s v="Yuyangguan"/>
        <s v="Qiman"/>
        <s v="Maguwon"/>
        <s v="Tsibulev"/>
        <s v="San Antonio Aguas Calientes"/>
        <s v="Pombas"/>
        <s v="Kuaydinah"/>
        <s v="San Marcos"/>
        <s v="Chum Phae"/>
        <s v="La Laja"/>
        <s v="San Juan Del Cesar"/>
        <s v="Taiyigong"/>
        <s v="Govle"/>
        <s v="Tayabamba"/>
        <s v="Majennang"/>
        <s v="Njeru"/>
        <s v="Ambatolaona"/>
        <s v="Jianggang"/>
        <s v="Langkou"/>
        <s v="Horn­ Such"/>
        <s v="Haradok"/>
        <s v="Vichuga"/>
        <s v="Luci"/>
        <s v="Guolemude"/>
        <s v="Prengtale"/>
        <s v="Cabanas"/>
        <s v="Fabd"/>
        <s v="Sukumo"/>
        <s v="Fenglu"/>
        <s v="Tanjungbalai"/>
        <s v="Carrefour"/>
        <s v="Hejiang"/>
        <s v="Yaizu"/>
        <s v="Kemb"/>
        <s v="Novokayakent"/>
        <s v="Hekou"/>
        <s v="Bailadores"/>
        <s v="Masuda"/>
        <s v="Martanesh"/>
        <s v="Xinzhou"/>
        <s v="Nanfeng"/>
        <s v="Oke Ila"/>
        <s v="Rio Pardo"/>
        <s v="Pingtang"/>
        <s v="Podbrdo"/>
        <s v="Aramayuan"/>
        <s v="Paquera"/>
        <s v="Warudoyong"/>
        <s v="Bziers"/>
        <s v="Dongzhou"/>
      </sharedItems>
    </cacheField>
    <cacheField name="Column1" numFmtId="0">
      <sharedItems/>
    </cacheField>
    <cacheField name="Location2" numFmtId="0">
      <sharedItems/>
    </cacheField>
    <cacheField name="Purchase_Category" numFmtId="0">
      <sharedItems/>
    </cacheField>
    <cacheField name="Purchase_Amount" numFmtId="8">
      <sharedItems containsSemiMixedTypes="0" containsString="0" containsNumber="1" minValue="50.71" maxValue="498.33"/>
    </cacheField>
    <cacheField name="Frequency_of_Purchase" numFmtId="0">
      <sharedItems containsSemiMixedTypes="0" containsString="0" containsNumber="1" containsInteger="1" minValue="2" maxValue="12"/>
    </cacheField>
    <cacheField name="Purchase_Channel" numFmtId="0">
      <sharedItems/>
    </cacheField>
    <cacheField name="Brand_Loyalty" numFmtId="0">
      <sharedItems containsSemiMixedTypes="0" containsString="0" containsNumber="1" containsInteger="1" minValue="1" maxValue="5" count="5">
        <n v="5"/>
        <n v="3"/>
        <n v="2"/>
        <n v="1"/>
        <n v="4"/>
      </sharedItems>
    </cacheField>
    <cacheField name="Product_Rating" numFmtId="0">
      <sharedItems containsSemiMixedTypes="0" containsString="0" containsNumber="1" containsInteger="1" minValue="1" maxValue="5"/>
    </cacheField>
    <cacheField name="Time_Spent_on_Product_Research(hours)" numFmtId="0">
      <sharedItems containsSemiMixedTypes="0" containsString="0" containsNumber="1" minValue="0" maxValue="2"/>
    </cacheField>
    <cacheField name="Social_Media_Influence" numFmtId="0">
      <sharedItems/>
    </cacheField>
    <cacheField name="Discount_Sensitivity" numFmtId="0">
      <sharedItems/>
    </cacheField>
    <cacheField name="Return_Rate" numFmtId="0">
      <sharedItems containsSemiMixedTypes="0" containsString="0" containsNumber="1" containsInteger="1" minValue="0" maxValue="2"/>
    </cacheField>
    <cacheField name="Customer_Satisfaction" numFmtId="0">
      <sharedItems containsSemiMixedTypes="0" containsString="0" containsNumber="1" containsInteger="1" minValue="1" maxValue="10"/>
    </cacheField>
    <cacheField name="Engagement_with_Ads" numFmtId="0">
      <sharedItems/>
    </cacheField>
    <cacheField name="Device_Used_for_Shopping" numFmtId="0">
      <sharedItems/>
    </cacheField>
    <cacheField name="Payment_Method" numFmtId="0">
      <sharedItems/>
    </cacheField>
    <cacheField name="Time_of_Purchase" numFmtId="14">
      <sharedItems containsSemiMixedTypes="0" containsNonDate="0" containsDate="1" containsString="0" minDate="2024-01-01T00:00:00" maxDate="2024-12-31T00:00:00"/>
    </cacheField>
    <cacheField name="Discount_Used" numFmtId="0">
      <sharedItems/>
    </cacheField>
    <cacheField name="Customer_Loyalty_Program_Member" numFmtId="0">
      <sharedItems count="2">
        <b v="0"/>
        <b v="1"/>
      </sharedItems>
    </cacheField>
    <cacheField name="Purchase_Intent" numFmtId="0">
      <sharedItems/>
    </cacheField>
    <cacheField name="Shipping_Preference" numFmtId="0">
      <sharedItems/>
    </cacheField>
    <cacheField name="Time_to_Decision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s v="Evry"/>
    <s v="أ‰vry"/>
    <s v="Gardening &amp; Outdoors"/>
    <n v="333.8"/>
    <n v="4"/>
    <s v="Mixed"/>
    <x v="0"/>
    <n v="5"/>
    <n v="2"/>
    <s v="None"/>
    <s v="Somewhat Sensitive"/>
    <n v="1"/>
    <n v="7"/>
    <s v="None"/>
    <s v="Tablet"/>
    <s v="Credit Card"/>
    <d v="2024-03-01T00:00:00"/>
    <b v="1"/>
    <x v="0"/>
    <s v="Need-based"/>
    <s v="No Preference"/>
    <n v="2"/>
  </r>
  <r>
    <x v="1"/>
    <x v="1"/>
    <x v="1"/>
    <x v="1"/>
    <x v="1"/>
    <x v="1"/>
    <x v="0"/>
    <x v="1"/>
    <x v="1"/>
    <x v="1"/>
    <s v="Huocheng"/>
    <s v="Huocheng"/>
    <s v="Food &amp; Beverages"/>
    <n v="222.22"/>
    <n v="11"/>
    <s v="In-Store"/>
    <x v="1"/>
    <n v="1"/>
    <n v="2"/>
    <s v="Medium"/>
    <s v="Not Sensitive"/>
    <n v="1"/>
    <n v="5"/>
    <s v="High"/>
    <s v="Tablet"/>
    <s v="PayPal"/>
    <d v="2024-04-16T00:00:00"/>
    <b v="1"/>
    <x v="0"/>
    <s v="Wants-based"/>
    <s v="Standard"/>
    <n v="6"/>
  </r>
  <r>
    <x v="2"/>
    <x v="2"/>
    <x v="2"/>
    <x v="0"/>
    <x v="0"/>
    <x v="0"/>
    <x v="1"/>
    <x v="2"/>
    <x v="1"/>
    <x v="2"/>
    <s v="Huzhen"/>
    <s v="Huzhen"/>
    <s v="Office Supplies"/>
    <n v="426.22"/>
    <n v="2"/>
    <s v="Mixed"/>
    <x v="0"/>
    <n v="5"/>
    <n v="0.3"/>
    <s v="Low"/>
    <s v="Not Sensitive"/>
    <n v="1"/>
    <n v="7"/>
    <s v="Low"/>
    <s v="Smartphone"/>
    <s v="Debit Card"/>
    <d v="2024-03-15T00:00:00"/>
    <b v="1"/>
    <x v="1"/>
    <s v="Impulsive"/>
    <s v="No Preference"/>
    <n v="3"/>
  </r>
  <r>
    <x v="3"/>
    <x v="3"/>
    <x v="3"/>
    <x v="0"/>
    <x v="0"/>
    <x v="0"/>
    <x v="1"/>
    <x v="2"/>
    <x v="0"/>
    <x v="3"/>
    <s v="Wiwil"/>
    <s v="Wiwilأ­"/>
    <s v="Home Appliances"/>
    <n v="101.31"/>
    <n v="6"/>
    <s v="Mixed"/>
    <x v="1"/>
    <n v="1"/>
    <n v="1"/>
    <s v="High"/>
    <s v="Somewhat Sensitive"/>
    <n v="0"/>
    <n v="1"/>
    <s v="None"/>
    <s v="Smartphone"/>
    <s v="Other"/>
    <d v="2024-10-04T00:00:00"/>
    <b v="1"/>
    <x v="1"/>
    <s v="Need-based"/>
    <s v="Express"/>
    <n v="10"/>
  </r>
  <r>
    <x v="4"/>
    <x v="4"/>
    <x v="4"/>
    <x v="0"/>
    <x v="0"/>
    <x v="0"/>
    <x v="2"/>
    <x v="1"/>
    <x v="0"/>
    <x v="4"/>
    <s v="Nara"/>
    <s v="Nara"/>
    <s v="Furniture"/>
    <n v="211.7"/>
    <n v="6"/>
    <s v="Mixed"/>
    <x v="1"/>
    <n v="4"/>
    <n v="0"/>
    <s v="Medium"/>
    <s v="Not Sensitive"/>
    <n v="2"/>
    <n v="10"/>
    <s v="None"/>
    <s v="Smartphone"/>
    <s v="Debit Card"/>
    <d v="2024-01-30T00:00:00"/>
    <b v="0"/>
    <x v="0"/>
    <s v="Wants-based"/>
    <s v="No Preference"/>
    <n v="4"/>
  </r>
  <r>
    <x v="5"/>
    <x v="5"/>
    <x v="5"/>
    <x v="1"/>
    <x v="1"/>
    <x v="0"/>
    <x v="0"/>
    <x v="2"/>
    <x v="1"/>
    <x v="5"/>
    <s v="Boro Utara"/>
    <s v="Boro Utara"/>
    <s v="Office Supplies"/>
    <n v="487.95"/>
    <n v="8"/>
    <s v="Mixed"/>
    <x v="1"/>
    <n v="3"/>
    <n v="0"/>
    <s v="High"/>
    <s v="Not Sensitive"/>
    <n v="2"/>
    <n v="3"/>
    <s v="None"/>
    <s v="Tablet"/>
    <s v="Debit Card"/>
    <d v="2024-03-19T00:00:00"/>
    <b v="0"/>
    <x v="0"/>
    <s v="Planned"/>
    <s v="No Preference"/>
    <n v="7"/>
  </r>
  <r>
    <x v="6"/>
    <x v="6"/>
    <x v="6"/>
    <x v="0"/>
    <x v="0"/>
    <x v="0"/>
    <x v="3"/>
    <x v="1"/>
    <x v="0"/>
    <x v="6"/>
    <s v="Liren"/>
    <s v="Liren"/>
    <s v="Furniture"/>
    <n v="486.4"/>
    <n v="12"/>
    <s v="Online"/>
    <x v="2"/>
    <n v="5"/>
    <n v="1"/>
    <s v="High"/>
    <s v="Somewhat Sensitive"/>
    <n v="0"/>
    <n v="9"/>
    <s v="Low"/>
    <s v="Desktop"/>
    <s v="Debit Card"/>
    <d v="2024-03-15T00:00:00"/>
    <b v="1"/>
    <x v="0"/>
    <s v="Need-based"/>
    <s v="Express"/>
    <n v="13"/>
  </r>
  <r>
    <x v="7"/>
    <x v="7"/>
    <x v="7"/>
    <x v="1"/>
    <x v="1"/>
    <x v="0"/>
    <x v="1"/>
    <x v="1"/>
    <x v="0"/>
    <x v="7"/>
    <s v="Taocheng"/>
    <s v="Taocheng"/>
    <s v="Books"/>
    <n v="218.06"/>
    <n v="6"/>
    <s v="Online"/>
    <x v="0"/>
    <n v="4"/>
    <n v="1"/>
    <s v="Low"/>
    <s v="Somewhat Sensitive"/>
    <n v="2"/>
    <n v="9"/>
    <s v="None"/>
    <s v="Desktop"/>
    <s v="Credit Card"/>
    <d v="2024-03-17T00:00:00"/>
    <b v="0"/>
    <x v="1"/>
    <s v="Impulsive"/>
    <s v="No Preference"/>
    <n v="13"/>
  </r>
  <r>
    <x v="8"/>
    <x v="8"/>
    <x v="2"/>
    <x v="0"/>
    <x v="0"/>
    <x v="1"/>
    <x v="3"/>
    <x v="2"/>
    <x v="0"/>
    <x v="8"/>
    <s v="Grabo"/>
    <s v="Grأ¥bo"/>
    <s v="Office Supplies"/>
    <n v="201.96"/>
    <n v="8"/>
    <s v="In-Store"/>
    <x v="1"/>
    <n v="5"/>
    <n v="0"/>
    <s v="Low"/>
    <s v="Very Sensitive"/>
    <n v="1"/>
    <n v="2"/>
    <s v="High"/>
    <s v="Desktop"/>
    <s v="Cash"/>
    <d v="2024-06-10T00:00:00"/>
    <b v="0"/>
    <x v="0"/>
    <s v="Need-based"/>
    <s v="Standard"/>
    <n v="7"/>
  </r>
  <r>
    <x v="9"/>
    <x v="9"/>
    <x v="8"/>
    <x v="2"/>
    <x v="2"/>
    <x v="1"/>
    <x v="0"/>
    <x v="0"/>
    <x v="1"/>
    <x v="9"/>
    <s v="Pryamitsyno"/>
    <s v="Pryamitsyno"/>
    <s v="Sports &amp; Outdoors"/>
    <n v="418.83"/>
    <n v="7"/>
    <s v="Online"/>
    <x v="2"/>
    <n v="5"/>
    <n v="1"/>
    <s v="None"/>
    <s v="Somewhat Sensitive"/>
    <n v="1"/>
    <n v="5"/>
    <s v="Medium"/>
    <s v="Tablet"/>
    <s v="PayPal"/>
    <d v="2024-10-07T00:00:00"/>
    <b v="1"/>
    <x v="0"/>
    <s v="Need-based"/>
    <s v="No Preference"/>
    <n v="13"/>
  </r>
  <r>
    <x v="10"/>
    <x v="10"/>
    <x v="4"/>
    <x v="1"/>
    <x v="1"/>
    <x v="0"/>
    <x v="3"/>
    <x v="0"/>
    <x v="0"/>
    <x v="10"/>
    <s v="Punta Gorda"/>
    <s v="Punta Gorda"/>
    <s v="Mobile Accessories"/>
    <n v="389.7"/>
    <n v="12"/>
    <s v="In-Store"/>
    <x v="3"/>
    <n v="4"/>
    <n v="0.5"/>
    <s v="Low"/>
    <s v="Not Sensitive"/>
    <n v="0"/>
    <n v="4"/>
    <s v="High"/>
    <s v="Desktop"/>
    <s v="PayPal"/>
    <d v="2024-07-02T00:00:00"/>
    <b v="1"/>
    <x v="0"/>
    <s v="Planned"/>
    <s v="Express"/>
    <n v="12"/>
  </r>
  <r>
    <x v="11"/>
    <x v="11"/>
    <x v="9"/>
    <x v="0"/>
    <x v="0"/>
    <x v="1"/>
    <x v="2"/>
    <x v="0"/>
    <x v="0"/>
    <x v="11"/>
    <s v="Gyor"/>
    <s v="Gyإ‘r"/>
    <s v="Sports &amp; Outdoors"/>
    <n v="238.93"/>
    <n v="5"/>
    <s v="Online"/>
    <x v="4"/>
    <n v="3"/>
    <n v="1"/>
    <s v="Medium"/>
    <s v="Very Sensitive"/>
    <n v="0"/>
    <n v="10"/>
    <s v="High"/>
    <s v="Tablet"/>
    <s v="Cash"/>
    <d v="2024-12-27T00:00:00"/>
    <b v="1"/>
    <x v="0"/>
    <s v="Planned"/>
    <s v="No Preference"/>
    <n v="1"/>
  </r>
  <r>
    <x v="12"/>
    <x v="12"/>
    <x v="10"/>
    <x v="1"/>
    <x v="1"/>
    <x v="0"/>
    <x v="1"/>
    <x v="0"/>
    <x v="1"/>
    <x v="12"/>
    <s v="Gaosheng"/>
    <s v="Gaosheng"/>
    <s v="Luxury Goods"/>
    <n v="61.22"/>
    <n v="7"/>
    <s v="In-Store"/>
    <x v="0"/>
    <n v="2"/>
    <n v="2"/>
    <s v="Low"/>
    <s v="Very Sensitive"/>
    <n v="1"/>
    <n v="7"/>
    <s v="High"/>
    <s v="Desktop"/>
    <s v="Debit Card"/>
    <d v="2024-08-05T00:00:00"/>
    <b v="1"/>
    <x v="1"/>
    <s v="Need-based"/>
    <s v="No Preference"/>
    <n v="5"/>
  </r>
  <r>
    <x v="13"/>
    <x v="13"/>
    <x v="11"/>
    <x v="1"/>
    <x v="1"/>
    <x v="1"/>
    <x v="0"/>
    <x v="1"/>
    <x v="0"/>
    <x v="13"/>
    <s v="Rokytne"/>
    <s v="Rokytne"/>
    <s v="Animal Feed"/>
    <n v="79.81"/>
    <n v="4"/>
    <s v="Mixed"/>
    <x v="0"/>
    <n v="5"/>
    <n v="0"/>
    <s v="High"/>
    <s v="Not Sensitive"/>
    <n v="0"/>
    <n v="9"/>
    <s v="High"/>
    <s v="Smartphone"/>
    <s v="Debit Card"/>
    <d v="2024-07-16T00:00:00"/>
    <b v="0"/>
    <x v="1"/>
    <s v="Wants-based"/>
    <s v="Standard"/>
    <n v="14"/>
  </r>
  <r>
    <x v="14"/>
    <x v="14"/>
    <x v="12"/>
    <x v="0"/>
    <x v="0"/>
    <x v="1"/>
    <x v="2"/>
    <x v="1"/>
    <x v="1"/>
    <x v="14"/>
    <s v="Alameda"/>
    <s v="Alameda"/>
    <s v="Health Care"/>
    <n v="58.51"/>
    <n v="2"/>
    <s v="Online"/>
    <x v="4"/>
    <n v="4"/>
    <n v="0.5"/>
    <s v="None"/>
    <s v="Not Sensitive"/>
    <n v="0"/>
    <n v="4"/>
    <s v="Medium"/>
    <s v="Desktop"/>
    <s v="PayPal"/>
    <d v="2024-12-14T00:00:00"/>
    <b v="1"/>
    <x v="1"/>
    <s v="Planned"/>
    <s v="No Preference"/>
    <n v="14"/>
  </r>
  <r>
    <x v="15"/>
    <x v="15"/>
    <x v="13"/>
    <x v="1"/>
    <x v="1"/>
    <x v="1"/>
    <x v="3"/>
    <x v="2"/>
    <x v="1"/>
    <x v="15"/>
    <s v="Dhankuta"/>
    <s v="Dhankutؤپ"/>
    <s v="Hotels"/>
    <n v="109.29"/>
    <n v="3"/>
    <s v="Online"/>
    <x v="1"/>
    <n v="4"/>
    <n v="0"/>
    <s v="Medium"/>
    <s v="Somewhat Sensitive"/>
    <n v="2"/>
    <n v="2"/>
    <s v="High"/>
    <s v="Desktop"/>
    <s v="Debit Card"/>
    <d v="2024-08-11T00:00:00"/>
    <b v="0"/>
    <x v="1"/>
    <s v="Wants-based"/>
    <s v="Express"/>
    <n v="11"/>
  </r>
  <r>
    <x v="16"/>
    <x v="16"/>
    <x v="14"/>
    <x v="1"/>
    <x v="1"/>
    <x v="1"/>
    <x v="1"/>
    <x v="0"/>
    <x v="1"/>
    <x v="16"/>
    <s v="Jindong"/>
    <s v="Jindong"/>
    <s v="Furniture"/>
    <n v="356.45"/>
    <n v="6"/>
    <s v="Mixed"/>
    <x v="0"/>
    <n v="5"/>
    <n v="2"/>
    <s v="Low"/>
    <s v="Very Sensitive"/>
    <n v="0"/>
    <n v="7"/>
    <s v="Medium"/>
    <s v="Smartphone"/>
    <s v="Credit Card"/>
    <d v="2024-10-18T00:00:00"/>
    <b v="0"/>
    <x v="1"/>
    <s v="Planned"/>
    <s v="Standard"/>
    <n v="8"/>
  </r>
  <r>
    <x v="17"/>
    <x v="17"/>
    <x v="9"/>
    <x v="0"/>
    <x v="0"/>
    <x v="0"/>
    <x v="3"/>
    <x v="0"/>
    <x v="1"/>
    <x v="17"/>
    <s v="Ngeru"/>
    <s v="Ngeru"/>
    <s v="Mobile Accessories"/>
    <n v="236.99"/>
    <n v="10"/>
    <s v="Mixed"/>
    <x v="2"/>
    <n v="4"/>
    <n v="0"/>
    <s v="High"/>
    <s v="Very Sensitive"/>
    <n v="0"/>
    <n v="8"/>
    <s v="None"/>
    <s v="Tablet"/>
    <s v="PayPal"/>
    <d v="2024-12-09T00:00:00"/>
    <b v="1"/>
    <x v="1"/>
    <s v="Impulsive"/>
    <s v="No Preference"/>
    <n v="13"/>
  </r>
  <r>
    <x v="18"/>
    <x v="18"/>
    <x v="15"/>
    <x v="1"/>
    <x v="1"/>
    <x v="0"/>
    <x v="2"/>
    <x v="0"/>
    <x v="1"/>
    <x v="18"/>
    <s v="White Rock"/>
    <s v="White Rock"/>
    <s v="Packages)"/>
    <n v="454.39"/>
    <n v="10"/>
    <s v="In-Store"/>
    <x v="2"/>
    <n v="4"/>
    <n v="2"/>
    <s v="Medium"/>
    <s v="Not Sensitive"/>
    <n v="0"/>
    <n v="3"/>
    <s v="None"/>
    <s v="Desktop"/>
    <s v="Other"/>
    <d v="2024-07-23T00:00:00"/>
    <b v="0"/>
    <x v="1"/>
    <s v="Impulsive"/>
    <s v="Standard"/>
    <n v="3"/>
  </r>
  <r>
    <x v="19"/>
    <x v="19"/>
    <x v="3"/>
    <x v="0"/>
    <x v="0"/>
    <x v="1"/>
    <x v="2"/>
    <x v="0"/>
    <x v="0"/>
    <x v="19"/>
    <s v="Monastyrshchina"/>
    <s v="Monastyrshchina"/>
    <s v="Electronics"/>
    <n v="490.75"/>
    <n v="10"/>
    <s v="In-Store"/>
    <x v="2"/>
    <n v="4"/>
    <n v="1"/>
    <s v="None"/>
    <s v="Very Sensitive"/>
    <n v="1"/>
    <n v="4"/>
    <s v="Low"/>
    <s v="Smartphone"/>
    <s v="Debit Card"/>
    <d v="2024-07-08T00:00:00"/>
    <b v="0"/>
    <x v="0"/>
    <s v="Wants-based"/>
    <s v="Standard"/>
    <n v="13"/>
  </r>
  <r>
    <x v="20"/>
    <x v="20"/>
    <x v="6"/>
    <x v="0"/>
    <x v="0"/>
    <x v="0"/>
    <x v="2"/>
    <x v="1"/>
    <x v="0"/>
    <x v="20"/>
    <s v="Pangkalanbunut"/>
    <s v="Pangkalanbunut"/>
    <s v="Software &amp; Apps"/>
    <n v="463.07"/>
    <n v="7"/>
    <s v="Mixed"/>
    <x v="4"/>
    <n v="2"/>
    <n v="0"/>
    <s v="None"/>
    <s v="Very Sensitive"/>
    <n v="1"/>
    <n v="2"/>
    <s v="Medium"/>
    <s v="Smartphone"/>
    <s v="PayPal"/>
    <d v="2024-07-23T00:00:00"/>
    <b v="1"/>
    <x v="0"/>
    <s v="Wants-based"/>
    <s v="No Preference"/>
    <n v="11"/>
  </r>
  <r>
    <x v="21"/>
    <x v="21"/>
    <x v="15"/>
    <x v="0"/>
    <x v="0"/>
    <x v="1"/>
    <x v="0"/>
    <x v="2"/>
    <x v="1"/>
    <x v="21"/>
    <s v="Lederaba"/>
    <s v="Lederaba"/>
    <s v="Baby Products"/>
    <n v="56.74"/>
    <n v="5"/>
    <s v="Online"/>
    <x v="0"/>
    <n v="1"/>
    <n v="0"/>
    <s v="Medium"/>
    <s v="Very Sensitive"/>
    <n v="0"/>
    <n v="6"/>
    <s v="None"/>
    <s v="Smartphone"/>
    <s v="Other"/>
    <d v="2024-07-31T00:00:00"/>
    <b v="1"/>
    <x v="0"/>
    <s v="Impulsive"/>
    <s v="Express"/>
    <n v="7"/>
  </r>
  <r>
    <x v="22"/>
    <x v="22"/>
    <x v="9"/>
    <x v="1"/>
    <x v="1"/>
    <x v="1"/>
    <x v="3"/>
    <x v="0"/>
    <x v="0"/>
    <x v="22"/>
    <s v="Lugo"/>
    <s v="Lugo"/>
    <s v="Toys &amp; Games"/>
    <n v="371.32"/>
    <n v="7"/>
    <s v="In-Store"/>
    <x v="4"/>
    <n v="4"/>
    <n v="0.7"/>
    <s v="Medium"/>
    <s v="Not Sensitive"/>
    <n v="2"/>
    <n v="1"/>
    <s v="None"/>
    <s v="Tablet"/>
    <s v="Debit Card"/>
    <d v="2024-02-25T00:00:00"/>
    <b v="1"/>
    <x v="1"/>
    <s v="Impulsive"/>
    <s v="Standard"/>
    <n v="6"/>
  </r>
  <r>
    <x v="23"/>
    <x v="23"/>
    <x v="14"/>
    <x v="0"/>
    <x v="0"/>
    <x v="0"/>
    <x v="1"/>
    <x v="0"/>
    <x v="0"/>
    <x v="23"/>
    <s v="So Roque"/>
    <s v="Sأ£o Roque"/>
    <s v="Software &amp; Apps"/>
    <n v="461"/>
    <n v="7"/>
    <s v="Online"/>
    <x v="2"/>
    <n v="4"/>
    <n v="1"/>
    <s v="High"/>
    <s v="Not Sensitive"/>
    <n v="0"/>
    <n v="8"/>
    <s v="Low"/>
    <s v="Tablet"/>
    <s v="Cash"/>
    <d v="2024-07-10T00:00:00"/>
    <b v="0"/>
    <x v="1"/>
    <s v="Wants-based"/>
    <s v="Standard"/>
    <n v="9"/>
  </r>
  <r>
    <x v="24"/>
    <x v="24"/>
    <x v="4"/>
    <x v="0"/>
    <x v="0"/>
    <x v="1"/>
    <x v="0"/>
    <x v="0"/>
    <x v="1"/>
    <x v="24"/>
    <s v="Bani Khaddash"/>
    <s v="Banؤ« Khaddؤپsh"/>
    <s v="Food &amp; Beverages"/>
    <n v="253.37"/>
    <n v="6"/>
    <s v="In-Store"/>
    <x v="4"/>
    <n v="1"/>
    <n v="1"/>
    <s v="None"/>
    <s v="Very Sensitive"/>
    <n v="2"/>
    <n v="10"/>
    <s v="High"/>
    <s v="Tablet"/>
    <s v="Other"/>
    <d v="2024-12-25T00:00:00"/>
    <b v="1"/>
    <x v="0"/>
    <s v="Impulsive"/>
    <s v="Standard"/>
    <n v="8"/>
  </r>
  <r>
    <x v="25"/>
    <x v="25"/>
    <x v="14"/>
    <x v="1"/>
    <x v="1"/>
    <x v="1"/>
    <x v="2"/>
    <x v="1"/>
    <x v="1"/>
    <x v="25"/>
    <s v="Montpellier"/>
    <s v="Montpellier"/>
    <s v="Packages)"/>
    <n v="136.53"/>
    <n v="3"/>
    <s v="Mixed"/>
    <x v="2"/>
    <n v="4"/>
    <n v="2"/>
    <s v="High"/>
    <s v="Not Sensitive"/>
    <n v="1"/>
    <n v="3"/>
    <s v="High"/>
    <s v="Smartphone"/>
    <s v="PayPal"/>
    <d v="2024-05-31T00:00:00"/>
    <b v="1"/>
    <x v="1"/>
    <s v="Planned"/>
    <s v="Standard"/>
    <n v="10"/>
  </r>
  <r>
    <x v="26"/>
    <x v="26"/>
    <x v="16"/>
    <x v="0"/>
    <x v="0"/>
    <x v="0"/>
    <x v="1"/>
    <x v="2"/>
    <x v="0"/>
    <x v="26"/>
    <s v="Nesovice"/>
    <s v="Nesovice"/>
    <s v="Arts &amp; Crafts"/>
    <n v="489.05"/>
    <n v="10"/>
    <s v="Online"/>
    <x v="0"/>
    <n v="3"/>
    <n v="0"/>
    <s v="High"/>
    <s v="Somewhat Sensitive"/>
    <n v="2"/>
    <n v="2"/>
    <s v="High"/>
    <s v="Desktop"/>
    <s v="PayPal"/>
    <d v="2024-09-04T00:00:00"/>
    <b v="1"/>
    <x v="1"/>
    <s v="Planned"/>
    <s v="Standard"/>
    <n v="7"/>
  </r>
  <r>
    <x v="27"/>
    <x v="27"/>
    <x v="17"/>
    <x v="1"/>
    <x v="1"/>
    <x v="1"/>
    <x v="1"/>
    <x v="2"/>
    <x v="1"/>
    <x v="27"/>
    <s v="Pasirhuni"/>
    <s v="Pasirhuni"/>
    <s v="Electronics"/>
    <n v="81.91"/>
    <n v="10"/>
    <s v="In-Store"/>
    <x v="1"/>
    <n v="4"/>
    <n v="1"/>
    <s v="Medium"/>
    <s v="Very Sensitive"/>
    <n v="0"/>
    <n v="4"/>
    <s v="None"/>
    <s v="Desktop"/>
    <s v="Debit Card"/>
    <d v="2024-07-24T00:00:00"/>
    <b v="0"/>
    <x v="1"/>
    <s v="Need-based"/>
    <s v="Express"/>
    <n v="2"/>
  </r>
  <r>
    <x v="28"/>
    <x v="28"/>
    <x v="17"/>
    <x v="1"/>
    <x v="1"/>
    <x v="0"/>
    <x v="0"/>
    <x v="0"/>
    <x v="0"/>
    <x v="28"/>
    <s v="Glendale"/>
    <s v="Glendale"/>
    <s v="Arts &amp; Crafts"/>
    <n v="135.80000000000001"/>
    <n v="2"/>
    <s v="In-Store"/>
    <x v="2"/>
    <n v="5"/>
    <n v="1"/>
    <s v="Low"/>
    <s v="Somewhat Sensitive"/>
    <n v="1"/>
    <n v="2"/>
    <s v="High"/>
    <s v="Desktop"/>
    <s v="Debit Card"/>
    <d v="2024-11-16T00:00:00"/>
    <b v="0"/>
    <x v="1"/>
    <s v="Planned"/>
    <s v="No Preference"/>
    <n v="9"/>
  </r>
  <r>
    <x v="29"/>
    <x v="29"/>
    <x v="5"/>
    <x v="0"/>
    <x v="0"/>
    <x v="0"/>
    <x v="2"/>
    <x v="1"/>
    <x v="0"/>
    <x v="29"/>
    <s v="Tla"/>
    <s v="Tأ،la"/>
    <s v="Health Supplements"/>
    <n v="382.24"/>
    <n v="12"/>
    <s v="In-Store"/>
    <x v="3"/>
    <n v="5"/>
    <n v="1"/>
    <s v="High"/>
    <s v="Very Sensitive"/>
    <n v="1"/>
    <n v="4"/>
    <s v="High"/>
    <s v="Tablet"/>
    <s v="PayPal"/>
    <d v="2024-07-06T00:00:00"/>
    <b v="1"/>
    <x v="1"/>
    <s v="Planned"/>
    <s v="Standard"/>
    <n v="3"/>
  </r>
  <r>
    <x v="30"/>
    <x v="30"/>
    <x v="4"/>
    <x v="0"/>
    <x v="0"/>
    <x v="1"/>
    <x v="0"/>
    <x v="0"/>
    <x v="0"/>
    <x v="30"/>
    <s v="Marseille"/>
    <s v="Marseille"/>
    <s v="Gardening &amp; Outdoors"/>
    <n v="354.7"/>
    <n v="5"/>
    <s v="Online"/>
    <x v="4"/>
    <n v="2"/>
    <n v="0"/>
    <s v="None"/>
    <s v="Very Sensitive"/>
    <n v="2"/>
    <n v="7"/>
    <s v="None"/>
    <s v="Smartphone"/>
    <s v="Other"/>
    <d v="2024-02-10T00:00:00"/>
    <b v="1"/>
    <x v="0"/>
    <s v="Planned"/>
    <s v="Express"/>
    <n v="12"/>
  </r>
  <r>
    <x v="31"/>
    <x v="31"/>
    <x v="2"/>
    <x v="1"/>
    <x v="1"/>
    <x v="1"/>
    <x v="3"/>
    <x v="0"/>
    <x v="1"/>
    <x v="31"/>
    <s v="Nasielsk"/>
    <s v="Nasielsk"/>
    <s v="Mobile Accessories"/>
    <n v="433.82"/>
    <n v="6"/>
    <s v="Online"/>
    <x v="1"/>
    <n v="2"/>
    <n v="1"/>
    <s v="Medium"/>
    <s v="Somewhat Sensitive"/>
    <n v="0"/>
    <n v="8"/>
    <s v="Medium"/>
    <s v="Desktop"/>
    <s v="Other"/>
    <d v="2024-06-29T00:00:00"/>
    <b v="0"/>
    <x v="1"/>
    <s v="Planned"/>
    <s v="Express"/>
    <n v="10"/>
  </r>
  <r>
    <x v="32"/>
    <x v="32"/>
    <x v="7"/>
    <x v="2"/>
    <x v="3"/>
    <x v="1"/>
    <x v="0"/>
    <x v="0"/>
    <x v="0"/>
    <x v="32"/>
    <s v="Paris 06"/>
    <s v="Paris 06"/>
    <s v="Mobile Accessories"/>
    <n v="282.13"/>
    <n v="5"/>
    <s v="Mixed"/>
    <x v="4"/>
    <n v="5"/>
    <n v="1"/>
    <s v="None"/>
    <s v="Somewhat Sensitive"/>
    <n v="1"/>
    <n v="2"/>
    <s v="None"/>
    <s v="Tablet"/>
    <s v="Other"/>
    <d v="2024-01-26T00:00:00"/>
    <b v="1"/>
    <x v="0"/>
    <s v="Need-based"/>
    <s v="Standard"/>
    <n v="9"/>
  </r>
  <r>
    <x v="33"/>
    <x v="33"/>
    <x v="18"/>
    <x v="1"/>
    <x v="1"/>
    <x v="1"/>
    <x v="2"/>
    <x v="1"/>
    <x v="0"/>
    <x v="33"/>
    <s v="Bronnitsy"/>
    <s v="Bronnitsy"/>
    <s v="Mobile Accessories"/>
    <n v="454.38"/>
    <n v="10"/>
    <s v="Online"/>
    <x v="1"/>
    <n v="4"/>
    <n v="0"/>
    <s v="None"/>
    <s v="Somewhat Sensitive"/>
    <n v="0"/>
    <n v="10"/>
    <s v="Medium"/>
    <s v="Smartphone"/>
    <s v="PayPal"/>
    <d v="2024-06-15T00:00:00"/>
    <b v="1"/>
    <x v="0"/>
    <s v="Impulsive"/>
    <s v="No Preference"/>
    <n v="7"/>
  </r>
  <r>
    <x v="34"/>
    <x v="34"/>
    <x v="8"/>
    <x v="1"/>
    <x v="1"/>
    <x v="0"/>
    <x v="0"/>
    <x v="1"/>
    <x v="1"/>
    <x v="34"/>
    <s v="Inayauan"/>
    <s v="Inayauan"/>
    <s v="Mobile Accessories"/>
    <n v="138.88"/>
    <n v="7"/>
    <s v="In-Store"/>
    <x v="2"/>
    <n v="4"/>
    <n v="1"/>
    <s v="None"/>
    <s v="Not Sensitive"/>
    <n v="1"/>
    <n v="3"/>
    <s v="None"/>
    <s v="Tablet"/>
    <s v="Cash"/>
    <d v="2024-06-08T00:00:00"/>
    <b v="1"/>
    <x v="0"/>
    <s v="Planned"/>
    <s v="No Preference"/>
    <n v="4"/>
  </r>
  <r>
    <x v="35"/>
    <x v="35"/>
    <x v="12"/>
    <x v="0"/>
    <x v="0"/>
    <x v="1"/>
    <x v="1"/>
    <x v="0"/>
    <x v="1"/>
    <x v="35"/>
    <s v="Qianjin"/>
    <s v="Qianjin"/>
    <s v="Books"/>
    <n v="52.34"/>
    <n v="6"/>
    <s v="In-Store"/>
    <x v="1"/>
    <n v="4"/>
    <n v="1"/>
    <s v="Low"/>
    <s v="Somewhat Sensitive"/>
    <n v="1"/>
    <n v="5"/>
    <s v="Medium"/>
    <s v="Tablet"/>
    <s v="PayPal"/>
    <d v="2024-05-21T00:00:00"/>
    <b v="1"/>
    <x v="1"/>
    <s v="Planned"/>
    <s v="Express"/>
    <n v="13"/>
  </r>
  <r>
    <x v="36"/>
    <x v="36"/>
    <x v="10"/>
    <x v="1"/>
    <x v="1"/>
    <x v="0"/>
    <x v="1"/>
    <x v="0"/>
    <x v="1"/>
    <x v="36"/>
    <s v="Bagahanlad"/>
    <s v="Bagahanlad"/>
    <s v="Groceries"/>
    <n v="338.2"/>
    <n v="7"/>
    <s v="Online"/>
    <x v="1"/>
    <n v="5"/>
    <n v="0"/>
    <s v="None"/>
    <s v="Not Sensitive"/>
    <n v="1"/>
    <n v="9"/>
    <s v="Medium"/>
    <s v="Tablet"/>
    <s v="Other"/>
    <d v="2024-09-01T00:00:00"/>
    <b v="1"/>
    <x v="0"/>
    <s v="Wants-based"/>
    <s v="Standard"/>
    <n v="7"/>
  </r>
  <r>
    <x v="37"/>
    <x v="37"/>
    <x v="6"/>
    <x v="0"/>
    <x v="0"/>
    <x v="0"/>
    <x v="2"/>
    <x v="1"/>
    <x v="0"/>
    <x v="37"/>
    <s v="Rzewnie"/>
    <s v="Rzewnie"/>
    <s v="Toys &amp; Games"/>
    <n v="263.14999999999998"/>
    <n v="3"/>
    <s v="In-Store"/>
    <x v="3"/>
    <n v="5"/>
    <n v="1"/>
    <s v="High"/>
    <s v="Somewhat Sensitive"/>
    <n v="1"/>
    <n v="10"/>
    <s v="High"/>
    <s v="Tablet"/>
    <s v="Other"/>
    <d v="2024-03-04T00:00:00"/>
    <b v="1"/>
    <x v="0"/>
    <s v="Impulsive"/>
    <s v="Express"/>
    <n v="10"/>
  </r>
  <r>
    <x v="38"/>
    <x v="38"/>
    <x v="15"/>
    <x v="0"/>
    <x v="0"/>
    <x v="0"/>
    <x v="0"/>
    <x v="2"/>
    <x v="0"/>
    <x v="38"/>
    <s v="Strabychovo"/>
    <s v="Strabychovo"/>
    <s v="Software &amp; Apps"/>
    <n v="371.58"/>
    <n v="2"/>
    <s v="Mixed"/>
    <x v="2"/>
    <n v="1"/>
    <n v="2"/>
    <s v="High"/>
    <s v="Not Sensitive"/>
    <n v="0"/>
    <n v="10"/>
    <s v="None"/>
    <s v="Smartphone"/>
    <s v="Cash"/>
    <d v="2024-09-13T00:00:00"/>
    <b v="1"/>
    <x v="1"/>
    <s v="Wants-based"/>
    <s v="No Preference"/>
    <n v="11"/>
  </r>
  <r>
    <x v="39"/>
    <x v="39"/>
    <x v="12"/>
    <x v="1"/>
    <x v="1"/>
    <x v="0"/>
    <x v="2"/>
    <x v="0"/>
    <x v="0"/>
    <x v="39"/>
    <s v="Hongqi"/>
    <s v="Hongqi"/>
    <s v="Health Care"/>
    <n v="353.4"/>
    <n v="2"/>
    <s v="Online"/>
    <x v="2"/>
    <n v="3"/>
    <n v="2"/>
    <s v="Medium"/>
    <s v="Very Sensitive"/>
    <n v="0"/>
    <n v="1"/>
    <s v="Low"/>
    <s v="Tablet"/>
    <s v="Credit Card"/>
    <d v="2024-12-06T00:00:00"/>
    <b v="0"/>
    <x v="1"/>
    <s v="Impulsive"/>
    <s v="No Preference"/>
    <n v="3"/>
  </r>
  <r>
    <x v="40"/>
    <x v="40"/>
    <x v="19"/>
    <x v="0"/>
    <x v="0"/>
    <x v="0"/>
    <x v="3"/>
    <x v="1"/>
    <x v="1"/>
    <x v="40"/>
    <s v="Oeoh"/>
    <s v="Oeoh"/>
    <s v="Software &amp; Apps"/>
    <n v="329.41"/>
    <n v="5"/>
    <s v="In-Store"/>
    <x v="0"/>
    <n v="3"/>
    <n v="0"/>
    <s v="Medium"/>
    <s v="Somewhat Sensitive"/>
    <n v="1"/>
    <n v="1"/>
    <s v="High"/>
    <s v="Desktop"/>
    <s v="Cash"/>
    <d v="2024-10-21T00:00:00"/>
    <b v="1"/>
    <x v="1"/>
    <s v="Need-based"/>
    <s v="No Preference"/>
    <n v="2"/>
  </r>
  <r>
    <x v="41"/>
    <x v="41"/>
    <x v="19"/>
    <x v="0"/>
    <x v="0"/>
    <x v="0"/>
    <x v="0"/>
    <x v="2"/>
    <x v="0"/>
    <x v="41"/>
    <s v="Topolanoye"/>
    <s v="Topolâ€™noye"/>
    <s v="Food &amp; Beverages"/>
    <n v="54.46"/>
    <n v="5"/>
    <s v="Online"/>
    <x v="4"/>
    <n v="5"/>
    <n v="1"/>
    <s v="High"/>
    <s v="Not Sensitive"/>
    <n v="1"/>
    <n v="1"/>
    <s v="Low"/>
    <s v="Tablet"/>
    <s v="Other"/>
    <d v="2024-11-17T00:00:00"/>
    <b v="0"/>
    <x v="0"/>
    <s v="Impulsive"/>
    <s v="Standard"/>
    <n v="1"/>
  </r>
  <r>
    <x v="42"/>
    <x v="42"/>
    <x v="20"/>
    <x v="1"/>
    <x v="1"/>
    <x v="1"/>
    <x v="2"/>
    <x v="2"/>
    <x v="0"/>
    <x v="42"/>
    <s v="Kovarov"/>
    <s v="Kovأ،إ™ov"/>
    <s v="Books"/>
    <n v="257.12"/>
    <n v="8"/>
    <s v="Online"/>
    <x v="2"/>
    <n v="1"/>
    <n v="0"/>
    <s v="High"/>
    <s v="Not Sensitive"/>
    <n v="2"/>
    <n v="1"/>
    <s v="High"/>
    <s v="Smartphone"/>
    <s v="Other"/>
    <d v="2024-07-24T00:00:00"/>
    <b v="1"/>
    <x v="0"/>
    <s v="Impulsive"/>
    <s v="No Preference"/>
    <n v="11"/>
  </r>
  <r>
    <x v="43"/>
    <x v="43"/>
    <x v="20"/>
    <x v="1"/>
    <x v="1"/>
    <x v="1"/>
    <x v="3"/>
    <x v="0"/>
    <x v="0"/>
    <x v="43"/>
    <s v="Majdal Bani Fadil"/>
    <s v="Majdal Banؤ« Fؤپل¸‘il"/>
    <s v="Arts &amp; Crafts"/>
    <n v="293.04000000000002"/>
    <n v="11"/>
    <s v="In-Store"/>
    <x v="4"/>
    <n v="2"/>
    <n v="1"/>
    <s v="None"/>
    <s v="Very Sensitive"/>
    <n v="1"/>
    <n v="3"/>
    <s v="Low"/>
    <s v="Desktop"/>
    <s v="PayPal"/>
    <d v="2024-03-03T00:00:00"/>
    <b v="1"/>
    <x v="0"/>
    <s v="Planned"/>
    <s v="Standard"/>
    <n v="6"/>
  </r>
  <r>
    <x v="44"/>
    <x v="44"/>
    <x v="10"/>
    <x v="1"/>
    <x v="1"/>
    <x v="1"/>
    <x v="1"/>
    <x v="2"/>
    <x v="1"/>
    <x v="44"/>
    <s v="Delta del Tigre"/>
    <s v="Delta del Tigre"/>
    <s v="Books"/>
    <n v="110.4"/>
    <n v="12"/>
    <s v="Mixed"/>
    <x v="0"/>
    <n v="1"/>
    <n v="2"/>
    <s v="None"/>
    <s v="Somewhat Sensitive"/>
    <n v="1"/>
    <n v="3"/>
    <s v="Medium"/>
    <s v="Tablet"/>
    <s v="Debit Card"/>
    <d v="2024-11-13T00:00:00"/>
    <b v="0"/>
    <x v="0"/>
    <s v="Need-based"/>
    <s v="Standard"/>
    <n v="12"/>
  </r>
  <r>
    <x v="45"/>
    <x v="45"/>
    <x v="21"/>
    <x v="0"/>
    <x v="0"/>
    <x v="0"/>
    <x v="0"/>
    <x v="2"/>
    <x v="1"/>
    <x v="45"/>
    <s v="Santa Cruz La Laguna"/>
    <s v="Santa Cruz La Laguna"/>
    <s v="Mobile Accessories"/>
    <n v="76.27"/>
    <n v="4"/>
    <s v="In-Store"/>
    <x v="2"/>
    <n v="3"/>
    <n v="0"/>
    <s v="None"/>
    <s v="Not Sensitive"/>
    <n v="0"/>
    <n v="8"/>
    <s v="Medium"/>
    <s v="Smartphone"/>
    <s v="Credit Card"/>
    <d v="2024-12-24T00:00:00"/>
    <b v="1"/>
    <x v="0"/>
    <s v="Wants-based"/>
    <s v="Standard"/>
    <n v="10"/>
  </r>
  <r>
    <x v="46"/>
    <x v="46"/>
    <x v="13"/>
    <x v="0"/>
    <x v="0"/>
    <x v="1"/>
    <x v="2"/>
    <x v="0"/>
    <x v="0"/>
    <x v="46"/>
    <s v="Manchester"/>
    <s v="Manchester"/>
    <s v="Toys &amp; Games"/>
    <n v="392.08"/>
    <n v="6"/>
    <s v="Online"/>
    <x v="2"/>
    <n v="5"/>
    <n v="1"/>
    <s v="None"/>
    <s v="Very Sensitive"/>
    <n v="2"/>
    <n v="7"/>
    <s v="High"/>
    <s v="Tablet"/>
    <s v="Other"/>
    <d v="2024-08-04T00:00:00"/>
    <b v="1"/>
    <x v="1"/>
    <s v="Need-based"/>
    <s v="Express"/>
    <n v="6"/>
  </r>
  <r>
    <x v="47"/>
    <x v="47"/>
    <x v="8"/>
    <x v="0"/>
    <x v="0"/>
    <x v="1"/>
    <x v="0"/>
    <x v="0"/>
    <x v="1"/>
    <x v="47"/>
    <s v="Norrkoping"/>
    <s v="Norrkأ¶ping"/>
    <s v="Toys &amp; Games"/>
    <n v="51.22"/>
    <n v="6"/>
    <s v="Online"/>
    <x v="2"/>
    <n v="1"/>
    <n v="0"/>
    <s v="None"/>
    <s v="Very Sensitive"/>
    <n v="1"/>
    <n v="5"/>
    <s v="Medium"/>
    <s v="Tablet"/>
    <s v="Cash"/>
    <d v="2024-08-25T00:00:00"/>
    <b v="1"/>
    <x v="1"/>
    <s v="Planned"/>
    <s v="Standard"/>
    <n v="5"/>
  </r>
  <r>
    <x v="48"/>
    <x v="48"/>
    <x v="9"/>
    <x v="1"/>
    <x v="1"/>
    <x v="0"/>
    <x v="3"/>
    <x v="0"/>
    <x v="1"/>
    <x v="48"/>
    <s v="Sosno"/>
    <s v="Soإ›no"/>
    <s v="Clothing"/>
    <n v="227.57"/>
    <n v="2"/>
    <s v="Online"/>
    <x v="3"/>
    <n v="2"/>
    <n v="0"/>
    <s v="High"/>
    <s v="Somewhat Sensitive"/>
    <n v="1"/>
    <n v="6"/>
    <s v="None"/>
    <s v="Tablet"/>
    <s v="PayPal"/>
    <d v="2024-08-17T00:00:00"/>
    <b v="0"/>
    <x v="1"/>
    <s v="Wants-based"/>
    <s v="No Preference"/>
    <n v="14"/>
  </r>
  <r>
    <x v="49"/>
    <x v="49"/>
    <x v="19"/>
    <x v="0"/>
    <x v="0"/>
    <x v="0"/>
    <x v="2"/>
    <x v="0"/>
    <x v="0"/>
    <x v="49"/>
    <s v="Pella"/>
    <s v="Pأ©lla"/>
    <s v="Groceries"/>
    <n v="378.87"/>
    <n v="7"/>
    <s v="Online"/>
    <x v="3"/>
    <n v="2"/>
    <n v="0"/>
    <s v="None"/>
    <s v="Very Sensitive"/>
    <n v="1"/>
    <n v="2"/>
    <s v="Low"/>
    <s v="Tablet"/>
    <s v="PayPal"/>
    <d v="2024-04-01T00:00:00"/>
    <b v="1"/>
    <x v="0"/>
    <s v="Planned"/>
    <s v="No Preference"/>
    <n v="5"/>
  </r>
  <r>
    <x v="50"/>
    <x v="50"/>
    <x v="2"/>
    <x v="0"/>
    <x v="0"/>
    <x v="0"/>
    <x v="2"/>
    <x v="1"/>
    <x v="1"/>
    <x v="50"/>
    <s v="Namur"/>
    <s v="Namur"/>
    <s v="Beauty &amp; Personal Care"/>
    <n v="423.92"/>
    <n v="8"/>
    <s v="Mixed"/>
    <x v="1"/>
    <n v="1"/>
    <n v="2"/>
    <s v="Low"/>
    <s v="Somewhat Sensitive"/>
    <n v="0"/>
    <n v="9"/>
    <s v="High"/>
    <s v="Tablet"/>
    <s v="Credit Card"/>
    <d v="2024-08-24T00:00:00"/>
    <b v="0"/>
    <x v="1"/>
    <s v="Need-based"/>
    <s v="Standard"/>
    <n v="8"/>
  </r>
  <r>
    <x v="51"/>
    <x v="51"/>
    <x v="20"/>
    <x v="2"/>
    <x v="4"/>
    <x v="1"/>
    <x v="2"/>
    <x v="2"/>
    <x v="0"/>
    <x v="51"/>
    <s v="Benevides"/>
    <s v="Benevides"/>
    <s v="Arts &amp; Crafts"/>
    <n v="111.24"/>
    <n v="9"/>
    <s v="Mixed"/>
    <x v="0"/>
    <n v="2"/>
    <n v="0"/>
    <s v="Medium"/>
    <s v="Somewhat Sensitive"/>
    <n v="0"/>
    <n v="2"/>
    <s v="High"/>
    <s v="Smartphone"/>
    <s v="Credit Card"/>
    <d v="2024-08-06T00:00:00"/>
    <b v="1"/>
    <x v="0"/>
    <s v="Need-based"/>
    <s v="No Preference"/>
    <n v="12"/>
  </r>
  <r>
    <x v="52"/>
    <x v="52"/>
    <x v="14"/>
    <x v="0"/>
    <x v="0"/>
    <x v="0"/>
    <x v="1"/>
    <x v="0"/>
    <x v="0"/>
    <x v="52"/>
    <s v="Qinghaihu"/>
    <s v="Qinghaihu"/>
    <s v="Travel &amp; Leisure (Flights"/>
    <n v="299.31"/>
    <n v="7"/>
    <s v="Mixed"/>
    <x v="2"/>
    <n v="4"/>
    <n v="1"/>
    <s v="Medium"/>
    <s v="Very Sensitive"/>
    <n v="2"/>
    <n v="3"/>
    <s v="None"/>
    <s v="Desktop"/>
    <s v="Debit Card"/>
    <d v="2024-02-01T00:00:00"/>
    <b v="1"/>
    <x v="0"/>
    <s v="Need-based"/>
    <s v="Express"/>
    <n v="3"/>
  </r>
  <r>
    <x v="53"/>
    <x v="53"/>
    <x v="21"/>
    <x v="1"/>
    <x v="1"/>
    <x v="0"/>
    <x v="2"/>
    <x v="2"/>
    <x v="0"/>
    <x v="53"/>
    <s v="Alfeizerao"/>
    <s v="Alfeizerأ£o"/>
    <s v="Animal Feed"/>
    <n v="169.28"/>
    <n v="7"/>
    <s v="Mixed"/>
    <x v="4"/>
    <n v="4"/>
    <n v="1"/>
    <s v="None"/>
    <s v="Somewhat Sensitive"/>
    <n v="2"/>
    <n v="1"/>
    <s v="Low"/>
    <s v="Tablet"/>
    <s v="Cash"/>
    <d v="2024-06-17T00:00:00"/>
    <b v="1"/>
    <x v="1"/>
    <s v="Impulsive"/>
    <s v="No Preference"/>
    <n v="6"/>
  </r>
  <r>
    <x v="54"/>
    <x v="54"/>
    <x v="3"/>
    <x v="1"/>
    <x v="1"/>
    <x v="0"/>
    <x v="2"/>
    <x v="1"/>
    <x v="1"/>
    <x v="54"/>
    <s v="Prostedni Becva"/>
    <s v="Prostإ™ednأ­ Beؤچva"/>
    <s v="Office Supplies"/>
    <n v="449.13"/>
    <n v="9"/>
    <s v="In-Store"/>
    <x v="2"/>
    <n v="1"/>
    <n v="0.5"/>
    <s v="Medium"/>
    <s v="Not Sensitive"/>
    <n v="2"/>
    <n v="2"/>
    <s v="Low"/>
    <s v="Tablet"/>
    <s v="Credit Card"/>
    <d v="2024-06-12T00:00:00"/>
    <b v="0"/>
    <x v="0"/>
    <s v="Planned"/>
    <s v="No Preference"/>
    <n v="14"/>
  </r>
  <r>
    <x v="55"/>
    <x v="55"/>
    <x v="22"/>
    <x v="0"/>
    <x v="0"/>
    <x v="1"/>
    <x v="0"/>
    <x v="2"/>
    <x v="1"/>
    <x v="55"/>
    <s v="Oeiras"/>
    <s v="Oeiras"/>
    <s v="Animal Feed"/>
    <n v="427.48"/>
    <n v="6"/>
    <s v="Online"/>
    <x v="4"/>
    <n v="2"/>
    <n v="0"/>
    <s v="Medium"/>
    <s v="Not Sensitive"/>
    <n v="1"/>
    <n v="1"/>
    <s v="Low"/>
    <s v="Smartphone"/>
    <s v="Debit Card"/>
    <d v="2024-12-16T00:00:00"/>
    <b v="1"/>
    <x v="0"/>
    <s v="Impulsive"/>
    <s v="Standard"/>
    <n v="11"/>
  </r>
  <r>
    <x v="56"/>
    <x v="56"/>
    <x v="23"/>
    <x v="0"/>
    <x v="0"/>
    <x v="0"/>
    <x v="1"/>
    <x v="1"/>
    <x v="1"/>
    <x v="56"/>
    <s v="Kythnos"/>
    <s v="Kأ½thnos"/>
    <s v="Sports &amp; Outdoors"/>
    <n v="171.61"/>
    <n v="3"/>
    <s v="Online"/>
    <x v="1"/>
    <n v="1"/>
    <n v="2"/>
    <s v="Low"/>
    <s v="Very Sensitive"/>
    <n v="1"/>
    <n v="6"/>
    <s v="High"/>
    <s v="Desktop"/>
    <s v="Credit Card"/>
    <d v="2024-10-31T00:00:00"/>
    <b v="1"/>
    <x v="0"/>
    <s v="Planned"/>
    <s v="Express"/>
    <n v="8"/>
  </r>
  <r>
    <x v="57"/>
    <x v="57"/>
    <x v="13"/>
    <x v="0"/>
    <x v="0"/>
    <x v="1"/>
    <x v="0"/>
    <x v="0"/>
    <x v="1"/>
    <x v="57"/>
    <s v="Rizal"/>
    <s v="Rizal"/>
    <s v="Books"/>
    <n v="240.28"/>
    <n v="3"/>
    <s v="Online"/>
    <x v="1"/>
    <n v="5"/>
    <n v="2"/>
    <s v="High"/>
    <s v="Not Sensitive"/>
    <n v="2"/>
    <n v="7"/>
    <s v="Medium"/>
    <s v="Tablet"/>
    <s v="Cash"/>
    <d v="2024-12-07T00:00:00"/>
    <b v="1"/>
    <x v="1"/>
    <s v="Impulsive"/>
    <s v="Standard"/>
    <n v="4"/>
  </r>
  <r>
    <x v="58"/>
    <x v="58"/>
    <x v="10"/>
    <x v="0"/>
    <x v="0"/>
    <x v="1"/>
    <x v="1"/>
    <x v="1"/>
    <x v="1"/>
    <x v="58"/>
    <s v="Fullerton"/>
    <s v="Fullerton"/>
    <s v="Furniture"/>
    <n v="310.17"/>
    <n v="6"/>
    <s v="In-Store"/>
    <x v="2"/>
    <n v="3"/>
    <n v="2"/>
    <s v="Medium"/>
    <s v="Very Sensitive"/>
    <n v="0"/>
    <n v="10"/>
    <s v="None"/>
    <s v="Smartphone"/>
    <s v="Debit Card"/>
    <d v="2024-02-24T00:00:00"/>
    <b v="0"/>
    <x v="0"/>
    <s v="Wants-based"/>
    <s v="No Preference"/>
    <n v="13"/>
  </r>
  <r>
    <x v="59"/>
    <x v="59"/>
    <x v="8"/>
    <x v="0"/>
    <x v="0"/>
    <x v="0"/>
    <x v="0"/>
    <x v="0"/>
    <x v="0"/>
    <x v="59"/>
    <s v="Huaidao"/>
    <s v="Huaidao"/>
    <s v="Hotels"/>
    <n v="166"/>
    <n v="10"/>
    <s v="Online"/>
    <x v="0"/>
    <n v="3"/>
    <n v="0"/>
    <s v="High"/>
    <s v="Not Sensitive"/>
    <n v="2"/>
    <n v="10"/>
    <s v="Medium"/>
    <s v="Smartphone"/>
    <s v="PayPal"/>
    <d v="2024-06-11T00:00:00"/>
    <b v="0"/>
    <x v="0"/>
    <s v="Impulsive"/>
    <s v="Express"/>
    <n v="5"/>
  </r>
  <r>
    <x v="60"/>
    <x v="60"/>
    <x v="9"/>
    <x v="1"/>
    <x v="1"/>
    <x v="1"/>
    <x v="3"/>
    <x v="0"/>
    <x v="1"/>
    <x v="60"/>
    <s v="Bilice"/>
    <s v="Bilice"/>
    <s v="Baby Products"/>
    <n v="362.01"/>
    <n v="2"/>
    <s v="In-Store"/>
    <x v="2"/>
    <n v="4"/>
    <n v="1"/>
    <s v="None"/>
    <s v="Somewhat Sensitive"/>
    <n v="2"/>
    <n v="1"/>
    <s v="Medium"/>
    <s v="Tablet"/>
    <s v="Debit Card"/>
    <d v="2024-11-24T00:00:00"/>
    <b v="0"/>
    <x v="0"/>
    <s v="Impulsive"/>
    <s v="Express"/>
    <n v="1"/>
  </r>
  <r>
    <x v="61"/>
    <x v="61"/>
    <x v="4"/>
    <x v="2"/>
    <x v="5"/>
    <x v="1"/>
    <x v="0"/>
    <x v="0"/>
    <x v="0"/>
    <x v="61"/>
    <s v="Isla Verde"/>
    <s v="Isla Verde"/>
    <s v="Travel &amp; Leisure (Flights"/>
    <n v="348.5"/>
    <n v="3"/>
    <s v="Mixed"/>
    <x v="2"/>
    <n v="3"/>
    <n v="2"/>
    <s v="None"/>
    <s v="Not Sensitive"/>
    <n v="0"/>
    <n v="6"/>
    <s v="Medium"/>
    <s v="Smartphone"/>
    <s v="Debit Card"/>
    <d v="2024-07-09T00:00:00"/>
    <b v="0"/>
    <x v="0"/>
    <s v="Planned"/>
    <s v="No Preference"/>
    <n v="8"/>
  </r>
  <r>
    <x v="62"/>
    <x v="62"/>
    <x v="11"/>
    <x v="0"/>
    <x v="0"/>
    <x v="0"/>
    <x v="0"/>
    <x v="0"/>
    <x v="1"/>
    <x v="62"/>
    <s v="Hunkuyi"/>
    <s v="Hunkuyi"/>
    <s v="Animal Feed"/>
    <n v="395.97"/>
    <n v="9"/>
    <s v="In-Store"/>
    <x v="3"/>
    <n v="4"/>
    <n v="0"/>
    <s v="Medium"/>
    <s v="Very Sensitive"/>
    <n v="1"/>
    <n v="6"/>
    <s v="Low"/>
    <s v="Tablet"/>
    <s v="Debit Card"/>
    <d v="2024-08-18T00:00:00"/>
    <b v="1"/>
    <x v="1"/>
    <s v="Wants-based"/>
    <s v="Standard"/>
    <n v="1"/>
  </r>
  <r>
    <x v="63"/>
    <x v="63"/>
    <x v="17"/>
    <x v="0"/>
    <x v="0"/>
    <x v="0"/>
    <x v="2"/>
    <x v="1"/>
    <x v="0"/>
    <x v="63"/>
    <s v="Shiree"/>
    <s v="Shiree"/>
    <s v="Sports &amp; Outdoors"/>
    <n v="474.99"/>
    <n v="9"/>
    <s v="Online"/>
    <x v="2"/>
    <n v="4"/>
    <n v="1"/>
    <s v="None"/>
    <s v="Somewhat Sensitive"/>
    <n v="0"/>
    <n v="8"/>
    <s v="High"/>
    <s v="Desktop"/>
    <s v="Credit Card"/>
    <d v="2024-07-10T00:00:00"/>
    <b v="1"/>
    <x v="0"/>
    <s v="Planned"/>
    <s v="Standard"/>
    <n v="5"/>
  </r>
  <r>
    <x v="64"/>
    <x v="64"/>
    <x v="22"/>
    <x v="0"/>
    <x v="0"/>
    <x v="0"/>
    <x v="2"/>
    <x v="1"/>
    <x v="0"/>
    <x v="64"/>
    <s v="Strezhevoy"/>
    <s v="Strezhevoy"/>
    <s v="Luxury Goods"/>
    <n v="286.43"/>
    <n v="4"/>
    <s v="Mixed"/>
    <x v="3"/>
    <n v="3"/>
    <n v="0"/>
    <s v="High"/>
    <s v="Very Sensitive"/>
    <n v="2"/>
    <n v="3"/>
    <s v="None"/>
    <s v="Desktop"/>
    <s v="Cash"/>
    <d v="2024-07-12T00:00:00"/>
    <b v="1"/>
    <x v="0"/>
    <s v="Wants-based"/>
    <s v="Express"/>
    <n v="14"/>
  </r>
  <r>
    <x v="65"/>
    <x v="65"/>
    <x v="24"/>
    <x v="2"/>
    <x v="3"/>
    <x v="1"/>
    <x v="2"/>
    <x v="1"/>
    <x v="1"/>
    <x v="65"/>
    <s v="Longxing"/>
    <s v="Longxing"/>
    <s v="Health Care"/>
    <n v="333.32"/>
    <n v="8"/>
    <s v="Online"/>
    <x v="3"/>
    <n v="5"/>
    <n v="0"/>
    <s v="Low"/>
    <s v="Very Sensitive"/>
    <n v="0"/>
    <n v="3"/>
    <s v="High"/>
    <s v="Smartphone"/>
    <s v="Credit Card"/>
    <d v="2024-10-05T00:00:00"/>
    <b v="1"/>
    <x v="0"/>
    <s v="Planned"/>
    <s v="No Preference"/>
    <n v="3"/>
  </r>
  <r>
    <x v="66"/>
    <x v="66"/>
    <x v="19"/>
    <x v="2"/>
    <x v="2"/>
    <x v="1"/>
    <x v="1"/>
    <x v="2"/>
    <x v="1"/>
    <x v="66"/>
    <s v="Jesus Menendez"/>
    <s v="Jesأ؛s Menأ©ndez"/>
    <s v="Electronics"/>
    <n v="223.47"/>
    <n v="9"/>
    <s v="Mixed"/>
    <x v="2"/>
    <n v="1"/>
    <n v="1"/>
    <s v="High"/>
    <s v="Somewhat Sensitive"/>
    <n v="0"/>
    <n v="2"/>
    <s v="None"/>
    <s v="Tablet"/>
    <s v="Debit Card"/>
    <d v="2024-09-20T00:00:00"/>
    <b v="1"/>
    <x v="1"/>
    <s v="Need-based"/>
    <s v="Standard"/>
    <n v="8"/>
  </r>
  <r>
    <x v="67"/>
    <x v="67"/>
    <x v="25"/>
    <x v="1"/>
    <x v="1"/>
    <x v="0"/>
    <x v="3"/>
    <x v="2"/>
    <x v="0"/>
    <x v="67"/>
    <s v="Hongguang"/>
    <s v="Hongguang"/>
    <s v="Sports &amp; Outdoors"/>
    <n v="414.83"/>
    <n v="2"/>
    <s v="Mixed"/>
    <x v="2"/>
    <n v="4"/>
    <n v="0.5"/>
    <s v="High"/>
    <s v="Somewhat Sensitive"/>
    <n v="2"/>
    <n v="4"/>
    <s v="High"/>
    <s v="Desktop"/>
    <s v="Credit Card"/>
    <d v="2024-07-16T00:00:00"/>
    <b v="0"/>
    <x v="0"/>
    <s v="Planned"/>
    <s v="Express"/>
    <n v="8"/>
  </r>
  <r>
    <x v="68"/>
    <x v="68"/>
    <x v="10"/>
    <x v="0"/>
    <x v="0"/>
    <x v="1"/>
    <x v="2"/>
    <x v="2"/>
    <x v="1"/>
    <x v="68"/>
    <s v="Pilaya"/>
    <s v="Pilaya"/>
    <s v="Books"/>
    <n v="391.38"/>
    <n v="5"/>
    <s v="In-Store"/>
    <x v="0"/>
    <n v="2"/>
    <n v="2"/>
    <s v="Low"/>
    <s v="Not Sensitive"/>
    <n v="0"/>
    <n v="7"/>
    <s v="Low"/>
    <s v="Tablet"/>
    <s v="Other"/>
    <d v="2024-04-02T00:00:00"/>
    <b v="0"/>
    <x v="0"/>
    <s v="Need-based"/>
    <s v="No Preference"/>
    <n v="8"/>
  </r>
  <r>
    <x v="69"/>
    <x v="69"/>
    <x v="18"/>
    <x v="1"/>
    <x v="1"/>
    <x v="0"/>
    <x v="3"/>
    <x v="0"/>
    <x v="1"/>
    <x v="69"/>
    <s v="Camp Ithier"/>
    <s v="Camp Ithier"/>
    <s v="Furniture"/>
    <n v="368.4"/>
    <n v="11"/>
    <s v="Online"/>
    <x v="2"/>
    <n v="5"/>
    <n v="1"/>
    <s v="High"/>
    <s v="Not Sensitive"/>
    <n v="0"/>
    <n v="3"/>
    <s v="High"/>
    <s v="Desktop"/>
    <s v="Credit Card"/>
    <d v="2024-06-21T00:00:00"/>
    <b v="0"/>
    <x v="0"/>
    <s v="Need-based"/>
    <s v="No Preference"/>
    <n v="13"/>
  </r>
  <r>
    <x v="70"/>
    <x v="70"/>
    <x v="23"/>
    <x v="2"/>
    <x v="2"/>
    <x v="0"/>
    <x v="2"/>
    <x v="1"/>
    <x v="0"/>
    <x v="70"/>
    <s v="Holboo"/>
    <s v="Holboo"/>
    <s v="Furniture"/>
    <n v="328.36"/>
    <n v="11"/>
    <s v="In-Store"/>
    <x v="3"/>
    <n v="4"/>
    <n v="2"/>
    <s v="High"/>
    <s v="Very Sensitive"/>
    <n v="0"/>
    <n v="4"/>
    <s v="None"/>
    <s v="Tablet"/>
    <s v="Cash"/>
    <d v="2024-03-11T00:00:00"/>
    <b v="0"/>
    <x v="1"/>
    <s v="Wants-based"/>
    <s v="Express"/>
    <n v="4"/>
  </r>
  <r>
    <x v="71"/>
    <x v="71"/>
    <x v="14"/>
    <x v="0"/>
    <x v="0"/>
    <x v="0"/>
    <x v="3"/>
    <x v="0"/>
    <x v="0"/>
    <x v="71"/>
    <s v="Luxi"/>
    <s v="Luxi"/>
    <s v="Home Appliances"/>
    <n v="424.39"/>
    <n v="9"/>
    <s v="Mixed"/>
    <x v="1"/>
    <n v="1"/>
    <n v="1"/>
    <s v="High"/>
    <s v="Somewhat Sensitive"/>
    <n v="0"/>
    <n v="7"/>
    <s v="Low"/>
    <s v="Smartphone"/>
    <s v="Credit Card"/>
    <d v="2024-02-26T00:00:00"/>
    <b v="1"/>
    <x v="0"/>
    <s v="Wants-based"/>
    <s v="No Preference"/>
    <n v="13"/>
  </r>
  <r>
    <x v="72"/>
    <x v="72"/>
    <x v="26"/>
    <x v="1"/>
    <x v="1"/>
    <x v="1"/>
    <x v="0"/>
    <x v="1"/>
    <x v="1"/>
    <x v="72"/>
    <s v="Ostashkov"/>
    <s v="Ostashkov"/>
    <s v="Health Supplements"/>
    <n v="197.12"/>
    <n v="10"/>
    <s v="In-Store"/>
    <x v="4"/>
    <n v="4"/>
    <n v="0"/>
    <s v="Low"/>
    <s v="Somewhat Sensitive"/>
    <n v="1"/>
    <n v="1"/>
    <s v="Medium"/>
    <s v="Tablet"/>
    <s v="Other"/>
    <d v="2024-06-14T00:00:00"/>
    <b v="1"/>
    <x v="1"/>
    <s v="Wants-based"/>
    <s v="Standard"/>
    <n v="10"/>
  </r>
  <r>
    <x v="73"/>
    <x v="73"/>
    <x v="5"/>
    <x v="1"/>
    <x v="1"/>
    <x v="1"/>
    <x v="1"/>
    <x v="0"/>
    <x v="1"/>
    <x v="73"/>
    <s v="Hongshanzui"/>
    <s v="Hongshanzui"/>
    <s v="Books"/>
    <n v="454.57"/>
    <n v="9"/>
    <s v="Mixed"/>
    <x v="2"/>
    <n v="5"/>
    <n v="1"/>
    <s v="Low"/>
    <s v="Somewhat Sensitive"/>
    <n v="0"/>
    <n v="1"/>
    <s v="Medium"/>
    <s v="Smartphone"/>
    <s v="Debit Card"/>
    <d v="2024-03-24T00:00:00"/>
    <b v="1"/>
    <x v="1"/>
    <s v="Wants-based"/>
    <s v="Express"/>
    <n v="1"/>
  </r>
  <r>
    <x v="74"/>
    <x v="74"/>
    <x v="14"/>
    <x v="1"/>
    <x v="1"/>
    <x v="0"/>
    <x v="3"/>
    <x v="1"/>
    <x v="1"/>
    <x v="74"/>
    <s v="Tocoa"/>
    <s v="Tocoa"/>
    <s v="Electronics"/>
    <n v="298.38"/>
    <n v="4"/>
    <s v="Mixed"/>
    <x v="1"/>
    <n v="4"/>
    <n v="2"/>
    <s v="High"/>
    <s v="Very Sensitive"/>
    <n v="0"/>
    <n v="2"/>
    <s v="Low"/>
    <s v="Tablet"/>
    <s v="Cash"/>
    <d v="2024-04-27T00:00:00"/>
    <b v="0"/>
    <x v="1"/>
    <s v="Need-based"/>
    <s v="Standard"/>
    <n v="3"/>
  </r>
  <r>
    <x v="75"/>
    <x v="75"/>
    <x v="15"/>
    <x v="1"/>
    <x v="1"/>
    <x v="1"/>
    <x v="3"/>
    <x v="1"/>
    <x v="1"/>
    <x v="75"/>
    <s v="Bayan Tuohai"/>
    <s v="Bayan Tuohai"/>
    <s v="Clothing"/>
    <n v="111.7"/>
    <n v="6"/>
    <s v="Online"/>
    <x v="4"/>
    <n v="5"/>
    <n v="0"/>
    <s v="Medium"/>
    <s v="Somewhat Sensitive"/>
    <n v="2"/>
    <n v="5"/>
    <s v="High"/>
    <s v="Tablet"/>
    <s v="Credit Card"/>
    <d v="2024-11-07T00:00:00"/>
    <b v="0"/>
    <x v="0"/>
    <s v="Planned"/>
    <s v="Standard"/>
    <n v="7"/>
  </r>
  <r>
    <x v="76"/>
    <x v="76"/>
    <x v="10"/>
    <x v="1"/>
    <x v="1"/>
    <x v="0"/>
    <x v="0"/>
    <x v="0"/>
    <x v="0"/>
    <x v="76"/>
    <s v="Parumasan"/>
    <s v="Parumasan"/>
    <s v="Clothing"/>
    <n v="373.69"/>
    <n v="10"/>
    <s v="Online"/>
    <x v="1"/>
    <n v="2"/>
    <n v="2"/>
    <s v="Medium"/>
    <s v="Not Sensitive"/>
    <n v="1"/>
    <n v="8"/>
    <s v="None"/>
    <s v="Tablet"/>
    <s v="Credit Card"/>
    <d v="2024-12-04T00:00:00"/>
    <b v="0"/>
    <x v="1"/>
    <s v="Impulsive"/>
    <s v="Express"/>
    <n v="14"/>
  </r>
  <r>
    <x v="77"/>
    <x v="77"/>
    <x v="14"/>
    <x v="1"/>
    <x v="1"/>
    <x v="1"/>
    <x v="2"/>
    <x v="2"/>
    <x v="0"/>
    <x v="77"/>
    <s v="Karpogory"/>
    <s v="Karpogory"/>
    <s v="Jewelry &amp; Accessories"/>
    <n v="354.87"/>
    <n v="5"/>
    <s v="In-Store"/>
    <x v="3"/>
    <n v="1"/>
    <n v="0"/>
    <s v="None"/>
    <s v="Not Sensitive"/>
    <n v="2"/>
    <n v="4"/>
    <s v="None"/>
    <s v="Desktop"/>
    <s v="Cash"/>
    <d v="2024-04-18T00:00:00"/>
    <b v="0"/>
    <x v="1"/>
    <s v="Planned"/>
    <s v="Express"/>
    <n v="12"/>
  </r>
  <r>
    <x v="78"/>
    <x v="78"/>
    <x v="27"/>
    <x v="0"/>
    <x v="0"/>
    <x v="0"/>
    <x v="2"/>
    <x v="0"/>
    <x v="1"/>
    <x v="78"/>
    <s v="Shahzadpur"/>
    <s v="Shؤپhzؤپdpur"/>
    <s v="Mobile Accessories"/>
    <n v="214.48"/>
    <n v="2"/>
    <s v="Online"/>
    <x v="4"/>
    <n v="2"/>
    <n v="2"/>
    <s v="None"/>
    <s v="Very Sensitive"/>
    <n v="1"/>
    <n v="3"/>
    <s v="None"/>
    <s v="Tablet"/>
    <s v="Cash"/>
    <d v="2024-04-21T00:00:00"/>
    <b v="1"/>
    <x v="1"/>
    <s v="Wants-based"/>
    <s v="Express"/>
    <n v="2"/>
  </r>
  <r>
    <x v="79"/>
    <x v="79"/>
    <x v="28"/>
    <x v="1"/>
    <x v="1"/>
    <x v="1"/>
    <x v="3"/>
    <x v="0"/>
    <x v="0"/>
    <x v="79"/>
    <s v="Muaratiga"/>
    <s v="Muaratiga"/>
    <s v="Software &amp; Apps"/>
    <n v="399.58"/>
    <n v="6"/>
    <s v="In-Store"/>
    <x v="1"/>
    <n v="4"/>
    <n v="0"/>
    <s v="None"/>
    <s v="Very Sensitive"/>
    <n v="1"/>
    <n v="8"/>
    <s v="Low"/>
    <s v="Tablet"/>
    <s v="Other"/>
    <d v="2024-09-25T00:00:00"/>
    <b v="1"/>
    <x v="0"/>
    <s v="Need-based"/>
    <s v="Standard"/>
    <n v="7"/>
  </r>
  <r>
    <x v="80"/>
    <x v="80"/>
    <x v="23"/>
    <x v="0"/>
    <x v="0"/>
    <x v="1"/>
    <x v="2"/>
    <x v="1"/>
    <x v="0"/>
    <x v="80"/>
    <s v="Gjegjan"/>
    <s v="Gjegjan"/>
    <s v="Luxury Goods"/>
    <n v="380.99"/>
    <n v="7"/>
    <s v="Mixed"/>
    <x v="3"/>
    <n v="2"/>
    <n v="1"/>
    <s v="Low"/>
    <s v="Somewhat Sensitive"/>
    <n v="0"/>
    <n v="1"/>
    <s v="Medium"/>
    <s v="Desktop"/>
    <s v="Cash"/>
    <d v="2024-12-09T00:00:00"/>
    <b v="1"/>
    <x v="1"/>
    <s v="Need-based"/>
    <s v="No Preference"/>
    <n v="8"/>
  </r>
  <r>
    <x v="81"/>
    <x v="81"/>
    <x v="15"/>
    <x v="1"/>
    <x v="1"/>
    <x v="0"/>
    <x v="0"/>
    <x v="1"/>
    <x v="1"/>
    <x v="81"/>
    <s v="Guacari"/>
    <s v="Crأ©teil"/>
    <s v="Food &amp; Beverages"/>
    <n v="79"/>
    <n v="10"/>
    <s v="Online"/>
    <x v="3"/>
    <n v="2"/>
    <n v="1"/>
    <s v="Medium"/>
    <s v="Very Sensitive"/>
    <n v="2"/>
    <n v="6"/>
    <s v="Low"/>
    <s v="Smartphone"/>
    <s v="Cash"/>
    <d v="2024-09-14T00:00:00"/>
    <b v="0"/>
    <x v="1"/>
    <s v="Planned"/>
    <s v="Standard"/>
    <n v="7"/>
  </r>
  <r>
    <x v="82"/>
    <x v="82"/>
    <x v="19"/>
    <x v="0"/>
    <x v="0"/>
    <x v="0"/>
    <x v="0"/>
    <x v="0"/>
    <x v="0"/>
    <x v="82"/>
    <s v="Pameungpeuk"/>
    <s v="Pameungpeuk"/>
    <s v="Groceries"/>
    <n v="113.88"/>
    <n v="2"/>
    <s v="Online"/>
    <x v="0"/>
    <n v="2"/>
    <n v="2"/>
    <s v="Medium"/>
    <s v="Not Sensitive"/>
    <n v="2"/>
    <n v="4"/>
    <s v="High"/>
    <s v="Tablet"/>
    <s v="PayPal"/>
    <d v="2024-03-29T00:00:00"/>
    <b v="0"/>
    <x v="0"/>
    <s v="Wants-based"/>
    <s v="Express"/>
    <n v="9"/>
  </r>
  <r>
    <x v="83"/>
    <x v="83"/>
    <x v="29"/>
    <x v="1"/>
    <x v="1"/>
    <x v="0"/>
    <x v="0"/>
    <x v="1"/>
    <x v="0"/>
    <x v="83"/>
    <s v="Junshan"/>
    <s v="Junshan"/>
    <s v="Travel &amp; Leisure (Flights"/>
    <n v="121.57"/>
    <n v="4"/>
    <s v="Mixed"/>
    <x v="3"/>
    <n v="5"/>
    <n v="0"/>
    <s v="High"/>
    <s v="Not Sensitive"/>
    <n v="0"/>
    <n v="4"/>
    <s v="High"/>
    <s v="Desktop"/>
    <s v="Other"/>
    <d v="2024-06-06T00:00:00"/>
    <b v="0"/>
    <x v="1"/>
    <s v="Impulsive"/>
    <s v="No Preference"/>
    <n v="13"/>
  </r>
  <r>
    <x v="84"/>
    <x v="84"/>
    <x v="6"/>
    <x v="0"/>
    <x v="0"/>
    <x v="1"/>
    <x v="3"/>
    <x v="1"/>
    <x v="0"/>
    <x v="84"/>
    <s v="Lewotola"/>
    <s v="Lewotola"/>
    <s v="Health Supplements"/>
    <n v="215.54"/>
    <n v="11"/>
    <s v="Online"/>
    <x v="1"/>
    <n v="1"/>
    <n v="2"/>
    <s v="Low"/>
    <s v="Somewhat Sensitive"/>
    <n v="2"/>
    <n v="6"/>
    <s v="High"/>
    <s v="Desktop"/>
    <s v="Credit Card"/>
    <d v="2024-04-08T00:00:00"/>
    <b v="1"/>
    <x v="1"/>
    <s v="Planned"/>
    <s v="No Preference"/>
    <n v="10"/>
  </r>
  <r>
    <x v="85"/>
    <x v="85"/>
    <x v="20"/>
    <x v="1"/>
    <x v="1"/>
    <x v="1"/>
    <x v="0"/>
    <x v="0"/>
    <x v="1"/>
    <x v="85"/>
    <s v="Laocheng"/>
    <s v="Laocheng"/>
    <s v="Furniture"/>
    <n v="87.03"/>
    <n v="10"/>
    <s v="Mixed"/>
    <x v="3"/>
    <n v="1"/>
    <n v="0"/>
    <s v="Low"/>
    <s v="Very Sensitive"/>
    <n v="1"/>
    <n v="5"/>
    <s v="High"/>
    <s v="Desktop"/>
    <s v="PayPal"/>
    <d v="2024-08-11T00:00:00"/>
    <b v="0"/>
    <x v="1"/>
    <s v="Need-based"/>
    <s v="No Preference"/>
    <n v="7"/>
  </r>
  <r>
    <x v="86"/>
    <x v="86"/>
    <x v="24"/>
    <x v="1"/>
    <x v="1"/>
    <x v="1"/>
    <x v="3"/>
    <x v="1"/>
    <x v="1"/>
    <x v="81"/>
    <s v="Guacari"/>
    <s v="Guacarأ­"/>
    <s v="Travel &amp; Leisure (Flights"/>
    <n v="111.75"/>
    <n v="4"/>
    <s v="In-Store"/>
    <x v="3"/>
    <n v="4"/>
    <n v="0"/>
    <s v="High"/>
    <s v="Not Sensitive"/>
    <n v="1"/>
    <n v="6"/>
    <s v="High"/>
    <s v="Tablet"/>
    <s v="Debit Card"/>
    <d v="2024-10-10T00:00:00"/>
    <b v="0"/>
    <x v="1"/>
    <s v="Impulsive"/>
    <s v="Standard"/>
    <n v="8"/>
  </r>
  <r>
    <x v="87"/>
    <x v="87"/>
    <x v="30"/>
    <x v="0"/>
    <x v="0"/>
    <x v="1"/>
    <x v="2"/>
    <x v="2"/>
    <x v="1"/>
    <x v="86"/>
    <s v="Sancang"/>
    <s v="Sancang"/>
    <s v="Office Supplies"/>
    <n v="136.19999999999999"/>
    <n v="2"/>
    <s v="Mixed"/>
    <x v="1"/>
    <n v="2"/>
    <n v="2"/>
    <s v="Low"/>
    <s v="Not Sensitive"/>
    <n v="0"/>
    <n v="1"/>
    <s v="High"/>
    <s v="Tablet"/>
    <s v="PayPal"/>
    <d v="2024-06-15T00:00:00"/>
    <b v="1"/>
    <x v="1"/>
    <s v="Need-based"/>
    <s v="Express"/>
    <n v="9"/>
  </r>
  <r>
    <x v="88"/>
    <x v="88"/>
    <x v="18"/>
    <x v="1"/>
    <x v="1"/>
    <x v="0"/>
    <x v="0"/>
    <x v="1"/>
    <x v="0"/>
    <x v="87"/>
    <s v="Ndewel"/>
    <s v="Ndewel"/>
    <s v="Food &amp; Beverages"/>
    <n v="439.31"/>
    <n v="4"/>
    <s v="In-Store"/>
    <x v="1"/>
    <n v="2"/>
    <n v="1"/>
    <s v="Medium"/>
    <s v="Very Sensitive"/>
    <n v="0"/>
    <n v="6"/>
    <s v="Medium"/>
    <s v="Smartphone"/>
    <s v="Debit Card"/>
    <d v="2024-08-11T00:00:00"/>
    <b v="0"/>
    <x v="1"/>
    <s v="Wants-based"/>
    <s v="No Preference"/>
    <n v="7"/>
  </r>
  <r>
    <x v="89"/>
    <x v="89"/>
    <x v="24"/>
    <x v="0"/>
    <x v="0"/>
    <x v="0"/>
    <x v="0"/>
    <x v="0"/>
    <x v="0"/>
    <x v="88"/>
    <s v="San Patricio"/>
    <s v="San Patricio"/>
    <s v="Health Care"/>
    <n v="194.93"/>
    <n v="9"/>
    <s v="Online"/>
    <x v="4"/>
    <n v="4"/>
    <n v="1"/>
    <s v="High"/>
    <s v="Somewhat Sensitive"/>
    <n v="0"/>
    <n v="4"/>
    <s v="None"/>
    <s v="Tablet"/>
    <s v="Other"/>
    <d v="2024-03-28T00:00:00"/>
    <b v="1"/>
    <x v="1"/>
    <s v="Impulsive"/>
    <s v="No Preference"/>
    <n v="5"/>
  </r>
  <r>
    <x v="90"/>
    <x v="90"/>
    <x v="3"/>
    <x v="1"/>
    <x v="1"/>
    <x v="0"/>
    <x v="2"/>
    <x v="2"/>
    <x v="1"/>
    <x v="89"/>
    <s v="Fengtai"/>
    <s v="Fengtai"/>
    <s v="Food &amp; Beverages"/>
    <n v="377.67"/>
    <n v="8"/>
    <s v="Online"/>
    <x v="0"/>
    <n v="3"/>
    <n v="0"/>
    <s v="None"/>
    <s v="Very Sensitive"/>
    <n v="2"/>
    <n v="1"/>
    <s v="High"/>
    <s v="Desktop"/>
    <s v="PayPal"/>
    <d v="2024-05-13T00:00:00"/>
    <b v="1"/>
    <x v="0"/>
    <s v="Need-based"/>
    <s v="No Preference"/>
    <n v="14"/>
  </r>
  <r>
    <x v="91"/>
    <x v="91"/>
    <x v="29"/>
    <x v="2"/>
    <x v="6"/>
    <x v="1"/>
    <x v="1"/>
    <x v="2"/>
    <x v="1"/>
    <x v="90"/>
    <s v="awrn ad Daydah"/>
    <s v="ل¸گawrؤپn ad Daydah"/>
    <s v="Beauty &amp; Personal Care"/>
    <n v="108.61"/>
    <n v="10"/>
    <s v="In-Store"/>
    <x v="1"/>
    <n v="2"/>
    <n v="0"/>
    <s v="None"/>
    <s v="Very Sensitive"/>
    <n v="0"/>
    <n v="3"/>
    <s v="Low"/>
    <s v="Smartphone"/>
    <s v="Cash"/>
    <d v="2024-11-23T00:00:00"/>
    <b v="1"/>
    <x v="1"/>
    <s v="Need-based"/>
    <s v="No Preference"/>
    <n v="14"/>
  </r>
  <r>
    <x v="92"/>
    <x v="92"/>
    <x v="28"/>
    <x v="0"/>
    <x v="0"/>
    <x v="0"/>
    <x v="0"/>
    <x v="0"/>
    <x v="0"/>
    <x v="91"/>
    <s v="Magdalena"/>
    <s v="Magdalena"/>
    <s v="Health Care"/>
    <n v="366.77"/>
    <n v="7"/>
    <s v="Mixed"/>
    <x v="4"/>
    <n v="3"/>
    <n v="2"/>
    <s v="Low"/>
    <s v="Not Sensitive"/>
    <n v="0"/>
    <n v="9"/>
    <s v="None"/>
    <s v="Smartphone"/>
    <s v="Debit Card"/>
    <d v="2024-09-18T00:00:00"/>
    <b v="0"/>
    <x v="0"/>
    <s v="Impulsive"/>
    <s v="Standard"/>
    <n v="1"/>
  </r>
  <r>
    <x v="93"/>
    <x v="93"/>
    <x v="16"/>
    <x v="0"/>
    <x v="0"/>
    <x v="1"/>
    <x v="3"/>
    <x v="2"/>
    <x v="0"/>
    <x v="92"/>
    <s v="Lenica"/>
    <s v="Leإ›nica"/>
    <s v="Jewelry &amp; Accessories"/>
    <n v="178.04"/>
    <n v="5"/>
    <s v="In-Store"/>
    <x v="0"/>
    <n v="1"/>
    <n v="2"/>
    <s v="Medium"/>
    <s v="Somewhat Sensitive"/>
    <n v="0"/>
    <n v="5"/>
    <s v="High"/>
    <s v="Tablet"/>
    <s v="Credit Card"/>
    <d v="2024-07-16T00:00:00"/>
    <b v="0"/>
    <x v="0"/>
    <s v="Need-based"/>
    <s v="No Preference"/>
    <n v="12"/>
  </r>
  <r>
    <x v="94"/>
    <x v="94"/>
    <x v="25"/>
    <x v="0"/>
    <x v="0"/>
    <x v="1"/>
    <x v="3"/>
    <x v="1"/>
    <x v="1"/>
    <x v="93"/>
    <s v="Hinlayagan Ilaud"/>
    <s v="Hinlayagan Ilaud"/>
    <s v="Toys &amp; Games"/>
    <n v="461.09"/>
    <n v="8"/>
    <s v="Online"/>
    <x v="4"/>
    <n v="1"/>
    <n v="0"/>
    <s v="Medium"/>
    <s v="Somewhat Sensitive"/>
    <n v="0"/>
    <n v="4"/>
    <s v="Medium"/>
    <s v="Smartphone"/>
    <s v="Debit Card"/>
    <d v="2024-08-03T00:00:00"/>
    <b v="1"/>
    <x v="0"/>
    <s v="Need-based"/>
    <s v="No Preference"/>
    <n v="8"/>
  </r>
  <r>
    <x v="95"/>
    <x v="95"/>
    <x v="24"/>
    <x v="0"/>
    <x v="0"/>
    <x v="1"/>
    <x v="1"/>
    <x v="1"/>
    <x v="0"/>
    <x v="94"/>
    <s v="Forshaga"/>
    <s v="Forshaga"/>
    <s v="Hotels"/>
    <n v="211.16"/>
    <n v="5"/>
    <s v="In-Store"/>
    <x v="2"/>
    <n v="3"/>
    <n v="1"/>
    <s v="High"/>
    <s v="Very Sensitive"/>
    <n v="0"/>
    <n v="3"/>
    <s v="None"/>
    <s v="Smartphone"/>
    <s v="PayPal"/>
    <d v="2024-06-28T00:00:00"/>
    <b v="0"/>
    <x v="0"/>
    <s v="Planned"/>
    <s v="Standard"/>
    <n v="2"/>
  </r>
  <r>
    <x v="96"/>
    <x v="96"/>
    <x v="25"/>
    <x v="0"/>
    <x v="0"/>
    <x v="0"/>
    <x v="2"/>
    <x v="0"/>
    <x v="1"/>
    <x v="95"/>
    <s v="Rakszawa"/>
    <s v="Rakszawa"/>
    <s v="Animal Feed"/>
    <n v="421.95"/>
    <n v="8"/>
    <s v="Mixed"/>
    <x v="1"/>
    <n v="5"/>
    <n v="0"/>
    <s v="Medium"/>
    <s v="Not Sensitive"/>
    <n v="1"/>
    <n v="1"/>
    <s v="None"/>
    <s v="Smartphone"/>
    <s v="Other"/>
    <d v="2024-03-18T00:00:00"/>
    <b v="0"/>
    <x v="1"/>
    <s v="Need-based"/>
    <s v="No Preference"/>
    <n v="7"/>
  </r>
  <r>
    <x v="97"/>
    <x v="97"/>
    <x v="1"/>
    <x v="0"/>
    <x v="0"/>
    <x v="0"/>
    <x v="3"/>
    <x v="0"/>
    <x v="1"/>
    <x v="96"/>
    <s v="Fengjiang"/>
    <s v="Fengjiang"/>
    <s v="Furniture"/>
    <n v="378.59"/>
    <n v="5"/>
    <s v="Online"/>
    <x v="2"/>
    <n v="1"/>
    <n v="0"/>
    <s v="None"/>
    <s v="Somewhat Sensitive"/>
    <n v="0"/>
    <n v="4"/>
    <s v="High"/>
    <s v="Desktop"/>
    <s v="Other"/>
    <d v="2024-10-15T00:00:00"/>
    <b v="0"/>
    <x v="0"/>
    <s v="Wants-based"/>
    <s v="No Preference"/>
    <n v="14"/>
  </r>
  <r>
    <x v="98"/>
    <x v="98"/>
    <x v="25"/>
    <x v="2"/>
    <x v="4"/>
    <x v="1"/>
    <x v="3"/>
    <x v="1"/>
    <x v="1"/>
    <x v="97"/>
    <s v="Jiangcun"/>
    <s v="Jiangcun"/>
    <s v="Office Supplies"/>
    <n v="268.93"/>
    <n v="2"/>
    <s v="Mixed"/>
    <x v="0"/>
    <n v="5"/>
    <n v="1"/>
    <s v="Medium"/>
    <s v="Very Sensitive"/>
    <n v="1"/>
    <n v="3"/>
    <s v="None"/>
    <s v="Tablet"/>
    <s v="Debit Card"/>
    <d v="2024-11-23T00:00:00"/>
    <b v="0"/>
    <x v="0"/>
    <s v="Impulsive"/>
    <s v="Express"/>
    <n v="8"/>
  </r>
  <r>
    <x v="99"/>
    <x v="99"/>
    <x v="21"/>
    <x v="1"/>
    <x v="1"/>
    <x v="0"/>
    <x v="3"/>
    <x v="0"/>
    <x v="1"/>
    <x v="98"/>
    <s v="kuchi"/>
    <s v="إŒkuchi"/>
    <s v="Health Care"/>
    <n v="444.87"/>
    <n v="11"/>
    <s v="Online"/>
    <x v="0"/>
    <n v="4"/>
    <n v="0"/>
    <s v="Medium"/>
    <s v="Not Sensitive"/>
    <n v="1"/>
    <n v="8"/>
    <s v="Low"/>
    <s v="Desktop"/>
    <s v="Other"/>
    <d v="2024-11-29T00:00:00"/>
    <b v="0"/>
    <x v="0"/>
    <s v="Wants-based"/>
    <s v="No Preference"/>
    <n v="7"/>
  </r>
  <r>
    <x v="100"/>
    <x v="100"/>
    <x v="27"/>
    <x v="0"/>
    <x v="0"/>
    <x v="1"/>
    <x v="2"/>
    <x v="0"/>
    <x v="1"/>
    <x v="99"/>
    <s v="Novoukrainskiy"/>
    <s v="Novoukrainskiy"/>
    <s v="Beauty &amp; Personal Care"/>
    <n v="160.82"/>
    <n v="7"/>
    <s v="In-Store"/>
    <x v="1"/>
    <n v="1"/>
    <n v="1"/>
    <s v="High"/>
    <s v="Somewhat Sensitive"/>
    <n v="0"/>
    <n v="1"/>
    <s v="High"/>
    <s v="Smartphone"/>
    <s v="Cash"/>
    <d v="2024-07-09T00:00:00"/>
    <b v="1"/>
    <x v="1"/>
    <s v="Wants-based"/>
    <s v="No Preference"/>
    <n v="3"/>
  </r>
  <r>
    <x v="101"/>
    <x v="101"/>
    <x v="22"/>
    <x v="1"/>
    <x v="1"/>
    <x v="1"/>
    <x v="1"/>
    <x v="2"/>
    <x v="0"/>
    <x v="100"/>
    <s v="Acobambilla"/>
    <s v="Acobambilla"/>
    <s v="Hotels"/>
    <n v="494.18"/>
    <n v="6"/>
    <s v="Mixed"/>
    <x v="4"/>
    <n v="5"/>
    <n v="1"/>
    <s v="Medium"/>
    <s v="Not Sensitive"/>
    <n v="1"/>
    <n v="2"/>
    <s v="None"/>
    <s v="Desktop"/>
    <s v="Cash"/>
    <d v="2024-08-03T00:00:00"/>
    <b v="0"/>
    <x v="0"/>
    <s v="Need-based"/>
    <s v="Standard"/>
    <n v="14"/>
  </r>
  <r>
    <x v="102"/>
    <x v="102"/>
    <x v="0"/>
    <x v="1"/>
    <x v="1"/>
    <x v="0"/>
    <x v="1"/>
    <x v="0"/>
    <x v="0"/>
    <x v="101"/>
    <s v="Kyonju"/>
    <s v="Kyonju"/>
    <s v="Home Appliances"/>
    <n v="177.05"/>
    <n v="5"/>
    <s v="Online"/>
    <x v="1"/>
    <n v="1"/>
    <n v="1"/>
    <s v="None"/>
    <s v="Somewhat Sensitive"/>
    <n v="2"/>
    <n v="1"/>
    <s v="Low"/>
    <s v="Tablet"/>
    <s v="Cash"/>
    <d v="2024-12-04T00:00:00"/>
    <b v="1"/>
    <x v="1"/>
    <s v="Impulsive"/>
    <s v="Standard"/>
    <n v="1"/>
  </r>
  <r>
    <x v="103"/>
    <x v="103"/>
    <x v="31"/>
    <x v="0"/>
    <x v="0"/>
    <x v="0"/>
    <x v="0"/>
    <x v="2"/>
    <x v="1"/>
    <x v="102"/>
    <s v="Pomar"/>
    <s v="Pomar"/>
    <s v="Food &amp; Beverages"/>
    <n v="450.66"/>
    <n v="7"/>
    <s v="In-Store"/>
    <x v="2"/>
    <n v="5"/>
    <n v="0"/>
    <s v="High"/>
    <s v="Somewhat Sensitive"/>
    <n v="2"/>
    <n v="4"/>
    <s v="Medium"/>
    <s v="Tablet"/>
    <s v="Credit Card"/>
    <d v="2024-06-13T00:00:00"/>
    <b v="0"/>
    <x v="1"/>
    <s v="Need-based"/>
    <s v="No Preference"/>
    <n v="9"/>
  </r>
  <r>
    <x v="104"/>
    <x v="104"/>
    <x v="21"/>
    <x v="0"/>
    <x v="0"/>
    <x v="1"/>
    <x v="0"/>
    <x v="0"/>
    <x v="0"/>
    <x v="103"/>
    <s v="Zalan"/>
    <s v="Zalإ£an"/>
    <s v="Arts &amp; Crafts"/>
    <n v="164.27"/>
    <n v="6"/>
    <s v="Online"/>
    <x v="0"/>
    <n v="3"/>
    <n v="2"/>
    <s v="High"/>
    <s v="Not Sensitive"/>
    <n v="2"/>
    <n v="7"/>
    <s v="Low"/>
    <s v="Desktop"/>
    <s v="PayPal"/>
    <d v="2024-07-13T00:00:00"/>
    <b v="1"/>
    <x v="0"/>
    <s v="Wants-based"/>
    <s v="No Preference"/>
    <n v="14"/>
  </r>
  <r>
    <x v="105"/>
    <x v="105"/>
    <x v="14"/>
    <x v="0"/>
    <x v="0"/>
    <x v="0"/>
    <x v="2"/>
    <x v="2"/>
    <x v="1"/>
    <x v="104"/>
    <s v="Trlaz"/>
    <s v="Trأ©lazأ©"/>
    <s v="Food &amp; Beverages"/>
    <n v="346.36"/>
    <n v="12"/>
    <s v="Mixed"/>
    <x v="4"/>
    <n v="5"/>
    <n v="0"/>
    <s v="Medium"/>
    <s v="Somewhat Sensitive"/>
    <n v="0"/>
    <n v="7"/>
    <s v="Medium"/>
    <s v="Smartphone"/>
    <s v="Credit Card"/>
    <d v="2024-09-04T00:00:00"/>
    <b v="0"/>
    <x v="0"/>
    <s v="Need-based"/>
    <s v="Standard"/>
    <n v="14"/>
  </r>
  <r>
    <x v="106"/>
    <x v="106"/>
    <x v="4"/>
    <x v="0"/>
    <x v="0"/>
    <x v="0"/>
    <x v="2"/>
    <x v="1"/>
    <x v="1"/>
    <x v="105"/>
    <s v="Messina"/>
    <s v="Messina"/>
    <s v="Animal Feed"/>
    <n v="377.77"/>
    <n v="9"/>
    <s v="Mixed"/>
    <x v="4"/>
    <n v="2"/>
    <n v="1"/>
    <s v="Medium"/>
    <s v="Not Sensitive"/>
    <n v="1"/>
    <n v="5"/>
    <s v="Medium"/>
    <s v="Tablet"/>
    <s v="Credit Card"/>
    <d v="2024-08-26T00:00:00"/>
    <b v="1"/>
    <x v="1"/>
    <s v="Impulsive"/>
    <s v="Standard"/>
    <n v="3"/>
  </r>
  <r>
    <x v="107"/>
    <x v="107"/>
    <x v="19"/>
    <x v="0"/>
    <x v="0"/>
    <x v="0"/>
    <x v="2"/>
    <x v="1"/>
    <x v="0"/>
    <x v="106"/>
    <s v="Mrgowo"/>
    <s v="Mrؤ…gowo"/>
    <s v="Travel &amp; Leisure (Flights"/>
    <n v="163.41"/>
    <n v="2"/>
    <s v="In-Store"/>
    <x v="0"/>
    <n v="5"/>
    <n v="2"/>
    <s v="Low"/>
    <s v="Not Sensitive"/>
    <n v="1"/>
    <n v="8"/>
    <s v="High"/>
    <s v="Desktop"/>
    <s v="Other"/>
    <d v="2024-02-25T00:00:00"/>
    <b v="1"/>
    <x v="1"/>
    <s v="Need-based"/>
    <s v="Express"/>
    <n v="4"/>
  </r>
  <r>
    <x v="108"/>
    <x v="108"/>
    <x v="12"/>
    <x v="0"/>
    <x v="0"/>
    <x v="0"/>
    <x v="3"/>
    <x v="2"/>
    <x v="0"/>
    <x v="107"/>
    <s v="Ngawi"/>
    <s v="Ngawi"/>
    <s v="Hotels"/>
    <n v="467.58"/>
    <n v="10"/>
    <s v="Mixed"/>
    <x v="3"/>
    <n v="2"/>
    <n v="0"/>
    <s v="None"/>
    <s v="Somewhat Sensitive"/>
    <n v="1"/>
    <n v="6"/>
    <s v="Low"/>
    <s v="Desktop"/>
    <s v="PayPal"/>
    <d v="2024-04-15T00:00:00"/>
    <b v="1"/>
    <x v="1"/>
    <s v="Wants-based"/>
    <s v="Standard"/>
    <n v="7"/>
  </r>
  <r>
    <x v="109"/>
    <x v="109"/>
    <x v="7"/>
    <x v="0"/>
    <x v="0"/>
    <x v="0"/>
    <x v="2"/>
    <x v="0"/>
    <x v="1"/>
    <x v="108"/>
    <s v="Oslo"/>
    <s v="Oslo"/>
    <s v="Books"/>
    <n v="247.51"/>
    <n v="10"/>
    <s v="Mixed"/>
    <x v="2"/>
    <n v="1"/>
    <n v="2"/>
    <s v="Low"/>
    <s v="Somewhat Sensitive"/>
    <n v="1"/>
    <n v="8"/>
    <s v="Low"/>
    <s v="Tablet"/>
    <s v="Credit Card"/>
    <d v="2024-07-01T00:00:00"/>
    <b v="1"/>
    <x v="0"/>
    <s v="Impulsive"/>
    <s v="Standard"/>
    <n v="2"/>
  </r>
  <r>
    <x v="110"/>
    <x v="110"/>
    <x v="8"/>
    <x v="0"/>
    <x v="0"/>
    <x v="0"/>
    <x v="1"/>
    <x v="1"/>
    <x v="1"/>
    <x v="109"/>
    <s v="Dobrica"/>
    <s v="Dobrica"/>
    <s v="Office Supplies"/>
    <n v="365.1"/>
    <n v="3"/>
    <s v="In-Store"/>
    <x v="2"/>
    <n v="3"/>
    <n v="0"/>
    <s v="None"/>
    <s v="Not Sensitive"/>
    <n v="1"/>
    <n v="3"/>
    <s v="High"/>
    <s v="Desktop"/>
    <s v="Debit Card"/>
    <d v="2024-08-30T00:00:00"/>
    <b v="0"/>
    <x v="1"/>
    <s v="Wants-based"/>
    <s v="No Preference"/>
    <n v="1"/>
  </r>
  <r>
    <x v="111"/>
    <x v="111"/>
    <x v="9"/>
    <x v="0"/>
    <x v="0"/>
    <x v="1"/>
    <x v="1"/>
    <x v="2"/>
    <x v="0"/>
    <x v="110"/>
    <s v="La Roche-sur-Yon"/>
    <s v="La Roche-sur-Yon"/>
    <s v="Health Care"/>
    <n v="485.42"/>
    <n v="5"/>
    <s v="Online"/>
    <x v="3"/>
    <n v="2"/>
    <n v="2"/>
    <s v="High"/>
    <s v="Somewhat Sensitive"/>
    <n v="1"/>
    <n v="6"/>
    <s v="High"/>
    <s v="Desktop"/>
    <s v="Other"/>
    <d v="2024-11-13T00:00:00"/>
    <b v="1"/>
    <x v="0"/>
    <s v="Wants-based"/>
    <s v="No Preference"/>
    <n v="4"/>
  </r>
  <r>
    <x v="112"/>
    <x v="112"/>
    <x v="30"/>
    <x v="0"/>
    <x v="0"/>
    <x v="0"/>
    <x v="2"/>
    <x v="0"/>
    <x v="1"/>
    <x v="111"/>
    <s v="Point Pedro"/>
    <s v="Point Pedro"/>
    <s v="Health Care"/>
    <n v="250.54"/>
    <n v="4"/>
    <s v="In-Store"/>
    <x v="1"/>
    <n v="3"/>
    <n v="1"/>
    <s v="High"/>
    <s v="Not Sensitive"/>
    <n v="2"/>
    <n v="10"/>
    <s v="None"/>
    <s v="Desktop"/>
    <s v="Credit Card"/>
    <d v="2024-12-27T00:00:00"/>
    <b v="0"/>
    <x v="0"/>
    <s v="Wants-based"/>
    <s v="No Preference"/>
    <n v="3"/>
  </r>
  <r>
    <x v="113"/>
    <x v="113"/>
    <x v="1"/>
    <x v="0"/>
    <x v="0"/>
    <x v="0"/>
    <x v="3"/>
    <x v="1"/>
    <x v="1"/>
    <x v="30"/>
    <s v="Marseille"/>
    <s v="Marseille"/>
    <s v="Jewelry &amp; Accessories"/>
    <n v="163.13999999999999"/>
    <n v="5"/>
    <s v="Mixed"/>
    <x v="0"/>
    <n v="4"/>
    <n v="0"/>
    <s v="Low"/>
    <s v="Somewhat Sensitive"/>
    <n v="1"/>
    <n v="2"/>
    <s v="None"/>
    <s v="Desktop"/>
    <s v="Debit Card"/>
    <d v="2024-08-07T00:00:00"/>
    <b v="1"/>
    <x v="1"/>
    <s v="Planned"/>
    <s v="No Preference"/>
    <n v="1"/>
  </r>
  <r>
    <x v="114"/>
    <x v="114"/>
    <x v="6"/>
    <x v="1"/>
    <x v="1"/>
    <x v="1"/>
    <x v="3"/>
    <x v="0"/>
    <x v="0"/>
    <x v="112"/>
    <s v="Tianbao"/>
    <s v="Tianbao"/>
    <s v="Gardening &amp; Outdoors"/>
    <n v="162.31"/>
    <n v="8"/>
    <s v="In-Store"/>
    <x v="0"/>
    <n v="1"/>
    <n v="1"/>
    <s v="High"/>
    <s v="Very Sensitive"/>
    <n v="1"/>
    <n v="2"/>
    <s v="Medium"/>
    <s v="Tablet"/>
    <s v="Credit Card"/>
    <d v="2024-10-05T00:00:00"/>
    <b v="0"/>
    <x v="0"/>
    <s v="Need-based"/>
    <s v="No Preference"/>
    <n v="11"/>
  </r>
  <r>
    <x v="115"/>
    <x v="115"/>
    <x v="14"/>
    <x v="1"/>
    <x v="1"/>
    <x v="0"/>
    <x v="2"/>
    <x v="2"/>
    <x v="1"/>
    <x v="113"/>
    <s v="Puqian"/>
    <s v="Puqian"/>
    <s v="Office Supplies"/>
    <n v="328.21"/>
    <n v="7"/>
    <s v="Mixed"/>
    <x v="0"/>
    <n v="5"/>
    <n v="2"/>
    <s v="Low"/>
    <s v="Not Sensitive"/>
    <n v="2"/>
    <n v="2"/>
    <s v="Low"/>
    <s v="Smartphone"/>
    <s v="Credit Card"/>
    <d v="2024-02-14T00:00:00"/>
    <b v="0"/>
    <x v="0"/>
    <s v="Need-based"/>
    <s v="No Preference"/>
    <n v="12"/>
  </r>
  <r>
    <x v="116"/>
    <x v="116"/>
    <x v="12"/>
    <x v="0"/>
    <x v="0"/>
    <x v="1"/>
    <x v="0"/>
    <x v="2"/>
    <x v="1"/>
    <x v="114"/>
    <s v="Binalbagan"/>
    <s v="Binalbagan"/>
    <s v="Sports &amp; Outdoors"/>
    <n v="268.58999999999997"/>
    <n v="4"/>
    <s v="Online"/>
    <x v="1"/>
    <n v="3"/>
    <n v="1"/>
    <s v="High"/>
    <s v="Very Sensitive"/>
    <n v="1"/>
    <n v="1"/>
    <s v="Medium"/>
    <s v="Desktop"/>
    <s v="Debit Card"/>
    <d v="2024-04-05T00:00:00"/>
    <b v="1"/>
    <x v="1"/>
    <s v="Need-based"/>
    <s v="Standard"/>
    <n v="3"/>
  </r>
  <r>
    <x v="117"/>
    <x v="117"/>
    <x v="27"/>
    <x v="0"/>
    <x v="0"/>
    <x v="1"/>
    <x v="3"/>
    <x v="1"/>
    <x v="1"/>
    <x v="115"/>
    <s v="Tessalit"/>
    <s v="Tessalit"/>
    <s v="Electronics"/>
    <n v="257.37"/>
    <n v="7"/>
    <s v="Online"/>
    <x v="1"/>
    <n v="3"/>
    <n v="0"/>
    <s v="Medium"/>
    <s v="Very Sensitive"/>
    <n v="2"/>
    <n v="5"/>
    <s v="Medium"/>
    <s v="Smartphone"/>
    <s v="PayPal"/>
    <d v="2024-02-01T00:00:00"/>
    <b v="1"/>
    <x v="0"/>
    <s v="Wants-based"/>
    <s v="Express"/>
    <n v="13"/>
  </r>
  <r>
    <x v="118"/>
    <x v="118"/>
    <x v="30"/>
    <x v="0"/>
    <x v="0"/>
    <x v="0"/>
    <x v="1"/>
    <x v="1"/>
    <x v="1"/>
    <x v="116"/>
    <s v="Nikolayevsk"/>
    <s v="Nikolayevsk"/>
    <s v="Office Supplies"/>
    <n v="205.49"/>
    <n v="4"/>
    <s v="In-Store"/>
    <x v="0"/>
    <n v="3"/>
    <n v="2"/>
    <s v="Low"/>
    <s v="Somewhat Sensitive"/>
    <n v="2"/>
    <n v="2"/>
    <s v="High"/>
    <s v="Tablet"/>
    <s v="Cash"/>
    <d v="2024-11-09T00:00:00"/>
    <b v="1"/>
    <x v="0"/>
    <s v="Need-based"/>
    <s v="Express"/>
    <n v="11"/>
  </r>
  <r>
    <x v="119"/>
    <x v="119"/>
    <x v="13"/>
    <x v="1"/>
    <x v="1"/>
    <x v="1"/>
    <x v="3"/>
    <x v="2"/>
    <x v="1"/>
    <x v="117"/>
    <s v="Dashuipo"/>
    <s v="Dashuipo"/>
    <s v="Mobile Accessories"/>
    <n v="407.91"/>
    <n v="7"/>
    <s v="In-Store"/>
    <x v="2"/>
    <n v="5"/>
    <n v="0"/>
    <s v="Low"/>
    <s v="Not Sensitive"/>
    <n v="0"/>
    <n v="5"/>
    <s v="Low"/>
    <s v="Tablet"/>
    <s v="Other"/>
    <d v="2024-06-17T00:00:00"/>
    <b v="1"/>
    <x v="1"/>
    <s v="Need-based"/>
    <s v="Standard"/>
    <n v="14"/>
  </r>
  <r>
    <x v="120"/>
    <x v="120"/>
    <x v="4"/>
    <x v="0"/>
    <x v="0"/>
    <x v="1"/>
    <x v="3"/>
    <x v="0"/>
    <x v="1"/>
    <x v="118"/>
    <s v="Tn nad Vltavou"/>
    <s v="Tأ½n nad Vltavou"/>
    <s v="Food &amp; Beverages"/>
    <n v="254.73"/>
    <n v="6"/>
    <s v="Online"/>
    <x v="4"/>
    <n v="3"/>
    <n v="0"/>
    <s v="Medium"/>
    <s v="Very Sensitive"/>
    <n v="0"/>
    <n v="3"/>
    <s v="Low"/>
    <s v="Smartphone"/>
    <s v="Other"/>
    <d v="2024-06-01T00:00:00"/>
    <b v="1"/>
    <x v="1"/>
    <s v="Impulsive"/>
    <s v="Express"/>
    <n v="3"/>
  </r>
  <r>
    <x v="121"/>
    <x v="121"/>
    <x v="12"/>
    <x v="0"/>
    <x v="0"/>
    <x v="0"/>
    <x v="3"/>
    <x v="0"/>
    <x v="1"/>
    <x v="119"/>
    <s v="Kaum Kaler"/>
    <s v="Kaum Kaler"/>
    <s v="Clothing"/>
    <n v="397.78"/>
    <n v="12"/>
    <s v="Online"/>
    <x v="1"/>
    <n v="3"/>
    <n v="1"/>
    <s v="Medium"/>
    <s v="Not Sensitive"/>
    <n v="2"/>
    <n v="7"/>
    <s v="Medium"/>
    <s v="Smartphone"/>
    <s v="PayPal"/>
    <d v="2024-09-24T00:00:00"/>
    <b v="0"/>
    <x v="1"/>
    <s v="Impulsive"/>
    <s v="No Preference"/>
    <n v="11"/>
  </r>
  <r>
    <x v="122"/>
    <x v="122"/>
    <x v="4"/>
    <x v="0"/>
    <x v="0"/>
    <x v="1"/>
    <x v="0"/>
    <x v="0"/>
    <x v="1"/>
    <x v="120"/>
    <s v="Gandapura"/>
    <s v="Gandapura"/>
    <s v="Electronics"/>
    <n v="305.29000000000002"/>
    <n v="3"/>
    <s v="Online"/>
    <x v="2"/>
    <n v="3"/>
    <n v="1"/>
    <s v="Medium"/>
    <s v="Very Sensitive"/>
    <n v="1"/>
    <n v="8"/>
    <s v="Medium"/>
    <s v="Desktop"/>
    <s v="Debit Card"/>
    <d v="2024-09-05T00:00:00"/>
    <b v="1"/>
    <x v="1"/>
    <s v="Impulsive"/>
    <s v="Standard"/>
    <n v="10"/>
  </r>
  <r>
    <x v="123"/>
    <x v="123"/>
    <x v="5"/>
    <x v="1"/>
    <x v="1"/>
    <x v="0"/>
    <x v="3"/>
    <x v="1"/>
    <x v="1"/>
    <x v="121"/>
    <s v="Kawangkoan"/>
    <s v="Kawangkoan"/>
    <s v="Food &amp; Beverages"/>
    <n v="257.86"/>
    <n v="6"/>
    <s v="Online"/>
    <x v="2"/>
    <n v="2"/>
    <n v="0"/>
    <s v="None"/>
    <s v="Somewhat Sensitive"/>
    <n v="0"/>
    <n v="4"/>
    <s v="High"/>
    <s v="Tablet"/>
    <s v="PayPal"/>
    <d v="2024-06-12T00:00:00"/>
    <b v="1"/>
    <x v="1"/>
    <s v="Need-based"/>
    <s v="Express"/>
    <n v="1"/>
  </r>
  <r>
    <x v="124"/>
    <x v="124"/>
    <x v="21"/>
    <x v="0"/>
    <x v="0"/>
    <x v="1"/>
    <x v="1"/>
    <x v="1"/>
    <x v="0"/>
    <x v="122"/>
    <s v="Mondorf-les-Bains"/>
    <s v="Mondorf-les-Bains"/>
    <s v="Jewelry &amp; Accessories"/>
    <n v="393.45"/>
    <n v="12"/>
    <s v="In-Store"/>
    <x v="1"/>
    <n v="1"/>
    <n v="0"/>
    <s v="Low"/>
    <s v="Somewhat Sensitive"/>
    <n v="2"/>
    <n v="10"/>
    <s v="Medium"/>
    <s v="Desktop"/>
    <s v="Credit Card"/>
    <d v="2024-10-06T00:00:00"/>
    <b v="0"/>
    <x v="0"/>
    <s v="Need-based"/>
    <s v="Express"/>
    <n v="12"/>
  </r>
  <r>
    <x v="125"/>
    <x v="125"/>
    <x v="12"/>
    <x v="1"/>
    <x v="1"/>
    <x v="1"/>
    <x v="0"/>
    <x v="0"/>
    <x v="0"/>
    <x v="123"/>
    <s v="Manwakh"/>
    <s v="Manwakh"/>
    <s v="Health Supplements"/>
    <n v="58.49"/>
    <n v="6"/>
    <s v="Online"/>
    <x v="2"/>
    <n v="2"/>
    <n v="0"/>
    <s v="Medium"/>
    <s v="Very Sensitive"/>
    <n v="0"/>
    <n v="8"/>
    <s v="High"/>
    <s v="Tablet"/>
    <s v="Other"/>
    <d v="2024-07-29T00:00:00"/>
    <b v="1"/>
    <x v="1"/>
    <s v="Planned"/>
    <s v="Express"/>
    <n v="7"/>
  </r>
  <r>
    <x v="126"/>
    <x v="126"/>
    <x v="21"/>
    <x v="1"/>
    <x v="1"/>
    <x v="0"/>
    <x v="1"/>
    <x v="1"/>
    <x v="0"/>
    <x v="124"/>
    <s v="Karlstad"/>
    <s v="Karlstad"/>
    <s v="Beauty &amp; Personal Care"/>
    <n v="226.48"/>
    <n v="11"/>
    <s v="In-Store"/>
    <x v="0"/>
    <n v="3"/>
    <n v="2"/>
    <s v="None"/>
    <s v="Not Sensitive"/>
    <n v="2"/>
    <n v="7"/>
    <s v="High"/>
    <s v="Tablet"/>
    <s v="Debit Card"/>
    <d v="2024-10-18T00:00:00"/>
    <b v="1"/>
    <x v="0"/>
    <s v="Need-based"/>
    <s v="Express"/>
    <n v="11"/>
  </r>
  <r>
    <x v="127"/>
    <x v="127"/>
    <x v="29"/>
    <x v="0"/>
    <x v="0"/>
    <x v="1"/>
    <x v="1"/>
    <x v="2"/>
    <x v="0"/>
    <x v="125"/>
    <s v="Obong"/>
    <s v="Obong"/>
    <s v="Health Care"/>
    <n v="469.22"/>
    <n v="6"/>
    <s v="In-Store"/>
    <x v="3"/>
    <n v="1"/>
    <n v="1"/>
    <s v="High"/>
    <s v="Not Sensitive"/>
    <n v="0"/>
    <n v="1"/>
    <s v="Low"/>
    <s v="Tablet"/>
    <s v="Credit Card"/>
    <d v="2024-08-07T00:00:00"/>
    <b v="0"/>
    <x v="0"/>
    <s v="Wants-based"/>
    <s v="No Preference"/>
    <n v="7"/>
  </r>
  <r>
    <x v="128"/>
    <x v="128"/>
    <x v="21"/>
    <x v="0"/>
    <x v="0"/>
    <x v="1"/>
    <x v="3"/>
    <x v="1"/>
    <x v="1"/>
    <x v="126"/>
    <s v="Kolsko"/>
    <s v="Kolsko"/>
    <s v="Jewelry &amp; Accessories"/>
    <n v="335.32"/>
    <n v="6"/>
    <s v="Mixed"/>
    <x v="1"/>
    <n v="3"/>
    <n v="1"/>
    <s v="None"/>
    <s v="Not Sensitive"/>
    <n v="0"/>
    <n v="1"/>
    <s v="Low"/>
    <s v="Desktop"/>
    <s v="Other"/>
    <d v="2024-08-12T00:00:00"/>
    <b v="1"/>
    <x v="0"/>
    <s v="Planned"/>
    <s v="No Preference"/>
    <n v="10"/>
  </r>
  <r>
    <x v="129"/>
    <x v="129"/>
    <x v="16"/>
    <x v="1"/>
    <x v="1"/>
    <x v="1"/>
    <x v="3"/>
    <x v="1"/>
    <x v="0"/>
    <x v="127"/>
    <s v="Dlbandn"/>
    <s v="Dؤپlbandؤ«n"/>
    <s v="Animal Feed"/>
    <n v="184.74"/>
    <n v="5"/>
    <s v="In-Store"/>
    <x v="4"/>
    <n v="4"/>
    <n v="0"/>
    <s v="Medium"/>
    <s v="Very Sensitive"/>
    <n v="1"/>
    <n v="5"/>
    <s v="High"/>
    <s v="Tablet"/>
    <s v="Debit Card"/>
    <d v="2024-11-27T00:00:00"/>
    <b v="0"/>
    <x v="1"/>
    <s v="Impulsive"/>
    <s v="No Preference"/>
    <n v="10"/>
  </r>
  <r>
    <x v="130"/>
    <x v="130"/>
    <x v="14"/>
    <x v="2"/>
    <x v="7"/>
    <x v="1"/>
    <x v="3"/>
    <x v="0"/>
    <x v="0"/>
    <x v="128"/>
    <s v="Shazi"/>
    <s v="Shazi"/>
    <s v="Travel &amp; Leisure (Flights"/>
    <n v="442.18"/>
    <n v="5"/>
    <s v="In-Store"/>
    <x v="4"/>
    <n v="3"/>
    <n v="1"/>
    <s v="None"/>
    <s v="Very Sensitive"/>
    <n v="2"/>
    <n v="10"/>
    <s v="High"/>
    <s v="Smartphone"/>
    <s v="PayPal"/>
    <d v="2024-01-25T00:00:00"/>
    <b v="0"/>
    <x v="0"/>
    <s v="Impulsive"/>
    <s v="Express"/>
    <n v="12"/>
  </r>
  <r>
    <x v="131"/>
    <x v="131"/>
    <x v="1"/>
    <x v="1"/>
    <x v="1"/>
    <x v="1"/>
    <x v="0"/>
    <x v="1"/>
    <x v="0"/>
    <x v="129"/>
    <s v="Hachiji"/>
    <s v="Hachiإچji"/>
    <s v="Health Supplements"/>
    <n v="427.1"/>
    <n v="8"/>
    <s v="Mixed"/>
    <x v="3"/>
    <n v="2"/>
    <n v="1"/>
    <s v="High"/>
    <s v="Somewhat Sensitive"/>
    <n v="0"/>
    <n v="2"/>
    <s v="Medium"/>
    <s v="Desktop"/>
    <s v="PayPal"/>
    <d v="2024-05-10T00:00:00"/>
    <b v="0"/>
    <x v="1"/>
    <s v="Planned"/>
    <s v="No Preference"/>
    <n v="5"/>
  </r>
  <r>
    <x v="132"/>
    <x v="132"/>
    <x v="10"/>
    <x v="1"/>
    <x v="1"/>
    <x v="1"/>
    <x v="2"/>
    <x v="1"/>
    <x v="1"/>
    <x v="130"/>
    <s v="Jolo"/>
    <s v="Jolo"/>
    <s v="Home Appliances"/>
    <n v="326.82"/>
    <n v="4"/>
    <s v="Mixed"/>
    <x v="1"/>
    <n v="2"/>
    <n v="1"/>
    <s v="High"/>
    <s v="Somewhat Sensitive"/>
    <n v="2"/>
    <n v="5"/>
    <s v="Medium"/>
    <s v="Tablet"/>
    <s v="Credit Card"/>
    <d v="2024-04-22T00:00:00"/>
    <b v="1"/>
    <x v="0"/>
    <s v="Planned"/>
    <s v="Standard"/>
    <n v="4"/>
  </r>
  <r>
    <x v="133"/>
    <x v="133"/>
    <x v="30"/>
    <x v="1"/>
    <x v="1"/>
    <x v="1"/>
    <x v="2"/>
    <x v="1"/>
    <x v="0"/>
    <x v="131"/>
    <s v="Pedra Azul"/>
    <s v="Pedra Azul"/>
    <s v="Hotels"/>
    <n v="98.97"/>
    <n v="12"/>
    <s v="In-Store"/>
    <x v="2"/>
    <n v="5"/>
    <n v="2"/>
    <s v="None"/>
    <s v="Very Sensitive"/>
    <n v="1"/>
    <n v="7"/>
    <s v="High"/>
    <s v="Tablet"/>
    <s v="Other"/>
    <d v="2024-03-19T00:00:00"/>
    <b v="1"/>
    <x v="1"/>
    <s v="Impulsive"/>
    <s v="No Preference"/>
    <n v="11"/>
  </r>
  <r>
    <x v="134"/>
    <x v="134"/>
    <x v="4"/>
    <x v="1"/>
    <x v="1"/>
    <x v="1"/>
    <x v="1"/>
    <x v="1"/>
    <x v="1"/>
    <x v="132"/>
    <s v="Gustavsberg"/>
    <s v="Gustavsberg"/>
    <s v="Health Care"/>
    <n v="77.650000000000006"/>
    <n v="6"/>
    <s v="Online"/>
    <x v="3"/>
    <n v="4"/>
    <n v="1"/>
    <s v="Medium"/>
    <s v="Somewhat Sensitive"/>
    <n v="2"/>
    <n v="3"/>
    <s v="None"/>
    <s v="Tablet"/>
    <s v="Cash"/>
    <d v="2024-01-24T00:00:00"/>
    <b v="1"/>
    <x v="1"/>
    <s v="Planned"/>
    <s v="No Preference"/>
    <n v="1"/>
  </r>
  <r>
    <x v="135"/>
    <x v="135"/>
    <x v="26"/>
    <x v="0"/>
    <x v="0"/>
    <x v="0"/>
    <x v="2"/>
    <x v="2"/>
    <x v="1"/>
    <x v="133"/>
    <s v="La Mohammedia"/>
    <s v="La Mohammedia"/>
    <s v="Electronics"/>
    <n v="85.61"/>
    <n v="2"/>
    <s v="Online"/>
    <x v="4"/>
    <n v="2"/>
    <n v="1"/>
    <s v="High"/>
    <s v="Not Sensitive"/>
    <n v="1"/>
    <n v="3"/>
    <s v="Low"/>
    <s v="Desktop"/>
    <s v="Other"/>
    <d v="2024-10-04T00:00:00"/>
    <b v="1"/>
    <x v="1"/>
    <s v="Need-based"/>
    <s v="Standard"/>
    <n v="5"/>
  </r>
  <r>
    <x v="136"/>
    <x v="136"/>
    <x v="26"/>
    <x v="1"/>
    <x v="1"/>
    <x v="1"/>
    <x v="2"/>
    <x v="1"/>
    <x v="1"/>
    <x v="134"/>
    <s v="Florida"/>
    <s v="Florida"/>
    <s v="Food &amp; Beverages"/>
    <n v="164.79"/>
    <n v="4"/>
    <s v="In-Store"/>
    <x v="1"/>
    <n v="2"/>
    <n v="0"/>
    <s v="None"/>
    <s v="Somewhat Sensitive"/>
    <n v="2"/>
    <n v="5"/>
    <s v="High"/>
    <s v="Tablet"/>
    <s v="Credit Card"/>
    <d v="2024-05-23T00:00:00"/>
    <b v="1"/>
    <x v="1"/>
    <s v="Impulsive"/>
    <s v="No Preference"/>
    <n v="1"/>
  </r>
  <r>
    <x v="137"/>
    <x v="137"/>
    <x v="3"/>
    <x v="0"/>
    <x v="0"/>
    <x v="1"/>
    <x v="2"/>
    <x v="1"/>
    <x v="1"/>
    <x v="135"/>
    <s v="Zhongcheng"/>
    <s v="Zhongcheng"/>
    <s v="Health Supplements"/>
    <n v="235.46"/>
    <n v="10"/>
    <s v="In-Store"/>
    <x v="1"/>
    <n v="4"/>
    <n v="2"/>
    <s v="None"/>
    <s v="Not Sensitive"/>
    <n v="0"/>
    <n v="7"/>
    <s v="None"/>
    <s v="Desktop"/>
    <s v="Credit Card"/>
    <d v="2024-11-13T00:00:00"/>
    <b v="0"/>
    <x v="1"/>
    <s v="Impulsive"/>
    <s v="No Preference"/>
    <n v="2"/>
  </r>
  <r>
    <x v="138"/>
    <x v="138"/>
    <x v="15"/>
    <x v="0"/>
    <x v="0"/>
    <x v="1"/>
    <x v="2"/>
    <x v="2"/>
    <x v="0"/>
    <x v="136"/>
    <s v="Goiatuba"/>
    <s v="Goiatuba"/>
    <s v="Books"/>
    <n v="245.14"/>
    <n v="4"/>
    <s v="Online"/>
    <x v="4"/>
    <n v="5"/>
    <n v="1"/>
    <s v="High"/>
    <s v="Very Sensitive"/>
    <n v="1"/>
    <n v="4"/>
    <s v="Medium"/>
    <s v="Smartphone"/>
    <s v="PayPal"/>
    <d v="2024-03-03T00:00:00"/>
    <b v="1"/>
    <x v="0"/>
    <s v="Impulsive"/>
    <s v="Standard"/>
    <n v="3"/>
  </r>
  <r>
    <x v="139"/>
    <x v="139"/>
    <x v="20"/>
    <x v="1"/>
    <x v="1"/>
    <x v="1"/>
    <x v="3"/>
    <x v="0"/>
    <x v="0"/>
    <x v="137"/>
    <s v="Krajan Kidul Rojopolo"/>
    <s v="Krajan Kidul Rojopolo"/>
    <s v="Toys &amp; Games"/>
    <n v="439.91"/>
    <n v="5"/>
    <s v="Online"/>
    <x v="3"/>
    <n v="4"/>
    <n v="2"/>
    <s v="Low"/>
    <s v="Somewhat Sensitive"/>
    <n v="0"/>
    <n v="9"/>
    <s v="Medium"/>
    <s v="Smartphone"/>
    <s v="Other"/>
    <d v="2024-03-03T00:00:00"/>
    <b v="0"/>
    <x v="0"/>
    <s v="Need-based"/>
    <s v="Express"/>
    <n v="10"/>
  </r>
  <r>
    <x v="140"/>
    <x v="140"/>
    <x v="16"/>
    <x v="1"/>
    <x v="1"/>
    <x v="1"/>
    <x v="2"/>
    <x v="1"/>
    <x v="1"/>
    <x v="138"/>
    <s v="Metchosin"/>
    <s v="Metchosin"/>
    <s v="Home Appliances"/>
    <n v="309.22000000000003"/>
    <n v="5"/>
    <s v="Mixed"/>
    <x v="1"/>
    <n v="5"/>
    <n v="2"/>
    <s v="Low"/>
    <s v="Not Sensitive"/>
    <n v="2"/>
    <n v="4"/>
    <s v="None"/>
    <s v="Tablet"/>
    <s v="Cash"/>
    <d v="2024-03-24T00:00:00"/>
    <b v="0"/>
    <x v="0"/>
    <s v="Planned"/>
    <s v="Standard"/>
    <n v="10"/>
  </r>
  <r>
    <x v="141"/>
    <x v="141"/>
    <x v="23"/>
    <x v="1"/>
    <x v="1"/>
    <x v="0"/>
    <x v="2"/>
    <x v="2"/>
    <x v="0"/>
    <x v="139"/>
    <s v="Staritsa"/>
    <s v="Staritsa"/>
    <s v="Groceries"/>
    <n v="146.59"/>
    <n v="10"/>
    <s v="Mixed"/>
    <x v="0"/>
    <n v="1"/>
    <n v="2"/>
    <s v="Low"/>
    <s v="Very Sensitive"/>
    <n v="0"/>
    <n v="2"/>
    <s v="None"/>
    <s v="Smartphone"/>
    <s v="Cash"/>
    <d v="2024-01-22T00:00:00"/>
    <b v="0"/>
    <x v="1"/>
    <s v="Impulsive"/>
    <s v="No Preference"/>
    <n v="3"/>
  </r>
  <r>
    <x v="142"/>
    <x v="142"/>
    <x v="18"/>
    <x v="1"/>
    <x v="1"/>
    <x v="0"/>
    <x v="1"/>
    <x v="1"/>
    <x v="0"/>
    <x v="140"/>
    <s v="Benito Juarez"/>
    <s v="Benito Juarez"/>
    <s v="Hotels"/>
    <n v="298.73"/>
    <n v="4"/>
    <s v="Online"/>
    <x v="3"/>
    <n v="5"/>
    <n v="1"/>
    <s v="High"/>
    <s v="Not Sensitive"/>
    <n v="0"/>
    <n v="2"/>
    <s v="Low"/>
    <s v="Tablet"/>
    <s v="Debit Card"/>
    <d v="2024-11-02T00:00:00"/>
    <b v="0"/>
    <x v="1"/>
    <s v="Need-based"/>
    <s v="No Preference"/>
    <n v="4"/>
  </r>
  <r>
    <x v="143"/>
    <x v="143"/>
    <x v="24"/>
    <x v="2"/>
    <x v="7"/>
    <x v="1"/>
    <x v="1"/>
    <x v="0"/>
    <x v="1"/>
    <x v="141"/>
    <s v="Man"/>
    <s v="Manأ­"/>
    <s v="Food &amp; Beverages"/>
    <n v="395.01"/>
    <n v="2"/>
    <s v="Mixed"/>
    <x v="3"/>
    <n v="2"/>
    <n v="2"/>
    <s v="Medium"/>
    <s v="Very Sensitive"/>
    <n v="0"/>
    <n v="6"/>
    <s v="Medium"/>
    <s v="Desktop"/>
    <s v="Credit Card"/>
    <d v="2024-04-18T00:00:00"/>
    <b v="1"/>
    <x v="0"/>
    <s v="Wants-based"/>
    <s v="Standard"/>
    <n v="3"/>
  </r>
  <r>
    <x v="144"/>
    <x v="144"/>
    <x v="30"/>
    <x v="1"/>
    <x v="1"/>
    <x v="0"/>
    <x v="0"/>
    <x v="0"/>
    <x v="1"/>
    <x v="142"/>
    <s v="Vitali"/>
    <s v="Vitali"/>
    <s v="Electronics"/>
    <n v="371.19"/>
    <n v="10"/>
    <s v="Mixed"/>
    <x v="3"/>
    <n v="2"/>
    <n v="2"/>
    <s v="High"/>
    <s v="Somewhat Sensitive"/>
    <n v="1"/>
    <n v="8"/>
    <s v="Medium"/>
    <s v="Desktop"/>
    <s v="Credit Card"/>
    <d v="2024-08-27T00:00:00"/>
    <b v="0"/>
    <x v="0"/>
    <s v="Planned"/>
    <s v="Express"/>
    <n v="1"/>
  </r>
  <r>
    <x v="145"/>
    <x v="145"/>
    <x v="4"/>
    <x v="0"/>
    <x v="0"/>
    <x v="0"/>
    <x v="0"/>
    <x v="2"/>
    <x v="1"/>
    <x v="143"/>
    <s v="Mizque"/>
    <s v="Mizque"/>
    <s v="Electronics"/>
    <n v="193.76"/>
    <n v="10"/>
    <s v="Mixed"/>
    <x v="4"/>
    <n v="3"/>
    <n v="1"/>
    <s v="Medium"/>
    <s v="Not Sensitive"/>
    <n v="0"/>
    <n v="2"/>
    <s v="Low"/>
    <s v="Desktop"/>
    <s v="Debit Card"/>
    <d v="2024-02-03T00:00:00"/>
    <b v="0"/>
    <x v="0"/>
    <s v="Wants-based"/>
    <s v="No Preference"/>
    <n v="12"/>
  </r>
  <r>
    <x v="146"/>
    <x v="146"/>
    <x v="20"/>
    <x v="1"/>
    <x v="1"/>
    <x v="0"/>
    <x v="3"/>
    <x v="2"/>
    <x v="1"/>
    <x v="144"/>
    <s v="Zgornje Pirnie"/>
    <s v="Zgornje Pirniؤچe"/>
    <s v="Baby Products"/>
    <n v="424.27"/>
    <n v="6"/>
    <s v="Online"/>
    <x v="3"/>
    <n v="4"/>
    <n v="2"/>
    <s v="None"/>
    <s v="Not Sensitive"/>
    <n v="2"/>
    <n v="8"/>
    <s v="Low"/>
    <s v="Tablet"/>
    <s v="Cash"/>
    <d v="2024-09-15T00:00:00"/>
    <b v="1"/>
    <x v="1"/>
    <s v="Planned"/>
    <s v="Standard"/>
    <n v="12"/>
  </r>
  <r>
    <x v="147"/>
    <x v="147"/>
    <x v="9"/>
    <x v="1"/>
    <x v="1"/>
    <x v="1"/>
    <x v="1"/>
    <x v="0"/>
    <x v="1"/>
    <x v="145"/>
    <s v="Cipolletti"/>
    <s v="Cipolletti"/>
    <s v="Jewelry &amp; Accessories"/>
    <n v="496.11"/>
    <n v="2"/>
    <s v="Mixed"/>
    <x v="2"/>
    <n v="3"/>
    <n v="1"/>
    <s v="High"/>
    <s v="Somewhat Sensitive"/>
    <n v="2"/>
    <n v="8"/>
    <s v="High"/>
    <s v="Smartphone"/>
    <s v="PayPal"/>
    <d v="2024-06-08T00:00:00"/>
    <b v="1"/>
    <x v="0"/>
    <s v="Impulsive"/>
    <s v="Standard"/>
    <n v="12"/>
  </r>
  <r>
    <x v="148"/>
    <x v="148"/>
    <x v="30"/>
    <x v="1"/>
    <x v="1"/>
    <x v="1"/>
    <x v="2"/>
    <x v="0"/>
    <x v="0"/>
    <x v="146"/>
    <s v="Sollefte"/>
    <s v="Sollefteأ¥"/>
    <s v="Baby Products"/>
    <n v="341.91"/>
    <n v="3"/>
    <s v="Online"/>
    <x v="4"/>
    <n v="4"/>
    <n v="0"/>
    <s v="Low"/>
    <s v="Not Sensitive"/>
    <n v="1"/>
    <n v="9"/>
    <s v="None"/>
    <s v="Tablet"/>
    <s v="Cash"/>
    <d v="2024-05-31T00:00:00"/>
    <b v="0"/>
    <x v="0"/>
    <s v="Impulsive"/>
    <s v="Express"/>
    <n v="7"/>
  </r>
  <r>
    <x v="149"/>
    <x v="149"/>
    <x v="13"/>
    <x v="1"/>
    <x v="1"/>
    <x v="1"/>
    <x v="0"/>
    <x v="2"/>
    <x v="1"/>
    <x v="147"/>
    <s v="Klonowa"/>
    <s v="Klonowa"/>
    <s v="Gardening &amp; Outdoors"/>
    <n v="127.66"/>
    <n v="11"/>
    <s v="Online"/>
    <x v="3"/>
    <n v="2"/>
    <n v="2"/>
    <s v="Low"/>
    <s v="Not Sensitive"/>
    <n v="2"/>
    <n v="7"/>
    <s v="None"/>
    <s v="Smartphone"/>
    <s v="Credit Card"/>
    <d v="2024-02-23T00:00:00"/>
    <b v="0"/>
    <x v="1"/>
    <s v="Planned"/>
    <s v="Standard"/>
    <n v="7"/>
  </r>
  <r>
    <x v="150"/>
    <x v="150"/>
    <x v="26"/>
    <x v="2"/>
    <x v="3"/>
    <x v="0"/>
    <x v="1"/>
    <x v="0"/>
    <x v="0"/>
    <x v="148"/>
    <s v="Suvorov"/>
    <s v="Suvorov"/>
    <s v="Software &amp; Apps"/>
    <n v="227.47"/>
    <n v="2"/>
    <s v="Online"/>
    <x v="2"/>
    <n v="2"/>
    <n v="2"/>
    <s v="Low"/>
    <s v="Very Sensitive"/>
    <n v="1"/>
    <n v="4"/>
    <s v="High"/>
    <s v="Tablet"/>
    <s v="Other"/>
    <d v="2024-10-30T00:00:00"/>
    <b v="1"/>
    <x v="0"/>
    <s v="Need-based"/>
    <s v="Express"/>
    <n v="9"/>
  </r>
  <r>
    <x v="151"/>
    <x v="151"/>
    <x v="22"/>
    <x v="1"/>
    <x v="1"/>
    <x v="1"/>
    <x v="2"/>
    <x v="0"/>
    <x v="1"/>
    <x v="149"/>
    <s v="Dragash"/>
    <s v="Dragash"/>
    <s v="Health Supplements"/>
    <n v="342.99"/>
    <n v="3"/>
    <s v="In-Store"/>
    <x v="4"/>
    <n v="2"/>
    <n v="2"/>
    <s v="Low"/>
    <s v="Very Sensitive"/>
    <n v="0"/>
    <n v="6"/>
    <s v="Medium"/>
    <s v="Smartphone"/>
    <s v="Other"/>
    <d v="2024-11-22T00:00:00"/>
    <b v="0"/>
    <x v="1"/>
    <s v="Impulsive"/>
    <s v="Express"/>
    <n v="6"/>
  </r>
  <r>
    <x v="152"/>
    <x v="152"/>
    <x v="1"/>
    <x v="2"/>
    <x v="4"/>
    <x v="1"/>
    <x v="0"/>
    <x v="2"/>
    <x v="0"/>
    <x v="150"/>
    <s v="Freiburg im Breisgau"/>
    <s v="Freiburg im Breisgau"/>
    <s v="Packages)"/>
    <n v="306.48"/>
    <n v="5"/>
    <s v="Mixed"/>
    <x v="3"/>
    <n v="3"/>
    <n v="0"/>
    <s v="Medium"/>
    <s v="Very Sensitive"/>
    <n v="0"/>
    <n v="9"/>
    <s v="Low"/>
    <s v="Tablet"/>
    <s v="Credit Card"/>
    <d v="2024-09-15T00:00:00"/>
    <b v="0"/>
    <x v="1"/>
    <s v="Need-based"/>
    <s v="Standard"/>
    <n v="14"/>
  </r>
  <r>
    <x v="153"/>
    <x v="153"/>
    <x v="0"/>
    <x v="1"/>
    <x v="1"/>
    <x v="0"/>
    <x v="3"/>
    <x v="2"/>
    <x v="1"/>
    <x v="151"/>
    <s v="Macau"/>
    <s v="Macau"/>
    <s v="Home Appliances"/>
    <n v="308.54000000000002"/>
    <n v="3"/>
    <s v="Mixed"/>
    <x v="3"/>
    <n v="3"/>
    <n v="0"/>
    <s v="High"/>
    <s v="Not Sensitive"/>
    <n v="1"/>
    <n v="5"/>
    <s v="High"/>
    <s v="Desktop"/>
    <s v="Credit Card"/>
    <d v="2024-09-29T00:00:00"/>
    <b v="0"/>
    <x v="1"/>
    <s v="Wants-based"/>
    <s v="Standard"/>
    <n v="7"/>
  </r>
  <r>
    <x v="154"/>
    <x v="154"/>
    <x v="1"/>
    <x v="1"/>
    <x v="1"/>
    <x v="1"/>
    <x v="1"/>
    <x v="2"/>
    <x v="0"/>
    <x v="152"/>
    <s v="Pancas"/>
    <s v="Pancas"/>
    <s v="Travel &amp; Leisure (Flights"/>
    <n v="124.17"/>
    <n v="12"/>
    <s v="Mixed"/>
    <x v="0"/>
    <n v="2"/>
    <n v="2"/>
    <s v="High"/>
    <s v="Very Sensitive"/>
    <n v="2"/>
    <n v="4"/>
    <s v="High"/>
    <s v="Smartphone"/>
    <s v="Debit Card"/>
    <d v="2024-11-16T00:00:00"/>
    <b v="1"/>
    <x v="1"/>
    <s v="Planned"/>
    <s v="Standard"/>
    <n v="6"/>
  </r>
  <r>
    <x v="155"/>
    <x v="155"/>
    <x v="23"/>
    <x v="0"/>
    <x v="0"/>
    <x v="0"/>
    <x v="0"/>
    <x v="2"/>
    <x v="0"/>
    <x v="153"/>
    <s v="Dayapan"/>
    <s v="Dayapan"/>
    <s v="Travel &amp; Leisure (Flights"/>
    <n v="78"/>
    <n v="5"/>
    <s v="Online"/>
    <x v="3"/>
    <n v="5"/>
    <n v="0"/>
    <s v="None"/>
    <s v="Not Sensitive"/>
    <n v="1"/>
    <n v="1"/>
    <s v="Low"/>
    <s v="Desktop"/>
    <s v="Debit Card"/>
    <d v="2024-11-09T00:00:00"/>
    <b v="1"/>
    <x v="0"/>
    <s v="Wants-based"/>
    <s v="No Preference"/>
    <n v="11"/>
  </r>
  <r>
    <x v="156"/>
    <x v="156"/>
    <x v="23"/>
    <x v="0"/>
    <x v="0"/>
    <x v="1"/>
    <x v="0"/>
    <x v="0"/>
    <x v="0"/>
    <x v="154"/>
    <s v="Gordon Town"/>
    <s v="Gordon Town"/>
    <s v="Health Care"/>
    <n v="393.03"/>
    <n v="4"/>
    <s v="Mixed"/>
    <x v="4"/>
    <n v="4"/>
    <n v="0"/>
    <s v="High"/>
    <s v="Somewhat Sensitive"/>
    <n v="1"/>
    <n v="3"/>
    <s v="Medium"/>
    <s v="Smartphone"/>
    <s v="Cash"/>
    <d v="2024-09-03T00:00:00"/>
    <b v="1"/>
    <x v="1"/>
    <s v="Planned"/>
    <s v="Standard"/>
    <n v="7"/>
  </r>
  <r>
    <x v="157"/>
    <x v="157"/>
    <x v="14"/>
    <x v="0"/>
    <x v="0"/>
    <x v="1"/>
    <x v="1"/>
    <x v="2"/>
    <x v="0"/>
    <x v="155"/>
    <s v="Proptisht"/>
    <s v="Proptisht"/>
    <s v="Hotels"/>
    <n v="102.09"/>
    <n v="3"/>
    <s v="Mixed"/>
    <x v="3"/>
    <n v="4"/>
    <n v="0"/>
    <s v="None"/>
    <s v="Very Sensitive"/>
    <n v="1"/>
    <n v="9"/>
    <s v="Medium"/>
    <s v="Tablet"/>
    <s v="PayPal"/>
    <d v="2024-03-13T00:00:00"/>
    <b v="0"/>
    <x v="1"/>
    <s v="Need-based"/>
    <s v="Express"/>
    <n v="1"/>
  </r>
  <r>
    <x v="158"/>
    <x v="158"/>
    <x v="11"/>
    <x v="1"/>
    <x v="1"/>
    <x v="0"/>
    <x v="0"/>
    <x v="0"/>
    <x v="1"/>
    <x v="156"/>
    <s v="Kamal"/>
    <s v="Kamal"/>
    <s v="Health Care"/>
    <n v="426.21"/>
    <n v="3"/>
    <s v="Mixed"/>
    <x v="3"/>
    <n v="4"/>
    <n v="2"/>
    <s v="High"/>
    <s v="Somewhat Sensitive"/>
    <n v="2"/>
    <n v="5"/>
    <s v="High"/>
    <s v="Smartphone"/>
    <s v="Other"/>
    <d v="2024-04-18T00:00:00"/>
    <b v="0"/>
    <x v="1"/>
    <s v="Wants-based"/>
    <s v="Standard"/>
    <n v="2"/>
  </r>
  <r>
    <x v="159"/>
    <x v="159"/>
    <x v="21"/>
    <x v="1"/>
    <x v="1"/>
    <x v="0"/>
    <x v="2"/>
    <x v="2"/>
    <x v="1"/>
    <x v="157"/>
    <s v="Kouvola"/>
    <s v="Kouvola"/>
    <s v="Arts &amp; Crafts"/>
    <n v="140.31"/>
    <n v="2"/>
    <s v="Online"/>
    <x v="2"/>
    <n v="4"/>
    <n v="1"/>
    <s v="Low"/>
    <s v="Very Sensitive"/>
    <n v="2"/>
    <n v="5"/>
    <s v="None"/>
    <s v="Desktop"/>
    <s v="Cash"/>
    <d v="2024-05-21T00:00:00"/>
    <b v="1"/>
    <x v="1"/>
    <s v="Impulsive"/>
    <s v="Express"/>
    <n v="8"/>
  </r>
  <r>
    <x v="160"/>
    <x v="160"/>
    <x v="27"/>
    <x v="0"/>
    <x v="0"/>
    <x v="1"/>
    <x v="2"/>
    <x v="2"/>
    <x v="0"/>
    <x v="158"/>
    <s v="Zhongdong"/>
    <s v="Zhongdong"/>
    <s v="Software &amp; Apps"/>
    <n v="413.7"/>
    <n v="8"/>
    <s v="Mixed"/>
    <x v="1"/>
    <n v="3"/>
    <n v="0.3"/>
    <s v="Low"/>
    <s v="Very Sensitive"/>
    <n v="0"/>
    <n v="9"/>
    <s v="High"/>
    <s v="Desktop"/>
    <s v="Other"/>
    <d v="2024-06-17T00:00:00"/>
    <b v="0"/>
    <x v="1"/>
    <s v="Need-based"/>
    <s v="No Preference"/>
    <n v="6"/>
  </r>
  <r>
    <x v="161"/>
    <x v="161"/>
    <x v="1"/>
    <x v="1"/>
    <x v="1"/>
    <x v="1"/>
    <x v="2"/>
    <x v="2"/>
    <x v="0"/>
    <x v="159"/>
    <s v="Betong"/>
    <s v="Betong"/>
    <s v="Arts &amp; Crafts"/>
    <n v="348.63"/>
    <n v="4"/>
    <s v="Online"/>
    <x v="0"/>
    <n v="2"/>
    <n v="0"/>
    <s v="High"/>
    <s v="Somewhat Sensitive"/>
    <n v="0"/>
    <n v="7"/>
    <s v="None"/>
    <s v="Smartphone"/>
    <s v="Debit Card"/>
    <d v="2024-04-01T00:00:00"/>
    <b v="0"/>
    <x v="0"/>
    <s v="Planned"/>
    <s v="No Preference"/>
    <n v="6"/>
  </r>
  <r>
    <x v="162"/>
    <x v="162"/>
    <x v="25"/>
    <x v="0"/>
    <x v="0"/>
    <x v="0"/>
    <x v="2"/>
    <x v="1"/>
    <x v="0"/>
    <x v="160"/>
    <s v="Jinping"/>
    <s v="Jinping"/>
    <s v="Animal Feed"/>
    <n v="91.27"/>
    <n v="7"/>
    <s v="In-Store"/>
    <x v="0"/>
    <n v="1"/>
    <n v="0"/>
    <s v="High"/>
    <s v="Not Sensitive"/>
    <n v="2"/>
    <n v="6"/>
    <s v="None"/>
    <s v="Tablet"/>
    <s v="Cash"/>
    <d v="2024-06-21T00:00:00"/>
    <b v="1"/>
    <x v="1"/>
    <s v="Planned"/>
    <s v="Express"/>
    <n v="13"/>
  </r>
  <r>
    <x v="163"/>
    <x v="163"/>
    <x v="3"/>
    <x v="0"/>
    <x v="0"/>
    <x v="1"/>
    <x v="3"/>
    <x v="0"/>
    <x v="1"/>
    <x v="161"/>
    <s v="Mgachi"/>
    <s v="Mgachi"/>
    <s v="Luxury Goods"/>
    <n v="359.94"/>
    <n v="11"/>
    <s v="Mixed"/>
    <x v="2"/>
    <n v="5"/>
    <n v="2"/>
    <s v="None"/>
    <s v="Very Sensitive"/>
    <n v="1"/>
    <n v="8"/>
    <s v="Low"/>
    <s v="Smartphone"/>
    <s v="Cash"/>
    <d v="2024-12-19T00:00:00"/>
    <b v="0"/>
    <x v="1"/>
    <s v="Wants-based"/>
    <s v="Express"/>
    <n v="9"/>
  </r>
  <r>
    <x v="164"/>
    <x v="164"/>
    <x v="8"/>
    <x v="1"/>
    <x v="1"/>
    <x v="0"/>
    <x v="3"/>
    <x v="1"/>
    <x v="0"/>
    <x v="162"/>
    <s v="Lameira"/>
    <s v="Lameira"/>
    <s v="Gardening &amp; Outdoors"/>
    <n v="138.19999999999999"/>
    <n v="8"/>
    <s v="In-Store"/>
    <x v="3"/>
    <n v="2"/>
    <n v="2"/>
    <s v="High"/>
    <s v="Not Sensitive"/>
    <n v="0"/>
    <n v="6"/>
    <s v="Low"/>
    <s v="Desktop"/>
    <s v="Debit Card"/>
    <d v="2024-03-02T00:00:00"/>
    <b v="0"/>
    <x v="1"/>
    <s v="Need-based"/>
    <s v="No Preference"/>
    <n v="12"/>
  </r>
  <r>
    <x v="165"/>
    <x v="165"/>
    <x v="9"/>
    <x v="2"/>
    <x v="6"/>
    <x v="1"/>
    <x v="3"/>
    <x v="1"/>
    <x v="1"/>
    <x v="163"/>
    <s v="Medicine Hat"/>
    <s v="Medicine Hat"/>
    <s v="Home Appliances"/>
    <n v="196.33"/>
    <n v="11"/>
    <s v="Online"/>
    <x v="4"/>
    <n v="3"/>
    <n v="1"/>
    <s v="Medium"/>
    <s v="Not Sensitive"/>
    <n v="0"/>
    <n v="5"/>
    <s v="None"/>
    <s v="Desktop"/>
    <s v="Debit Card"/>
    <d v="2024-06-29T00:00:00"/>
    <b v="1"/>
    <x v="1"/>
    <s v="Planned"/>
    <s v="Standard"/>
    <n v="11"/>
  </r>
  <r>
    <x v="166"/>
    <x v="166"/>
    <x v="11"/>
    <x v="0"/>
    <x v="0"/>
    <x v="0"/>
    <x v="2"/>
    <x v="0"/>
    <x v="0"/>
    <x v="108"/>
    <s v="Oslo"/>
    <s v="Oslo"/>
    <s v="Packages)"/>
    <n v="249.24"/>
    <n v="8"/>
    <s v="In-Store"/>
    <x v="4"/>
    <n v="3"/>
    <n v="1"/>
    <s v="Medium"/>
    <s v="Somewhat Sensitive"/>
    <n v="2"/>
    <n v="3"/>
    <s v="High"/>
    <s v="Smartphone"/>
    <s v="Cash"/>
    <d v="2024-08-29T00:00:00"/>
    <b v="0"/>
    <x v="1"/>
    <s v="Need-based"/>
    <s v="Standard"/>
    <n v="7"/>
  </r>
  <r>
    <x v="167"/>
    <x v="167"/>
    <x v="5"/>
    <x v="1"/>
    <x v="1"/>
    <x v="1"/>
    <x v="3"/>
    <x v="1"/>
    <x v="1"/>
    <x v="164"/>
    <s v="Yeniky"/>
    <s v="Yenikأ¶y"/>
    <s v="Furniture"/>
    <n v="129.1"/>
    <n v="12"/>
    <s v="Mixed"/>
    <x v="0"/>
    <n v="3"/>
    <n v="2"/>
    <s v="Low"/>
    <s v="Not Sensitive"/>
    <n v="0"/>
    <n v="8"/>
    <s v="High"/>
    <s v="Desktop"/>
    <s v="Credit Card"/>
    <d v="2024-04-15T00:00:00"/>
    <b v="1"/>
    <x v="0"/>
    <s v="Planned"/>
    <s v="No Preference"/>
    <n v="7"/>
  </r>
  <r>
    <x v="168"/>
    <x v="168"/>
    <x v="5"/>
    <x v="0"/>
    <x v="0"/>
    <x v="1"/>
    <x v="0"/>
    <x v="2"/>
    <x v="1"/>
    <x v="165"/>
    <s v="Peer"/>
    <s v="Peer"/>
    <s v="Baby Products"/>
    <n v="112.69"/>
    <n v="10"/>
    <s v="In-Store"/>
    <x v="3"/>
    <n v="4"/>
    <n v="0"/>
    <s v="High"/>
    <s v="Not Sensitive"/>
    <n v="0"/>
    <n v="7"/>
    <s v="Medium"/>
    <s v="Smartphone"/>
    <s v="Debit Card"/>
    <d v="2024-08-27T00:00:00"/>
    <b v="0"/>
    <x v="1"/>
    <s v="Need-based"/>
    <s v="Standard"/>
    <n v="1"/>
  </r>
  <r>
    <x v="169"/>
    <x v="169"/>
    <x v="19"/>
    <x v="1"/>
    <x v="1"/>
    <x v="0"/>
    <x v="2"/>
    <x v="0"/>
    <x v="1"/>
    <x v="166"/>
    <s v="Belsovka"/>
    <s v="Belإ«sovka"/>
    <s v="Beauty &amp; Personal Care"/>
    <n v="267.85000000000002"/>
    <n v="5"/>
    <s v="Online"/>
    <x v="0"/>
    <n v="2"/>
    <n v="2"/>
    <s v="Medium"/>
    <s v="Somewhat Sensitive"/>
    <n v="1"/>
    <n v="5"/>
    <s v="High"/>
    <s v="Smartphone"/>
    <s v="Credit Card"/>
    <d v="2024-03-20T00:00:00"/>
    <b v="0"/>
    <x v="1"/>
    <s v="Need-based"/>
    <s v="Standard"/>
    <n v="7"/>
  </r>
  <r>
    <x v="170"/>
    <x v="170"/>
    <x v="2"/>
    <x v="1"/>
    <x v="1"/>
    <x v="0"/>
    <x v="3"/>
    <x v="1"/>
    <x v="0"/>
    <x v="167"/>
    <s v="Houston"/>
    <s v="Houston"/>
    <s v="Home Appliances"/>
    <n v="205.36"/>
    <n v="12"/>
    <s v="Online"/>
    <x v="3"/>
    <n v="5"/>
    <n v="2"/>
    <s v="High"/>
    <s v="Very Sensitive"/>
    <n v="0"/>
    <n v="1"/>
    <s v="Low"/>
    <s v="Tablet"/>
    <s v="Credit Card"/>
    <d v="2024-04-27T00:00:00"/>
    <b v="0"/>
    <x v="0"/>
    <s v="Impulsive"/>
    <s v="Express"/>
    <n v="5"/>
  </r>
  <r>
    <x v="171"/>
    <x v="171"/>
    <x v="18"/>
    <x v="2"/>
    <x v="5"/>
    <x v="1"/>
    <x v="3"/>
    <x v="2"/>
    <x v="1"/>
    <x v="168"/>
    <s v="Hengdian"/>
    <s v="Hengdian"/>
    <s v="Health Supplements"/>
    <n v="79.099999999999994"/>
    <n v="10"/>
    <s v="In-Store"/>
    <x v="0"/>
    <n v="3"/>
    <n v="1"/>
    <s v="None"/>
    <s v="Not Sensitive"/>
    <n v="0"/>
    <n v="9"/>
    <s v="Medium"/>
    <s v="Tablet"/>
    <s v="Debit Card"/>
    <d v="2024-05-05T00:00:00"/>
    <b v="1"/>
    <x v="0"/>
    <s v="Need-based"/>
    <s v="Express"/>
    <n v="4"/>
  </r>
  <r>
    <x v="172"/>
    <x v="172"/>
    <x v="22"/>
    <x v="1"/>
    <x v="1"/>
    <x v="1"/>
    <x v="2"/>
    <x v="1"/>
    <x v="0"/>
    <x v="169"/>
    <s v="Shuigou"/>
    <s v="Shuigou"/>
    <s v="Health Care"/>
    <n v="256.63"/>
    <n v="12"/>
    <s v="In-Store"/>
    <x v="3"/>
    <n v="4"/>
    <n v="0"/>
    <s v="High"/>
    <s v="Somewhat Sensitive"/>
    <n v="2"/>
    <n v="2"/>
    <s v="None"/>
    <s v="Smartphone"/>
    <s v="Debit Card"/>
    <d v="2024-06-16T00:00:00"/>
    <b v="1"/>
    <x v="1"/>
    <s v="Impulsive"/>
    <s v="Standard"/>
    <n v="10"/>
  </r>
  <r>
    <x v="173"/>
    <x v="173"/>
    <x v="17"/>
    <x v="0"/>
    <x v="0"/>
    <x v="1"/>
    <x v="3"/>
    <x v="1"/>
    <x v="0"/>
    <x v="170"/>
    <s v="Xingxi"/>
    <s v="Xingxi"/>
    <s v="Books"/>
    <n v="409.98"/>
    <n v="12"/>
    <s v="Mixed"/>
    <x v="0"/>
    <n v="4"/>
    <n v="0"/>
    <s v="None"/>
    <s v="Not Sensitive"/>
    <n v="2"/>
    <n v="1"/>
    <s v="Medium"/>
    <s v="Desktop"/>
    <s v="PayPal"/>
    <d v="2024-10-15T00:00:00"/>
    <b v="1"/>
    <x v="0"/>
    <s v="Wants-based"/>
    <s v="Express"/>
    <n v="8"/>
  </r>
  <r>
    <x v="174"/>
    <x v="174"/>
    <x v="10"/>
    <x v="1"/>
    <x v="1"/>
    <x v="0"/>
    <x v="2"/>
    <x v="1"/>
    <x v="1"/>
    <x v="171"/>
    <s v="Dhbn"/>
    <s v="Dhؤ«bؤ«n"/>
    <s v="Sports &amp; Outdoors"/>
    <n v="291.60000000000002"/>
    <n v="2"/>
    <s v="In-Store"/>
    <x v="1"/>
    <n v="3"/>
    <n v="2"/>
    <s v="High"/>
    <s v="Somewhat Sensitive"/>
    <n v="0"/>
    <n v="7"/>
    <s v="None"/>
    <s v="Desktop"/>
    <s v="Cash"/>
    <d v="2024-08-01T00:00:00"/>
    <b v="0"/>
    <x v="1"/>
    <s v="Need-based"/>
    <s v="Standard"/>
    <n v="3"/>
  </r>
  <r>
    <x v="175"/>
    <x v="175"/>
    <x v="17"/>
    <x v="0"/>
    <x v="0"/>
    <x v="0"/>
    <x v="1"/>
    <x v="0"/>
    <x v="0"/>
    <x v="172"/>
    <s v="Chengguan"/>
    <s v="Chengguan"/>
    <s v="Home Appliances"/>
    <n v="101.7"/>
    <n v="7"/>
    <s v="Online"/>
    <x v="1"/>
    <n v="4"/>
    <n v="2"/>
    <s v="Medium"/>
    <s v="Not Sensitive"/>
    <n v="2"/>
    <n v="2"/>
    <s v="None"/>
    <s v="Tablet"/>
    <s v="Debit Card"/>
    <d v="2024-06-25T00:00:00"/>
    <b v="0"/>
    <x v="1"/>
    <s v="Wants-based"/>
    <s v="Standard"/>
    <n v="4"/>
  </r>
  <r>
    <x v="176"/>
    <x v="176"/>
    <x v="17"/>
    <x v="0"/>
    <x v="0"/>
    <x v="0"/>
    <x v="1"/>
    <x v="1"/>
    <x v="0"/>
    <x v="173"/>
    <s v="Paris 09"/>
    <s v="Paris 09"/>
    <s v="Health Care"/>
    <n v="369.73"/>
    <n v="2"/>
    <s v="Online"/>
    <x v="3"/>
    <n v="2"/>
    <n v="2"/>
    <s v="None"/>
    <s v="Not Sensitive"/>
    <n v="0"/>
    <n v="3"/>
    <s v="None"/>
    <s v="Tablet"/>
    <s v="Debit Card"/>
    <d v="2024-02-04T00:00:00"/>
    <b v="1"/>
    <x v="1"/>
    <s v="Wants-based"/>
    <s v="No Preference"/>
    <n v="12"/>
  </r>
  <r>
    <x v="177"/>
    <x v="177"/>
    <x v="19"/>
    <x v="1"/>
    <x v="1"/>
    <x v="0"/>
    <x v="1"/>
    <x v="0"/>
    <x v="1"/>
    <x v="174"/>
    <s v="Rozhdestveno"/>
    <s v="Rozhdestveno"/>
    <s v="Baby Products"/>
    <n v="71"/>
    <n v="12"/>
    <s v="Online"/>
    <x v="3"/>
    <n v="5"/>
    <n v="2"/>
    <s v="High"/>
    <s v="Not Sensitive"/>
    <n v="2"/>
    <n v="9"/>
    <s v="Low"/>
    <s v="Smartphone"/>
    <s v="Cash"/>
    <d v="2024-06-26T00:00:00"/>
    <b v="0"/>
    <x v="0"/>
    <s v="Wants-based"/>
    <s v="No Preference"/>
    <n v="13"/>
  </r>
  <r>
    <x v="178"/>
    <x v="178"/>
    <x v="26"/>
    <x v="1"/>
    <x v="1"/>
    <x v="0"/>
    <x v="1"/>
    <x v="2"/>
    <x v="0"/>
    <x v="175"/>
    <s v="Porangatu"/>
    <s v="Porangatu"/>
    <s v="Packages)"/>
    <n v="280.05"/>
    <n v="10"/>
    <s v="In-Store"/>
    <x v="4"/>
    <n v="1"/>
    <n v="2"/>
    <s v="Medium"/>
    <s v="Very Sensitive"/>
    <n v="1"/>
    <n v="2"/>
    <s v="High"/>
    <s v="Smartphone"/>
    <s v="Credit Card"/>
    <d v="2024-07-06T00:00:00"/>
    <b v="1"/>
    <x v="0"/>
    <s v="Wants-based"/>
    <s v="No Preference"/>
    <n v="11"/>
  </r>
  <r>
    <x v="179"/>
    <x v="179"/>
    <x v="22"/>
    <x v="1"/>
    <x v="1"/>
    <x v="1"/>
    <x v="2"/>
    <x v="2"/>
    <x v="0"/>
    <x v="176"/>
    <s v="Shalkar"/>
    <s v="Shalkar"/>
    <s v="Jewelry &amp; Accessories"/>
    <n v="54.71"/>
    <n v="4"/>
    <s v="Mixed"/>
    <x v="0"/>
    <n v="2"/>
    <n v="1"/>
    <s v="Low"/>
    <s v="Very Sensitive"/>
    <n v="1"/>
    <n v="3"/>
    <s v="None"/>
    <s v="Desktop"/>
    <s v="PayPal"/>
    <d v="2024-10-26T00:00:00"/>
    <b v="1"/>
    <x v="1"/>
    <s v="Need-based"/>
    <s v="Express"/>
    <n v="3"/>
  </r>
  <r>
    <x v="180"/>
    <x v="180"/>
    <x v="23"/>
    <x v="1"/>
    <x v="1"/>
    <x v="1"/>
    <x v="2"/>
    <x v="0"/>
    <x v="0"/>
    <x v="177"/>
    <s v="Quimbaya"/>
    <s v="Quimbaya"/>
    <s v="Packages)"/>
    <n v="119.51"/>
    <n v="11"/>
    <s v="Mixed"/>
    <x v="0"/>
    <n v="5"/>
    <n v="2"/>
    <s v="Low"/>
    <s v="Very Sensitive"/>
    <n v="2"/>
    <n v="8"/>
    <s v="Low"/>
    <s v="Desktop"/>
    <s v="PayPal"/>
    <d v="2024-05-07T00:00:00"/>
    <b v="0"/>
    <x v="0"/>
    <s v="Planned"/>
    <s v="No Preference"/>
    <n v="1"/>
  </r>
  <r>
    <x v="181"/>
    <x v="181"/>
    <x v="14"/>
    <x v="0"/>
    <x v="0"/>
    <x v="1"/>
    <x v="1"/>
    <x v="2"/>
    <x v="1"/>
    <x v="178"/>
    <s v="Narok"/>
    <s v="Narok"/>
    <s v="Arts &amp; Crafts"/>
    <n v="57.5"/>
    <n v="12"/>
    <s v="Online"/>
    <x v="0"/>
    <n v="1"/>
    <n v="1"/>
    <s v="None"/>
    <s v="Not Sensitive"/>
    <n v="0"/>
    <n v="3"/>
    <s v="None"/>
    <s v="Desktop"/>
    <s v="Cash"/>
    <d v="2024-12-08T00:00:00"/>
    <b v="1"/>
    <x v="1"/>
    <s v="Impulsive"/>
    <s v="No Preference"/>
    <n v="13"/>
  </r>
  <r>
    <x v="182"/>
    <x v="182"/>
    <x v="9"/>
    <x v="0"/>
    <x v="0"/>
    <x v="1"/>
    <x v="0"/>
    <x v="0"/>
    <x v="1"/>
    <x v="179"/>
    <s v="Gimcheon"/>
    <s v="Gimcheon"/>
    <s v="Books"/>
    <n v="225.05"/>
    <n v="5"/>
    <s v="Mixed"/>
    <x v="2"/>
    <n v="1"/>
    <n v="1"/>
    <s v="High"/>
    <s v="Somewhat Sensitive"/>
    <n v="1"/>
    <n v="1"/>
    <s v="Low"/>
    <s v="Desktop"/>
    <s v="Credit Card"/>
    <d v="2024-06-27T00:00:00"/>
    <b v="0"/>
    <x v="0"/>
    <s v="Need-based"/>
    <s v="No Preference"/>
    <n v="10"/>
  </r>
  <r>
    <x v="183"/>
    <x v="183"/>
    <x v="30"/>
    <x v="0"/>
    <x v="0"/>
    <x v="1"/>
    <x v="3"/>
    <x v="1"/>
    <x v="1"/>
    <x v="180"/>
    <s v="Visaginas"/>
    <s v="Visaginas"/>
    <s v="Food &amp; Beverages"/>
    <n v="441.15"/>
    <n v="7"/>
    <s v="Online"/>
    <x v="1"/>
    <n v="1"/>
    <n v="1"/>
    <s v="Low"/>
    <s v="Somewhat Sensitive"/>
    <n v="1"/>
    <n v="1"/>
    <s v="None"/>
    <s v="Smartphone"/>
    <s v="Debit Card"/>
    <d v="2024-08-31T00:00:00"/>
    <b v="0"/>
    <x v="0"/>
    <s v="Need-based"/>
    <s v="No Preference"/>
    <n v="8"/>
  </r>
  <r>
    <x v="184"/>
    <x v="184"/>
    <x v="18"/>
    <x v="1"/>
    <x v="1"/>
    <x v="0"/>
    <x v="3"/>
    <x v="1"/>
    <x v="0"/>
    <x v="181"/>
    <s v="Shostka"/>
    <s v="Shostka"/>
    <s v="Animal Feed"/>
    <n v="481.21"/>
    <n v="3"/>
    <s v="Mixed"/>
    <x v="3"/>
    <n v="2"/>
    <n v="1"/>
    <s v="High"/>
    <s v="Not Sensitive"/>
    <n v="0"/>
    <n v="1"/>
    <s v="None"/>
    <s v="Desktop"/>
    <s v="Credit Card"/>
    <d v="2024-11-13T00:00:00"/>
    <b v="0"/>
    <x v="0"/>
    <s v="Wants-based"/>
    <s v="No Preference"/>
    <n v="11"/>
  </r>
  <r>
    <x v="185"/>
    <x v="185"/>
    <x v="18"/>
    <x v="0"/>
    <x v="0"/>
    <x v="1"/>
    <x v="0"/>
    <x v="0"/>
    <x v="0"/>
    <x v="182"/>
    <s v="Pukekohe East"/>
    <s v="Pukekohe East"/>
    <s v="Arts &amp; Crafts"/>
    <n v="102.96"/>
    <n v="3"/>
    <s v="Mixed"/>
    <x v="3"/>
    <n v="1"/>
    <n v="1"/>
    <s v="Low"/>
    <s v="Very Sensitive"/>
    <n v="0"/>
    <n v="7"/>
    <s v="Low"/>
    <s v="Desktop"/>
    <s v="PayPal"/>
    <d v="2024-12-19T00:00:00"/>
    <b v="0"/>
    <x v="1"/>
    <s v="Wants-based"/>
    <s v="Standard"/>
    <n v="4"/>
  </r>
  <r>
    <x v="186"/>
    <x v="186"/>
    <x v="5"/>
    <x v="0"/>
    <x v="0"/>
    <x v="1"/>
    <x v="3"/>
    <x v="0"/>
    <x v="1"/>
    <x v="183"/>
    <s v="Blokdesa Situgede"/>
    <s v="Blokdesa Situgede"/>
    <s v="Electronics"/>
    <n v="331.57"/>
    <n v="11"/>
    <s v="Mixed"/>
    <x v="1"/>
    <n v="1"/>
    <n v="0"/>
    <s v="Low"/>
    <s v="Somewhat Sensitive"/>
    <n v="1"/>
    <n v="6"/>
    <s v="Medium"/>
    <s v="Desktop"/>
    <s v="Debit Card"/>
    <d v="2024-05-06T00:00:00"/>
    <b v="0"/>
    <x v="0"/>
    <s v="Impulsive"/>
    <s v="Express"/>
    <n v="14"/>
  </r>
  <r>
    <x v="187"/>
    <x v="187"/>
    <x v="29"/>
    <x v="2"/>
    <x v="4"/>
    <x v="0"/>
    <x v="2"/>
    <x v="1"/>
    <x v="0"/>
    <x v="184"/>
    <s v="Yueyang"/>
    <s v="Yueyang"/>
    <s v="Electronics"/>
    <n v="101.29"/>
    <n v="11"/>
    <s v="In-Store"/>
    <x v="3"/>
    <n v="1"/>
    <n v="2"/>
    <s v="Medium"/>
    <s v="Not Sensitive"/>
    <n v="2"/>
    <n v="7"/>
    <s v="Medium"/>
    <s v="Smartphone"/>
    <s v="Cash"/>
    <d v="2024-10-30T00:00:00"/>
    <b v="0"/>
    <x v="1"/>
    <s v="Need-based"/>
    <s v="No Preference"/>
    <n v="4"/>
  </r>
  <r>
    <x v="188"/>
    <x v="188"/>
    <x v="17"/>
    <x v="0"/>
    <x v="0"/>
    <x v="0"/>
    <x v="1"/>
    <x v="2"/>
    <x v="1"/>
    <x v="185"/>
    <s v="Liutan"/>
    <s v="Liutan"/>
    <s v="Packages)"/>
    <n v="143.52000000000001"/>
    <n v="9"/>
    <s v="In-Store"/>
    <x v="2"/>
    <n v="5"/>
    <n v="1"/>
    <s v="Medium"/>
    <s v="Somewhat Sensitive"/>
    <n v="2"/>
    <n v="3"/>
    <s v="None"/>
    <s v="Tablet"/>
    <s v="Credit Card"/>
    <d v="2024-04-11T00:00:00"/>
    <b v="1"/>
    <x v="0"/>
    <s v="Impulsive"/>
    <s v="Express"/>
    <n v="12"/>
  </r>
  <r>
    <x v="189"/>
    <x v="189"/>
    <x v="7"/>
    <x v="1"/>
    <x v="1"/>
    <x v="0"/>
    <x v="2"/>
    <x v="0"/>
    <x v="0"/>
    <x v="186"/>
    <s v="Huanggang"/>
    <s v="Huanggang"/>
    <s v="Sports &amp; Outdoors"/>
    <n v="276.48"/>
    <n v="3"/>
    <s v="Mixed"/>
    <x v="3"/>
    <n v="2"/>
    <n v="1"/>
    <s v="None"/>
    <s v="Somewhat Sensitive"/>
    <n v="0"/>
    <n v="4"/>
    <s v="Low"/>
    <s v="Desktop"/>
    <s v="Cash"/>
    <d v="2024-05-05T00:00:00"/>
    <b v="0"/>
    <x v="0"/>
    <s v="Need-based"/>
    <s v="Express"/>
    <n v="7"/>
  </r>
  <r>
    <x v="190"/>
    <x v="190"/>
    <x v="28"/>
    <x v="1"/>
    <x v="1"/>
    <x v="1"/>
    <x v="2"/>
    <x v="1"/>
    <x v="1"/>
    <x v="187"/>
    <s v="Baturit"/>
    <s v="Baturitأ©"/>
    <s v="Toys &amp; Games"/>
    <n v="352.87"/>
    <n v="11"/>
    <s v="In-Store"/>
    <x v="0"/>
    <n v="3"/>
    <n v="0"/>
    <s v="High"/>
    <s v="Not Sensitive"/>
    <n v="0"/>
    <n v="6"/>
    <s v="High"/>
    <s v="Tablet"/>
    <s v="PayPal"/>
    <d v="2024-02-19T00:00:00"/>
    <b v="0"/>
    <x v="0"/>
    <s v="Wants-based"/>
    <s v="Standard"/>
    <n v="12"/>
  </r>
  <r>
    <x v="191"/>
    <x v="191"/>
    <x v="18"/>
    <x v="1"/>
    <x v="1"/>
    <x v="0"/>
    <x v="0"/>
    <x v="2"/>
    <x v="0"/>
    <x v="188"/>
    <s v="Miaersi"/>
    <s v="Miâ€™ersi"/>
    <s v="Mobile Accessories"/>
    <n v="228.68"/>
    <n v="3"/>
    <s v="Mixed"/>
    <x v="2"/>
    <n v="1"/>
    <n v="2"/>
    <s v="Low"/>
    <s v="Very Sensitive"/>
    <n v="1"/>
    <n v="4"/>
    <s v="None"/>
    <s v="Tablet"/>
    <s v="Debit Card"/>
    <d v="2024-10-09T00:00:00"/>
    <b v="1"/>
    <x v="0"/>
    <s v="Planned"/>
    <s v="Standard"/>
    <n v="4"/>
  </r>
  <r>
    <x v="192"/>
    <x v="192"/>
    <x v="16"/>
    <x v="0"/>
    <x v="0"/>
    <x v="0"/>
    <x v="3"/>
    <x v="2"/>
    <x v="1"/>
    <x v="189"/>
    <s v="Xuedian"/>
    <s v="Xuedian"/>
    <s v="Food &amp; Beverages"/>
    <n v="301.39"/>
    <n v="6"/>
    <s v="Online"/>
    <x v="2"/>
    <n v="1"/>
    <n v="0"/>
    <s v="None"/>
    <s v="Very Sensitive"/>
    <n v="1"/>
    <n v="4"/>
    <s v="Low"/>
    <s v="Desktop"/>
    <s v="Debit Card"/>
    <d v="2024-04-21T00:00:00"/>
    <b v="0"/>
    <x v="0"/>
    <s v="Need-based"/>
    <s v="No Preference"/>
    <n v="11"/>
  </r>
  <r>
    <x v="193"/>
    <x v="193"/>
    <x v="8"/>
    <x v="0"/>
    <x v="0"/>
    <x v="0"/>
    <x v="0"/>
    <x v="0"/>
    <x v="1"/>
    <x v="190"/>
    <s v="Yuyapichis"/>
    <s v="Yuyapichis"/>
    <s v="Books"/>
    <n v="473.5"/>
    <n v="11"/>
    <s v="Mixed"/>
    <x v="2"/>
    <n v="4"/>
    <n v="1"/>
    <s v="Low"/>
    <s v="Somewhat Sensitive"/>
    <n v="2"/>
    <n v="3"/>
    <s v="High"/>
    <s v="Tablet"/>
    <s v="Other"/>
    <d v="2024-07-24T00:00:00"/>
    <b v="0"/>
    <x v="1"/>
    <s v="Impulsive"/>
    <s v="Express"/>
    <n v="10"/>
  </r>
  <r>
    <x v="194"/>
    <x v="194"/>
    <x v="27"/>
    <x v="2"/>
    <x v="6"/>
    <x v="0"/>
    <x v="1"/>
    <x v="0"/>
    <x v="1"/>
    <x v="191"/>
    <s v="Shiroishi"/>
    <s v="Shiroishi"/>
    <s v="Home Appliances"/>
    <n v="72.8"/>
    <n v="11"/>
    <s v="In-Store"/>
    <x v="2"/>
    <n v="4"/>
    <n v="1"/>
    <s v="High"/>
    <s v="Somewhat Sensitive"/>
    <n v="2"/>
    <n v="10"/>
    <s v="High"/>
    <s v="Desktop"/>
    <s v="PayPal"/>
    <d v="2024-08-20T00:00:00"/>
    <b v="1"/>
    <x v="0"/>
    <s v="Need-based"/>
    <s v="Express"/>
    <n v="3"/>
  </r>
  <r>
    <x v="195"/>
    <x v="195"/>
    <x v="27"/>
    <x v="1"/>
    <x v="1"/>
    <x v="0"/>
    <x v="3"/>
    <x v="0"/>
    <x v="1"/>
    <x v="192"/>
    <s v="Kobe"/>
    <s v="Kobe"/>
    <s v="Packages)"/>
    <n v="171.72"/>
    <n v="3"/>
    <s v="Online"/>
    <x v="0"/>
    <n v="3"/>
    <n v="1"/>
    <s v="Low"/>
    <s v="Very Sensitive"/>
    <n v="1"/>
    <n v="2"/>
    <s v="None"/>
    <s v="Desktop"/>
    <s v="PayPal"/>
    <d v="2024-03-24T00:00:00"/>
    <b v="0"/>
    <x v="1"/>
    <s v="Impulsive"/>
    <s v="Standard"/>
    <n v="12"/>
  </r>
  <r>
    <x v="196"/>
    <x v="196"/>
    <x v="16"/>
    <x v="1"/>
    <x v="1"/>
    <x v="0"/>
    <x v="2"/>
    <x v="1"/>
    <x v="0"/>
    <x v="193"/>
    <s v="Gulou"/>
    <s v="Gulou"/>
    <s v="Software &amp; Apps"/>
    <n v="467.5"/>
    <n v="6"/>
    <s v="In-Store"/>
    <x v="2"/>
    <n v="1"/>
    <n v="0"/>
    <s v="None"/>
    <s v="Somewhat Sensitive"/>
    <n v="1"/>
    <n v="1"/>
    <s v="High"/>
    <s v="Desktop"/>
    <s v="PayPal"/>
    <d v="2024-04-04T00:00:00"/>
    <b v="0"/>
    <x v="0"/>
    <s v="Planned"/>
    <s v="No Preference"/>
    <n v="6"/>
  </r>
  <r>
    <x v="197"/>
    <x v="197"/>
    <x v="20"/>
    <x v="2"/>
    <x v="7"/>
    <x v="1"/>
    <x v="0"/>
    <x v="0"/>
    <x v="1"/>
    <x v="194"/>
    <s v="Jilin"/>
    <s v="Jilin"/>
    <s v="Furniture"/>
    <n v="209.79"/>
    <n v="6"/>
    <s v="Mixed"/>
    <x v="0"/>
    <n v="1"/>
    <n v="2"/>
    <s v="High"/>
    <s v="Not Sensitive"/>
    <n v="1"/>
    <n v="9"/>
    <s v="Low"/>
    <s v="Tablet"/>
    <s v="Other"/>
    <d v="2024-09-13T00:00:00"/>
    <b v="1"/>
    <x v="1"/>
    <s v="Need-based"/>
    <s v="Standard"/>
    <n v="10"/>
  </r>
  <r>
    <x v="198"/>
    <x v="198"/>
    <x v="25"/>
    <x v="1"/>
    <x v="1"/>
    <x v="0"/>
    <x v="1"/>
    <x v="1"/>
    <x v="0"/>
    <x v="195"/>
    <s v="Balboa"/>
    <s v="Balboa"/>
    <s v="Office Supplies"/>
    <n v="150.33000000000001"/>
    <n v="9"/>
    <s v="In-Store"/>
    <x v="4"/>
    <n v="4"/>
    <n v="2"/>
    <s v="None"/>
    <s v="Somewhat Sensitive"/>
    <n v="2"/>
    <n v="9"/>
    <s v="Medium"/>
    <s v="Desktop"/>
    <s v="Debit Card"/>
    <d v="2024-04-24T00:00:00"/>
    <b v="1"/>
    <x v="0"/>
    <s v="Wants-based"/>
    <s v="Express"/>
    <n v="6"/>
  </r>
  <r>
    <x v="199"/>
    <x v="199"/>
    <x v="3"/>
    <x v="1"/>
    <x v="1"/>
    <x v="1"/>
    <x v="0"/>
    <x v="0"/>
    <x v="1"/>
    <x v="196"/>
    <s v="Cipari"/>
    <s v="Cipari"/>
    <s v="Luxury Goods"/>
    <n v="98.63"/>
    <n v="7"/>
    <s v="Online"/>
    <x v="4"/>
    <n v="5"/>
    <n v="2"/>
    <s v="High"/>
    <s v="Somewhat Sensitive"/>
    <n v="1"/>
    <n v="3"/>
    <s v="Low"/>
    <s v="Tablet"/>
    <s v="Other"/>
    <d v="2024-01-09T00:00:00"/>
    <b v="0"/>
    <x v="1"/>
    <s v="Planned"/>
    <s v="Standard"/>
    <n v="6"/>
  </r>
  <r>
    <x v="200"/>
    <x v="200"/>
    <x v="6"/>
    <x v="0"/>
    <x v="0"/>
    <x v="0"/>
    <x v="3"/>
    <x v="2"/>
    <x v="0"/>
    <x v="197"/>
    <s v="Orlando"/>
    <s v="Orlando"/>
    <s v="Beauty &amp; Personal Care"/>
    <n v="193.3"/>
    <n v="11"/>
    <s v="Mixed"/>
    <x v="4"/>
    <n v="2"/>
    <n v="2"/>
    <s v="None"/>
    <s v="Very Sensitive"/>
    <n v="2"/>
    <n v="1"/>
    <s v="Medium"/>
    <s v="Tablet"/>
    <s v="Other"/>
    <d v="2024-06-03T00:00:00"/>
    <b v="1"/>
    <x v="1"/>
    <s v="Planned"/>
    <s v="No Preference"/>
    <n v="12"/>
  </r>
  <r>
    <x v="201"/>
    <x v="201"/>
    <x v="1"/>
    <x v="0"/>
    <x v="0"/>
    <x v="0"/>
    <x v="1"/>
    <x v="1"/>
    <x v="0"/>
    <x v="198"/>
    <s v="Torsby"/>
    <s v="Torsby"/>
    <s v="Luxury Goods"/>
    <n v="145.02000000000001"/>
    <n v="7"/>
    <s v="In-Store"/>
    <x v="1"/>
    <n v="2"/>
    <n v="0"/>
    <s v="High"/>
    <s v="Very Sensitive"/>
    <n v="1"/>
    <n v="1"/>
    <s v="Medium"/>
    <s v="Desktop"/>
    <s v="Credit Card"/>
    <d v="2024-06-23T00:00:00"/>
    <b v="1"/>
    <x v="1"/>
    <s v="Wants-based"/>
    <s v="Express"/>
    <n v="9"/>
  </r>
  <r>
    <x v="202"/>
    <x v="202"/>
    <x v="12"/>
    <x v="0"/>
    <x v="0"/>
    <x v="0"/>
    <x v="3"/>
    <x v="2"/>
    <x v="0"/>
    <x v="199"/>
    <s v="San Pablo"/>
    <s v="San Pablo"/>
    <s v="Health Supplements"/>
    <n v="294.99"/>
    <n v="4"/>
    <s v="Online"/>
    <x v="1"/>
    <n v="5"/>
    <n v="2"/>
    <s v="Low"/>
    <s v="Somewhat Sensitive"/>
    <n v="1"/>
    <n v="4"/>
    <s v="High"/>
    <s v="Desktop"/>
    <s v="PayPal"/>
    <d v="2024-11-30T00:00:00"/>
    <b v="0"/>
    <x v="0"/>
    <s v="Need-based"/>
    <s v="Standard"/>
    <n v="5"/>
  </r>
  <r>
    <x v="203"/>
    <x v="203"/>
    <x v="16"/>
    <x v="2"/>
    <x v="5"/>
    <x v="0"/>
    <x v="3"/>
    <x v="1"/>
    <x v="0"/>
    <x v="200"/>
    <s v="Daszewice"/>
    <s v="Daszewice"/>
    <s v="Office Supplies"/>
    <n v="305.45"/>
    <n v="2"/>
    <s v="Mixed"/>
    <x v="0"/>
    <n v="5"/>
    <n v="1"/>
    <s v="None"/>
    <s v="Very Sensitive"/>
    <n v="1"/>
    <n v="1"/>
    <s v="High"/>
    <s v="Smartphone"/>
    <s v="PayPal"/>
    <d v="2024-10-24T00:00:00"/>
    <b v="0"/>
    <x v="1"/>
    <s v="Impulsive"/>
    <s v="Express"/>
    <n v="9"/>
  </r>
  <r>
    <x v="204"/>
    <x v="204"/>
    <x v="17"/>
    <x v="0"/>
    <x v="0"/>
    <x v="0"/>
    <x v="2"/>
    <x v="1"/>
    <x v="0"/>
    <x v="201"/>
    <s v="Villa Concepcin del To"/>
    <s v="Villa Concepciأ³n del Tأ­o"/>
    <s v="Toys &amp; Games"/>
    <n v="432.42"/>
    <n v="2"/>
    <s v="In-Store"/>
    <x v="4"/>
    <n v="4"/>
    <n v="0"/>
    <s v="Medium"/>
    <s v="Not Sensitive"/>
    <n v="0"/>
    <n v="8"/>
    <s v="None"/>
    <s v="Tablet"/>
    <s v="PayPal"/>
    <d v="2024-04-21T00:00:00"/>
    <b v="0"/>
    <x v="1"/>
    <s v="Need-based"/>
    <s v="Express"/>
    <n v="13"/>
  </r>
  <r>
    <x v="205"/>
    <x v="205"/>
    <x v="22"/>
    <x v="0"/>
    <x v="0"/>
    <x v="0"/>
    <x v="1"/>
    <x v="0"/>
    <x v="1"/>
    <x v="202"/>
    <s v="Hacienda La Calera"/>
    <s v="Hacienda La Calera"/>
    <s v="Gardening &amp; Outdoors"/>
    <n v="227.58"/>
    <n v="11"/>
    <s v="Mixed"/>
    <x v="1"/>
    <n v="1"/>
    <n v="1"/>
    <s v="None"/>
    <s v="Not Sensitive"/>
    <n v="1"/>
    <n v="8"/>
    <s v="High"/>
    <s v="Smartphone"/>
    <s v="Credit Card"/>
    <d v="2024-01-23T00:00:00"/>
    <b v="0"/>
    <x v="1"/>
    <s v="Need-based"/>
    <s v="Express"/>
    <n v="6"/>
  </r>
  <r>
    <x v="206"/>
    <x v="206"/>
    <x v="15"/>
    <x v="1"/>
    <x v="1"/>
    <x v="0"/>
    <x v="1"/>
    <x v="1"/>
    <x v="1"/>
    <x v="108"/>
    <s v="Oslo"/>
    <s v="Oslo"/>
    <s v="Toys &amp; Games"/>
    <n v="160.88999999999999"/>
    <n v="10"/>
    <s v="Online"/>
    <x v="0"/>
    <n v="5"/>
    <n v="2"/>
    <s v="None"/>
    <s v="Somewhat Sensitive"/>
    <n v="2"/>
    <n v="6"/>
    <s v="Medium"/>
    <s v="Desktop"/>
    <s v="PayPal"/>
    <d v="2024-06-23T00:00:00"/>
    <b v="1"/>
    <x v="1"/>
    <s v="Planned"/>
    <s v="No Preference"/>
    <n v="13"/>
  </r>
  <r>
    <x v="207"/>
    <x v="207"/>
    <x v="2"/>
    <x v="0"/>
    <x v="0"/>
    <x v="0"/>
    <x v="0"/>
    <x v="2"/>
    <x v="1"/>
    <x v="203"/>
    <s v="Puerto Lpez"/>
    <s v="Puerto Lأ³pez"/>
    <s v="Luxury Goods"/>
    <n v="139.1"/>
    <n v="7"/>
    <s v="Online"/>
    <x v="2"/>
    <n v="5"/>
    <n v="0"/>
    <s v="Low"/>
    <s v="Somewhat Sensitive"/>
    <n v="2"/>
    <n v="3"/>
    <s v="Medium"/>
    <s v="Desktop"/>
    <s v="PayPal"/>
    <d v="2024-03-20T00:00:00"/>
    <b v="0"/>
    <x v="0"/>
    <s v="Impulsive"/>
    <s v="No Preference"/>
    <n v="8"/>
  </r>
  <r>
    <x v="208"/>
    <x v="208"/>
    <x v="15"/>
    <x v="2"/>
    <x v="3"/>
    <x v="1"/>
    <x v="0"/>
    <x v="2"/>
    <x v="0"/>
    <x v="204"/>
    <s v="Xinchengzi"/>
    <s v="Xinchengzi"/>
    <s v="Furniture"/>
    <n v="268.27999999999997"/>
    <n v="9"/>
    <s v="Mixed"/>
    <x v="0"/>
    <n v="2"/>
    <n v="2"/>
    <s v="High"/>
    <s v="Very Sensitive"/>
    <n v="2"/>
    <n v="2"/>
    <s v="High"/>
    <s v="Smartphone"/>
    <s v="Credit Card"/>
    <d v="2024-04-09T00:00:00"/>
    <b v="0"/>
    <x v="1"/>
    <s v="Need-based"/>
    <s v="Standard"/>
    <n v="8"/>
  </r>
  <r>
    <x v="209"/>
    <x v="209"/>
    <x v="5"/>
    <x v="0"/>
    <x v="0"/>
    <x v="0"/>
    <x v="1"/>
    <x v="2"/>
    <x v="1"/>
    <x v="205"/>
    <s v="Tecpn Guatemala"/>
    <s v="Tecpأ،n Guatemala"/>
    <s v="Sports &amp; Outdoors"/>
    <n v="64.489999999999995"/>
    <n v="6"/>
    <s v="Online"/>
    <x v="2"/>
    <n v="1"/>
    <n v="0"/>
    <s v="None"/>
    <s v="Very Sensitive"/>
    <n v="1"/>
    <n v="10"/>
    <s v="None"/>
    <s v="Tablet"/>
    <s v="Other"/>
    <d v="2024-10-19T00:00:00"/>
    <b v="0"/>
    <x v="0"/>
    <s v="Planned"/>
    <s v="Express"/>
    <n v="7"/>
  </r>
  <r>
    <x v="210"/>
    <x v="210"/>
    <x v="32"/>
    <x v="1"/>
    <x v="1"/>
    <x v="0"/>
    <x v="2"/>
    <x v="1"/>
    <x v="0"/>
    <x v="33"/>
    <s v="Bronnitsy"/>
    <s v="Bronnitsy"/>
    <s v="Arts &amp; Crafts"/>
    <n v="80.17"/>
    <n v="10"/>
    <s v="Online"/>
    <x v="3"/>
    <n v="1"/>
    <n v="1"/>
    <s v="High"/>
    <s v="Not Sensitive"/>
    <n v="1"/>
    <n v="8"/>
    <s v="None"/>
    <s v="Tablet"/>
    <s v="Credit Card"/>
    <d v="2024-05-10T00:00:00"/>
    <b v="1"/>
    <x v="1"/>
    <s v="Planned"/>
    <s v="No Preference"/>
    <n v="6"/>
  </r>
  <r>
    <x v="211"/>
    <x v="211"/>
    <x v="31"/>
    <x v="1"/>
    <x v="1"/>
    <x v="1"/>
    <x v="0"/>
    <x v="2"/>
    <x v="1"/>
    <x v="206"/>
    <s v="Araci"/>
    <s v="Araci"/>
    <s v="Groceries"/>
    <n v="277.52"/>
    <n v="11"/>
    <s v="In-Store"/>
    <x v="4"/>
    <n v="1"/>
    <n v="0"/>
    <s v="None"/>
    <s v="Not Sensitive"/>
    <n v="1"/>
    <n v="7"/>
    <s v="Medium"/>
    <s v="Smartphone"/>
    <s v="PayPal"/>
    <d v="2024-05-14T00:00:00"/>
    <b v="1"/>
    <x v="0"/>
    <s v="Need-based"/>
    <s v="Standard"/>
    <n v="11"/>
  </r>
  <r>
    <x v="212"/>
    <x v="212"/>
    <x v="13"/>
    <x v="1"/>
    <x v="1"/>
    <x v="1"/>
    <x v="2"/>
    <x v="2"/>
    <x v="0"/>
    <x v="207"/>
    <s v="Duyure"/>
    <s v="Duyure"/>
    <s v="Health Supplements"/>
    <n v="53.67"/>
    <n v="7"/>
    <s v="Online"/>
    <x v="1"/>
    <n v="5"/>
    <n v="1"/>
    <s v="High"/>
    <s v="Not Sensitive"/>
    <n v="0"/>
    <n v="2"/>
    <s v="High"/>
    <s v="Desktop"/>
    <s v="PayPal"/>
    <d v="2024-04-13T00:00:00"/>
    <b v="0"/>
    <x v="0"/>
    <s v="Planned"/>
    <s v="Express"/>
    <n v="11"/>
  </r>
  <r>
    <x v="213"/>
    <x v="213"/>
    <x v="1"/>
    <x v="0"/>
    <x v="0"/>
    <x v="0"/>
    <x v="2"/>
    <x v="0"/>
    <x v="1"/>
    <x v="208"/>
    <s v="Huangni"/>
    <s v="Huangni"/>
    <s v="Office Supplies"/>
    <n v="323.39"/>
    <n v="10"/>
    <s v="In-Store"/>
    <x v="2"/>
    <n v="3"/>
    <n v="2"/>
    <s v="None"/>
    <s v="Very Sensitive"/>
    <n v="0"/>
    <n v="7"/>
    <s v="High"/>
    <s v="Tablet"/>
    <s v="Cash"/>
    <d v="2024-01-04T00:00:00"/>
    <b v="1"/>
    <x v="1"/>
    <s v="Need-based"/>
    <s v="No Preference"/>
    <n v="11"/>
  </r>
  <r>
    <x v="214"/>
    <x v="214"/>
    <x v="17"/>
    <x v="0"/>
    <x v="0"/>
    <x v="1"/>
    <x v="1"/>
    <x v="0"/>
    <x v="1"/>
    <x v="209"/>
    <s v="Kuala Lumpur"/>
    <s v="Kuala Lumpur"/>
    <s v="Sports &amp; Outdoors"/>
    <n v="98.02"/>
    <n v="5"/>
    <s v="In-Store"/>
    <x v="1"/>
    <n v="3"/>
    <n v="1"/>
    <s v="Low"/>
    <s v="Not Sensitive"/>
    <n v="0"/>
    <n v="3"/>
    <s v="High"/>
    <s v="Desktop"/>
    <s v="Debit Card"/>
    <d v="2024-06-30T00:00:00"/>
    <b v="1"/>
    <x v="0"/>
    <s v="Planned"/>
    <s v="No Preference"/>
    <n v="10"/>
  </r>
  <r>
    <x v="215"/>
    <x v="215"/>
    <x v="2"/>
    <x v="1"/>
    <x v="1"/>
    <x v="1"/>
    <x v="3"/>
    <x v="0"/>
    <x v="1"/>
    <x v="210"/>
    <s v="Seleu"/>
    <s v="Seleuإ،"/>
    <s v="Travel &amp; Leisure (Flights"/>
    <n v="231.26"/>
    <n v="10"/>
    <s v="In-Store"/>
    <x v="0"/>
    <n v="1"/>
    <n v="2"/>
    <s v="Low"/>
    <s v="Very Sensitive"/>
    <n v="2"/>
    <n v="5"/>
    <s v="Low"/>
    <s v="Desktop"/>
    <s v="Cash"/>
    <d v="2024-04-30T00:00:00"/>
    <b v="0"/>
    <x v="1"/>
    <s v="Impulsive"/>
    <s v="No Preference"/>
    <n v="10"/>
  </r>
  <r>
    <x v="216"/>
    <x v="216"/>
    <x v="29"/>
    <x v="1"/>
    <x v="1"/>
    <x v="1"/>
    <x v="1"/>
    <x v="2"/>
    <x v="0"/>
    <x v="211"/>
    <s v="Monrovia"/>
    <s v="Monrovia"/>
    <s v="Food &amp; Beverages"/>
    <n v="382.49"/>
    <n v="6"/>
    <s v="In-Store"/>
    <x v="4"/>
    <n v="2"/>
    <n v="2"/>
    <s v="None"/>
    <s v="Very Sensitive"/>
    <n v="2"/>
    <n v="3"/>
    <s v="Medium"/>
    <s v="Tablet"/>
    <s v="Debit Card"/>
    <d v="2024-02-01T00:00:00"/>
    <b v="1"/>
    <x v="0"/>
    <s v="Impulsive"/>
    <s v="No Preference"/>
    <n v="1"/>
  </r>
  <r>
    <x v="217"/>
    <x v="217"/>
    <x v="31"/>
    <x v="1"/>
    <x v="1"/>
    <x v="0"/>
    <x v="3"/>
    <x v="2"/>
    <x v="1"/>
    <x v="212"/>
    <s v="Kristinehamn"/>
    <s v="Kristinehamn"/>
    <s v="Travel &amp; Leisure (Flights"/>
    <n v="255.42"/>
    <n v="9"/>
    <s v="Mixed"/>
    <x v="0"/>
    <n v="5"/>
    <n v="2"/>
    <s v="None"/>
    <s v="Somewhat Sensitive"/>
    <n v="1"/>
    <n v="9"/>
    <s v="None"/>
    <s v="Tablet"/>
    <s v="PayPal"/>
    <d v="2024-07-01T00:00:00"/>
    <b v="1"/>
    <x v="1"/>
    <s v="Impulsive"/>
    <s v="Standard"/>
    <n v="11"/>
  </r>
  <r>
    <x v="218"/>
    <x v="218"/>
    <x v="18"/>
    <x v="0"/>
    <x v="0"/>
    <x v="0"/>
    <x v="1"/>
    <x v="1"/>
    <x v="1"/>
    <x v="213"/>
    <s v="Huancabamba"/>
    <s v="Huancabamba"/>
    <s v="Toys &amp; Games"/>
    <n v="423.23"/>
    <n v="12"/>
    <s v="In-Store"/>
    <x v="1"/>
    <n v="3"/>
    <n v="2"/>
    <s v="High"/>
    <s v="Somewhat Sensitive"/>
    <n v="0"/>
    <n v="7"/>
    <s v="Low"/>
    <s v="Tablet"/>
    <s v="Debit Card"/>
    <d v="2024-11-05T00:00:00"/>
    <b v="0"/>
    <x v="0"/>
    <s v="Planned"/>
    <s v="Standard"/>
    <n v="6"/>
  </r>
  <r>
    <x v="219"/>
    <x v="219"/>
    <x v="26"/>
    <x v="1"/>
    <x v="1"/>
    <x v="0"/>
    <x v="1"/>
    <x v="1"/>
    <x v="1"/>
    <x v="214"/>
    <s v="San Jos Acatempa"/>
    <s v="San Josأ© Acatempa"/>
    <s v="Beauty &amp; Personal Care"/>
    <n v="276.08"/>
    <n v="4"/>
    <s v="Mixed"/>
    <x v="4"/>
    <n v="5"/>
    <n v="0.3"/>
    <s v="High"/>
    <s v="Somewhat Sensitive"/>
    <n v="2"/>
    <n v="10"/>
    <s v="Low"/>
    <s v="Smartphone"/>
    <s v="Credit Card"/>
    <d v="2024-01-29T00:00:00"/>
    <b v="0"/>
    <x v="1"/>
    <s v="Need-based"/>
    <s v="No Preference"/>
    <n v="10"/>
  </r>
  <r>
    <x v="220"/>
    <x v="220"/>
    <x v="8"/>
    <x v="1"/>
    <x v="1"/>
    <x v="0"/>
    <x v="2"/>
    <x v="0"/>
    <x v="0"/>
    <x v="215"/>
    <s v="Quebrada Canoa"/>
    <s v="Quebrada Canoa"/>
    <s v="Books"/>
    <n v="333.56"/>
    <n v="3"/>
    <s v="Mixed"/>
    <x v="4"/>
    <n v="5"/>
    <n v="1"/>
    <s v="Low"/>
    <s v="Not Sensitive"/>
    <n v="2"/>
    <n v="2"/>
    <s v="High"/>
    <s v="Smartphone"/>
    <s v="Other"/>
    <d v="2024-10-25T00:00:00"/>
    <b v="1"/>
    <x v="1"/>
    <s v="Impulsive"/>
    <s v="No Preference"/>
    <n v="14"/>
  </r>
  <r>
    <x v="221"/>
    <x v="221"/>
    <x v="7"/>
    <x v="1"/>
    <x v="1"/>
    <x v="1"/>
    <x v="3"/>
    <x v="0"/>
    <x v="0"/>
    <x v="216"/>
    <s v="Moate"/>
    <s v="Moate"/>
    <s v="Groceries"/>
    <n v="129.82"/>
    <n v="12"/>
    <s v="Mixed"/>
    <x v="3"/>
    <n v="2"/>
    <n v="0"/>
    <s v="High"/>
    <s v="Not Sensitive"/>
    <n v="2"/>
    <n v="1"/>
    <s v="High"/>
    <s v="Tablet"/>
    <s v="Cash"/>
    <d v="2024-06-03T00:00:00"/>
    <b v="0"/>
    <x v="0"/>
    <s v="Impulsive"/>
    <s v="Standard"/>
    <n v="8"/>
  </r>
  <r>
    <x v="222"/>
    <x v="222"/>
    <x v="30"/>
    <x v="0"/>
    <x v="0"/>
    <x v="1"/>
    <x v="2"/>
    <x v="1"/>
    <x v="1"/>
    <x v="217"/>
    <s v="Kubangwaru"/>
    <s v="Kubangwaru"/>
    <s v="Clothing"/>
    <n v="278.77999999999997"/>
    <n v="3"/>
    <s v="Mixed"/>
    <x v="0"/>
    <n v="2"/>
    <n v="0"/>
    <s v="Medium"/>
    <s v="Not Sensitive"/>
    <n v="0"/>
    <n v="1"/>
    <s v="Low"/>
    <s v="Desktop"/>
    <s v="Credit Card"/>
    <d v="2024-06-14T00:00:00"/>
    <b v="1"/>
    <x v="0"/>
    <s v="Wants-based"/>
    <s v="Standard"/>
    <n v="2"/>
  </r>
  <r>
    <x v="223"/>
    <x v="223"/>
    <x v="14"/>
    <x v="1"/>
    <x v="1"/>
    <x v="0"/>
    <x v="0"/>
    <x v="0"/>
    <x v="1"/>
    <x v="218"/>
    <s v="Oe"/>
    <s v="ذœذ°ر€ذ¸ذ½ذ¾"/>
    <s v="Gardening &amp; Outdoors"/>
    <n v="112.55"/>
    <n v="5"/>
    <s v="In-Store"/>
    <x v="3"/>
    <n v="4"/>
    <n v="2"/>
    <s v="None"/>
    <s v="Very Sensitive"/>
    <n v="2"/>
    <n v="1"/>
    <s v="Low"/>
    <s v="Desktop"/>
    <s v="Credit Card"/>
    <d v="2024-10-22T00:00:00"/>
    <b v="1"/>
    <x v="0"/>
    <s v="Planned"/>
    <s v="Standard"/>
    <n v="2"/>
  </r>
  <r>
    <x v="224"/>
    <x v="224"/>
    <x v="17"/>
    <x v="0"/>
    <x v="0"/>
    <x v="0"/>
    <x v="3"/>
    <x v="0"/>
    <x v="1"/>
    <x v="219"/>
    <s v="Xinquan"/>
    <s v="Xinquan"/>
    <s v="Toys &amp; Games"/>
    <n v="142.02000000000001"/>
    <n v="7"/>
    <s v="In-Store"/>
    <x v="3"/>
    <n v="5"/>
    <n v="0"/>
    <s v="Low"/>
    <s v="Very Sensitive"/>
    <n v="1"/>
    <n v="9"/>
    <s v="Medium"/>
    <s v="Desktop"/>
    <s v="Cash"/>
    <d v="2024-07-09T00:00:00"/>
    <b v="1"/>
    <x v="0"/>
    <s v="Impulsive"/>
    <s v="Standard"/>
    <n v="3"/>
  </r>
  <r>
    <x v="225"/>
    <x v="225"/>
    <x v="4"/>
    <x v="0"/>
    <x v="0"/>
    <x v="1"/>
    <x v="2"/>
    <x v="1"/>
    <x v="1"/>
    <x v="220"/>
    <s v="Providence"/>
    <s v="Providence"/>
    <s v="Packages)"/>
    <n v="481.84"/>
    <n v="10"/>
    <s v="In-Store"/>
    <x v="3"/>
    <n v="4"/>
    <n v="2"/>
    <s v="High"/>
    <s v="Somewhat Sensitive"/>
    <n v="1"/>
    <n v="1"/>
    <s v="Medium"/>
    <s v="Tablet"/>
    <s v="Cash"/>
    <d v="2024-08-14T00:00:00"/>
    <b v="0"/>
    <x v="0"/>
    <s v="Wants-based"/>
    <s v="Express"/>
    <n v="9"/>
  </r>
  <r>
    <x v="226"/>
    <x v="226"/>
    <x v="17"/>
    <x v="2"/>
    <x v="6"/>
    <x v="1"/>
    <x v="3"/>
    <x v="2"/>
    <x v="0"/>
    <x v="221"/>
    <s v="Autun"/>
    <s v="Autun"/>
    <s v="Packages)"/>
    <n v="165.01"/>
    <n v="10"/>
    <s v="Mixed"/>
    <x v="3"/>
    <n v="2"/>
    <n v="1"/>
    <s v="Medium"/>
    <s v="Somewhat Sensitive"/>
    <n v="1"/>
    <n v="5"/>
    <s v="Medium"/>
    <s v="Desktop"/>
    <s v="PayPal"/>
    <d v="2024-04-17T00:00:00"/>
    <b v="1"/>
    <x v="0"/>
    <s v="Impulsive"/>
    <s v="No Preference"/>
    <n v="10"/>
  </r>
  <r>
    <x v="227"/>
    <x v="227"/>
    <x v="8"/>
    <x v="1"/>
    <x v="1"/>
    <x v="0"/>
    <x v="3"/>
    <x v="1"/>
    <x v="0"/>
    <x v="222"/>
    <s v="Shilin"/>
    <s v="Shilin"/>
    <s v="Baby Products"/>
    <n v="56.85"/>
    <n v="5"/>
    <s v="Online"/>
    <x v="2"/>
    <n v="1"/>
    <n v="2"/>
    <s v="None"/>
    <s v="Very Sensitive"/>
    <n v="0"/>
    <n v="1"/>
    <s v="High"/>
    <s v="Smartphone"/>
    <s v="Cash"/>
    <d v="2024-11-16T00:00:00"/>
    <b v="1"/>
    <x v="0"/>
    <s v="Wants-based"/>
    <s v="Standard"/>
    <n v="14"/>
  </r>
  <r>
    <x v="228"/>
    <x v="228"/>
    <x v="10"/>
    <x v="2"/>
    <x v="6"/>
    <x v="1"/>
    <x v="1"/>
    <x v="0"/>
    <x v="1"/>
    <x v="223"/>
    <s v="Paris 17"/>
    <s v="Paris 17"/>
    <s v="Hotels"/>
    <n v="182.89"/>
    <n v="2"/>
    <s v="Mixed"/>
    <x v="0"/>
    <n v="3"/>
    <n v="1"/>
    <s v="Low"/>
    <s v="Not Sensitive"/>
    <n v="1"/>
    <n v="9"/>
    <s v="Low"/>
    <s v="Smartphone"/>
    <s v="PayPal"/>
    <d v="2024-08-12T00:00:00"/>
    <b v="0"/>
    <x v="0"/>
    <s v="Wants-based"/>
    <s v="Express"/>
    <n v="5"/>
  </r>
  <r>
    <x v="229"/>
    <x v="229"/>
    <x v="7"/>
    <x v="1"/>
    <x v="1"/>
    <x v="1"/>
    <x v="2"/>
    <x v="1"/>
    <x v="1"/>
    <x v="224"/>
    <s v="Stoczek ukowski"/>
    <s v="Stoczek إپukowski"/>
    <s v="Books"/>
    <n v="373.01"/>
    <n v="5"/>
    <s v="In-Store"/>
    <x v="0"/>
    <n v="5"/>
    <n v="1"/>
    <s v="Low"/>
    <s v="Somewhat Sensitive"/>
    <n v="1"/>
    <n v="4"/>
    <s v="Medium"/>
    <s v="Smartphone"/>
    <s v="PayPal"/>
    <d v="2024-07-27T00:00:00"/>
    <b v="0"/>
    <x v="1"/>
    <s v="Impulsive"/>
    <s v="Express"/>
    <n v="8"/>
  </r>
  <r>
    <x v="230"/>
    <x v="230"/>
    <x v="30"/>
    <x v="1"/>
    <x v="1"/>
    <x v="0"/>
    <x v="1"/>
    <x v="2"/>
    <x v="0"/>
    <x v="225"/>
    <s v="Ormstown"/>
    <s v="Ormstown"/>
    <s v="Home Appliances"/>
    <n v="220.77"/>
    <n v="7"/>
    <s v="Online"/>
    <x v="4"/>
    <n v="2"/>
    <n v="2"/>
    <s v="Low"/>
    <s v="Not Sensitive"/>
    <n v="2"/>
    <n v="1"/>
    <s v="None"/>
    <s v="Smartphone"/>
    <s v="Debit Card"/>
    <d v="2024-04-15T00:00:00"/>
    <b v="1"/>
    <x v="1"/>
    <s v="Need-based"/>
    <s v="Standard"/>
    <n v="11"/>
  </r>
  <r>
    <x v="231"/>
    <x v="231"/>
    <x v="23"/>
    <x v="1"/>
    <x v="1"/>
    <x v="0"/>
    <x v="0"/>
    <x v="2"/>
    <x v="1"/>
    <x v="226"/>
    <s v="Ponte"/>
    <s v="Ponte"/>
    <s v="Hotels"/>
    <n v="291.08999999999997"/>
    <n v="11"/>
    <s v="Online"/>
    <x v="2"/>
    <n v="2"/>
    <n v="2"/>
    <s v="None"/>
    <s v="Somewhat Sensitive"/>
    <n v="0"/>
    <n v="9"/>
    <s v="High"/>
    <s v="Smartphone"/>
    <s v="PayPal"/>
    <d v="2024-10-06T00:00:00"/>
    <b v="1"/>
    <x v="0"/>
    <s v="Need-based"/>
    <s v="No Preference"/>
    <n v="1"/>
  </r>
  <r>
    <x v="232"/>
    <x v="232"/>
    <x v="25"/>
    <x v="2"/>
    <x v="6"/>
    <x v="1"/>
    <x v="0"/>
    <x v="0"/>
    <x v="0"/>
    <x v="227"/>
    <s v="Boshkengash"/>
    <s v="Boshkengash"/>
    <s v="Software &amp; Apps"/>
    <n v="414.06"/>
    <n v="9"/>
    <s v="Mixed"/>
    <x v="3"/>
    <n v="4"/>
    <n v="2"/>
    <s v="Medium"/>
    <s v="Somewhat Sensitive"/>
    <n v="2"/>
    <n v="4"/>
    <s v="High"/>
    <s v="Desktop"/>
    <s v="PayPal"/>
    <d v="2024-11-26T00:00:00"/>
    <b v="1"/>
    <x v="0"/>
    <s v="Planned"/>
    <s v="Express"/>
    <n v="2"/>
  </r>
  <r>
    <x v="233"/>
    <x v="233"/>
    <x v="14"/>
    <x v="1"/>
    <x v="1"/>
    <x v="0"/>
    <x v="2"/>
    <x v="0"/>
    <x v="0"/>
    <x v="228"/>
    <s v=" Th"/>
    <s v="ؤگل؛، Tل؛»h"/>
    <s v="Animal Feed"/>
    <n v="408.51"/>
    <n v="9"/>
    <s v="Online"/>
    <x v="2"/>
    <n v="1"/>
    <n v="2"/>
    <s v="High"/>
    <s v="Very Sensitive"/>
    <n v="0"/>
    <n v="7"/>
    <s v="Medium"/>
    <s v="Smartphone"/>
    <s v="Credit Card"/>
    <d v="2024-05-26T00:00:00"/>
    <b v="1"/>
    <x v="0"/>
    <s v="Wants-based"/>
    <s v="Express"/>
    <n v="1"/>
  </r>
  <r>
    <x v="234"/>
    <x v="234"/>
    <x v="6"/>
    <x v="1"/>
    <x v="1"/>
    <x v="0"/>
    <x v="0"/>
    <x v="1"/>
    <x v="1"/>
    <x v="229"/>
    <s v="Rada"/>
    <s v="Radؤپâ€ک"/>
    <s v="Furniture"/>
    <n v="103.4"/>
    <n v="9"/>
    <s v="In-Store"/>
    <x v="4"/>
    <n v="1"/>
    <n v="2"/>
    <s v="High"/>
    <s v="Not Sensitive"/>
    <n v="1"/>
    <n v="9"/>
    <s v="Medium"/>
    <s v="Smartphone"/>
    <s v="Debit Card"/>
    <d v="2024-11-04T00:00:00"/>
    <b v="1"/>
    <x v="0"/>
    <s v="Planned"/>
    <s v="Standard"/>
    <n v="9"/>
  </r>
  <r>
    <x v="235"/>
    <x v="235"/>
    <x v="26"/>
    <x v="1"/>
    <x v="1"/>
    <x v="0"/>
    <x v="1"/>
    <x v="1"/>
    <x v="1"/>
    <x v="230"/>
    <s v="Sinarwangi"/>
    <s v="Sinarwangi"/>
    <s v="Furniture"/>
    <n v="67.92"/>
    <n v="3"/>
    <s v="In-Store"/>
    <x v="3"/>
    <n v="3"/>
    <n v="0"/>
    <s v="Low"/>
    <s v="Not Sensitive"/>
    <n v="1"/>
    <n v="8"/>
    <s v="Low"/>
    <s v="Tablet"/>
    <s v="Cash"/>
    <d v="2024-10-18T00:00:00"/>
    <b v="0"/>
    <x v="1"/>
    <s v="Impulsive"/>
    <s v="Express"/>
    <n v="10"/>
  </r>
  <r>
    <x v="236"/>
    <x v="236"/>
    <x v="21"/>
    <x v="2"/>
    <x v="6"/>
    <x v="0"/>
    <x v="1"/>
    <x v="1"/>
    <x v="0"/>
    <x v="231"/>
    <s v="Dagup"/>
    <s v="Dagup"/>
    <s v="Health Supplements"/>
    <n v="354.16"/>
    <n v="8"/>
    <s v="In-Store"/>
    <x v="3"/>
    <n v="1"/>
    <n v="1"/>
    <s v="Low"/>
    <s v="Not Sensitive"/>
    <n v="2"/>
    <n v="3"/>
    <s v="Low"/>
    <s v="Desktop"/>
    <s v="Credit Card"/>
    <d v="2024-06-13T00:00:00"/>
    <b v="1"/>
    <x v="0"/>
    <s v="Planned"/>
    <s v="Express"/>
    <n v="5"/>
  </r>
  <r>
    <x v="237"/>
    <x v="237"/>
    <x v="12"/>
    <x v="1"/>
    <x v="1"/>
    <x v="0"/>
    <x v="2"/>
    <x v="0"/>
    <x v="0"/>
    <x v="232"/>
    <s v="Ek"/>
    <s v="Eإ‚k"/>
    <s v="Books"/>
    <n v="276.77"/>
    <n v="2"/>
    <s v="Mixed"/>
    <x v="3"/>
    <n v="1"/>
    <n v="2"/>
    <s v="Low"/>
    <s v="Very Sensitive"/>
    <n v="1"/>
    <n v="2"/>
    <s v="High"/>
    <s v="Smartphone"/>
    <s v="Cash"/>
    <d v="2024-03-03T00:00:00"/>
    <b v="1"/>
    <x v="1"/>
    <s v="Wants-based"/>
    <s v="No Preference"/>
    <n v="4"/>
  </r>
  <r>
    <x v="238"/>
    <x v="238"/>
    <x v="1"/>
    <x v="1"/>
    <x v="1"/>
    <x v="0"/>
    <x v="1"/>
    <x v="1"/>
    <x v="0"/>
    <x v="233"/>
    <s v="Moju"/>
    <s v="Moju"/>
    <s v="Health Care"/>
    <n v="190.25"/>
    <n v="6"/>
    <s v="Mixed"/>
    <x v="4"/>
    <n v="2"/>
    <n v="2"/>
    <s v="None"/>
    <s v="Very Sensitive"/>
    <n v="2"/>
    <n v="9"/>
    <s v="None"/>
    <s v="Tablet"/>
    <s v="PayPal"/>
    <d v="2024-06-03T00:00:00"/>
    <b v="0"/>
    <x v="0"/>
    <s v="Planned"/>
    <s v="Express"/>
    <n v="13"/>
  </r>
  <r>
    <x v="239"/>
    <x v="239"/>
    <x v="31"/>
    <x v="0"/>
    <x v="0"/>
    <x v="0"/>
    <x v="0"/>
    <x v="2"/>
    <x v="0"/>
    <x v="234"/>
    <s v="Vأ­lia"/>
    <s v="Vأ­lia"/>
    <s v="Animal Feed"/>
    <n v="203.49"/>
    <n v="7"/>
    <s v="In-Store"/>
    <x v="4"/>
    <n v="1"/>
    <n v="2"/>
    <s v="Medium"/>
    <s v="Not Sensitive"/>
    <n v="1"/>
    <n v="8"/>
    <s v="High"/>
    <s v="Tablet"/>
    <s v="Cash"/>
    <d v="2024-08-10T00:00:00"/>
    <b v="0"/>
    <x v="1"/>
    <s v="Need-based"/>
    <s v="Express"/>
    <n v="11"/>
  </r>
  <r>
    <x v="240"/>
    <x v="240"/>
    <x v="2"/>
    <x v="1"/>
    <x v="1"/>
    <x v="0"/>
    <x v="1"/>
    <x v="1"/>
    <x v="1"/>
    <x v="235"/>
    <s v="Prince Rupert"/>
    <s v="Prince Rupert"/>
    <s v="Health Supplements"/>
    <n v="263.5"/>
    <n v="6"/>
    <s v="Mixed"/>
    <x v="1"/>
    <n v="2"/>
    <n v="2"/>
    <s v="None"/>
    <s v="Not Sensitive"/>
    <n v="0"/>
    <n v="8"/>
    <s v="Low"/>
    <s v="Tablet"/>
    <s v="Debit Card"/>
    <d v="2024-11-18T00:00:00"/>
    <b v="0"/>
    <x v="0"/>
    <s v="Planned"/>
    <s v="Standard"/>
    <n v="1"/>
  </r>
  <r>
    <x v="241"/>
    <x v="241"/>
    <x v="13"/>
    <x v="0"/>
    <x v="0"/>
    <x v="1"/>
    <x v="3"/>
    <x v="0"/>
    <x v="0"/>
    <x v="236"/>
    <s v="Jiangmen"/>
    <s v="Jiangmen"/>
    <s v="Arts &amp; Crafts"/>
    <n v="247.3"/>
    <n v="2"/>
    <s v="In-Store"/>
    <x v="4"/>
    <n v="4"/>
    <n v="2"/>
    <s v="Low"/>
    <s v="Very Sensitive"/>
    <n v="0"/>
    <n v="1"/>
    <s v="Medium"/>
    <s v="Desktop"/>
    <s v="Credit Card"/>
    <d v="2024-02-08T00:00:00"/>
    <b v="1"/>
    <x v="1"/>
    <s v="Wants-based"/>
    <s v="No Preference"/>
    <n v="11"/>
  </r>
  <r>
    <x v="242"/>
    <x v="242"/>
    <x v="27"/>
    <x v="1"/>
    <x v="1"/>
    <x v="1"/>
    <x v="0"/>
    <x v="0"/>
    <x v="0"/>
    <x v="237"/>
    <s v="Alung"/>
    <s v="Alung"/>
    <s v="Toys &amp; Games"/>
    <n v="50.71"/>
    <n v="12"/>
    <s v="Online"/>
    <x v="4"/>
    <n v="3"/>
    <n v="0.3"/>
    <s v="None"/>
    <s v="Not Sensitive"/>
    <n v="0"/>
    <n v="9"/>
    <s v="Medium"/>
    <s v="Smartphone"/>
    <s v="Debit Card"/>
    <d v="2024-03-17T00:00:00"/>
    <b v="1"/>
    <x v="1"/>
    <s v="Wants-based"/>
    <s v="No Preference"/>
    <n v="8"/>
  </r>
  <r>
    <x v="243"/>
    <x v="243"/>
    <x v="21"/>
    <x v="1"/>
    <x v="1"/>
    <x v="1"/>
    <x v="0"/>
    <x v="1"/>
    <x v="0"/>
    <x v="238"/>
    <s v="Osorno"/>
    <s v="Osorno"/>
    <s v="Office Supplies"/>
    <n v="131.85"/>
    <n v="4"/>
    <s v="Mixed"/>
    <x v="0"/>
    <n v="4"/>
    <n v="2"/>
    <s v="Low"/>
    <s v="Somewhat Sensitive"/>
    <n v="1"/>
    <n v="5"/>
    <s v="Medium"/>
    <s v="Smartphone"/>
    <s v="Debit Card"/>
    <d v="2024-01-04T00:00:00"/>
    <b v="1"/>
    <x v="0"/>
    <s v="Need-based"/>
    <s v="No Preference"/>
    <n v="6"/>
  </r>
  <r>
    <x v="244"/>
    <x v="244"/>
    <x v="24"/>
    <x v="1"/>
    <x v="1"/>
    <x v="1"/>
    <x v="0"/>
    <x v="2"/>
    <x v="1"/>
    <x v="239"/>
    <s v="Labo"/>
    <s v="Labo"/>
    <s v="Beauty &amp; Personal Care"/>
    <n v="459.39"/>
    <n v="6"/>
    <s v="Mixed"/>
    <x v="2"/>
    <n v="2"/>
    <n v="0.3"/>
    <s v="Low"/>
    <s v="Very Sensitive"/>
    <n v="2"/>
    <n v="4"/>
    <s v="High"/>
    <s v="Tablet"/>
    <s v="Credit Card"/>
    <d v="2024-09-29T00:00:00"/>
    <b v="0"/>
    <x v="0"/>
    <s v="Planned"/>
    <s v="No Preference"/>
    <n v="14"/>
  </r>
  <r>
    <x v="245"/>
    <x v="245"/>
    <x v="15"/>
    <x v="0"/>
    <x v="0"/>
    <x v="1"/>
    <x v="3"/>
    <x v="1"/>
    <x v="0"/>
    <x v="240"/>
    <s v="Dakingari"/>
    <s v="Dakingari"/>
    <s v="Office Supplies"/>
    <n v="383.33"/>
    <n v="6"/>
    <s v="Online"/>
    <x v="1"/>
    <n v="4"/>
    <n v="2"/>
    <s v="Medium"/>
    <s v="Very Sensitive"/>
    <n v="1"/>
    <n v="3"/>
    <s v="None"/>
    <s v="Smartphone"/>
    <s v="Credit Card"/>
    <d v="2024-08-05T00:00:00"/>
    <b v="0"/>
    <x v="0"/>
    <s v="Planned"/>
    <s v="Standard"/>
    <n v="12"/>
  </r>
  <r>
    <x v="246"/>
    <x v="246"/>
    <x v="29"/>
    <x v="0"/>
    <x v="0"/>
    <x v="1"/>
    <x v="2"/>
    <x v="0"/>
    <x v="1"/>
    <x v="241"/>
    <s v="Selasari"/>
    <s v="Selasari"/>
    <s v="Toys &amp; Games"/>
    <n v="212.08"/>
    <n v="8"/>
    <s v="In-Store"/>
    <x v="0"/>
    <n v="5"/>
    <n v="2"/>
    <s v="Low"/>
    <s v="Very Sensitive"/>
    <n v="1"/>
    <n v="9"/>
    <s v="None"/>
    <s v="Tablet"/>
    <s v="Credit Card"/>
    <d v="2024-05-07T00:00:00"/>
    <b v="0"/>
    <x v="0"/>
    <s v="Need-based"/>
    <s v="Standard"/>
    <n v="13"/>
  </r>
  <r>
    <x v="247"/>
    <x v="247"/>
    <x v="22"/>
    <x v="0"/>
    <x v="0"/>
    <x v="1"/>
    <x v="0"/>
    <x v="2"/>
    <x v="1"/>
    <x v="242"/>
    <s v="Besko"/>
    <s v="Besko"/>
    <s v="Arts &amp; Crafts"/>
    <n v="370.73"/>
    <n v="7"/>
    <s v="Online"/>
    <x v="1"/>
    <n v="2"/>
    <n v="1"/>
    <s v="High"/>
    <s v="Not Sensitive"/>
    <n v="0"/>
    <n v="9"/>
    <s v="High"/>
    <s v="Smartphone"/>
    <s v="Debit Card"/>
    <d v="2024-08-18T00:00:00"/>
    <b v="0"/>
    <x v="1"/>
    <s v="Need-based"/>
    <s v="No Preference"/>
    <n v="7"/>
  </r>
  <r>
    <x v="248"/>
    <x v="248"/>
    <x v="7"/>
    <x v="1"/>
    <x v="1"/>
    <x v="1"/>
    <x v="3"/>
    <x v="2"/>
    <x v="0"/>
    <x v="243"/>
    <s v="Aubergenville"/>
    <s v="Aubergenville"/>
    <s v="Clothing"/>
    <n v="319.66000000000003"/>
    <n v="7"/>
    <s v="Mixed"/>
    <x v="4"/>
    <n v="2"/>
    <n v="1"/>
    <s v="High"/>
    <s v="Not Sensitive"/>
    <n v="1"/>
    <n v="10"/>
    <s v="None"/>
    <s v="Desktop"/>
    <s v="Debit Card"/>
    <d v="2024-02-18T00:00:00"/>
    <b v="0"/>
    <x v="0"/>
    <s v="Wants-based"/>
    <s v="Express"/>
    <n v="3"/>
  </r>
  <r>
    <x v="249"/>
    <x v="249"/>
    <x v="32"/>
    <x v="0"/>
    <x v="0"/>
    <x v="0"/>
    <x v="2"/>
    <x v="0"/>
    <x v="1"/>
    <x v="244"/>
    <s v="Sula"/>
    <s v="Sula"/>
    <s v="Jewelry &amp; Accessories"/>
    <n v="373.05"/>
    <n v="3"/>
    <s v="In-Store"/>
    <x v="1"/>
    <n v="4"/>
    <n v="0.3"/>
    <s v="Low"/>
    <s v="Not Sensitive"/>
    <n v="1"/>
    <n v="10"/>
    <s v="Medium"/>
    <s v="Tablet"/>
    <s v="Cash"/>
    <d v="2024-03-14T00:00:00"/>
    <b v="0"/>
    <x v="1"/>
    <s v="Planned"/>
    <s v="Standard"/>
    <n v="7"/>
  </r>
  <r>
    <x v="250"/>
    <x v="250"/>
    <x v="24"/>
    <x v="0"/>
    <x v="0"/>
    <x v="1"/>
    <x v="0"/>
    <x v="0"/>
    <x v="1"/>
    <x v="245"/>
    <s v="Valongo"/>
    <s v="Valongo"/>
    <s v="Sports &amp; Outdoors"/>
    <n v="393.78"/>
    <n v="6"/>
    <s v="Online"/>
    <x v="1"/>
    <n v="4"/>
    <n v="1"/>
    <s v="Medium"/>
    <s v="Very Sensitive"/>
    <n v="0"/>
    <n v="5"/>
    <s v="Low"/>
    <s v="Tablet"/>
    <s v="Other"/>
    <d v="2024-03-25T00:00:00"/>
    <b v="1"/>
    <x v="0"/>
    <s v="Need-based"/>
    <s v="No Preference"/>
    <n v="14"/>
  </r>
  <r>
    <x v="251"/>
    <x v="251"/>
    <x v="23"/>
    <x v="0"/>
    <x v="0"/>
    <x v="1"/>
    <x v="2"/>
    <x v="2"/>
    <x v="1"/>
    <x v="246"/>
    <s v="Al Khnkah"/>
    <s v="Al Khؤپnkah"/>
    <s v="Clothing"/>
    <n v="245.04"/>
    <n v="4"/>
    <s v="Online"/>
    <x v="1"/>
    <n v="2"/>
    <n v="0"/>
    <s v="High"/>
    <s v="Not Sensitive"/>
    <n v="2"/>
    <n v="6"/>
    <s v="High"/>
    <s v="Tablet"/>
    <s v="Other"/>
    <d v="2024-12-03T00:00:00"/>
    <b v="1"/>
    <x v="1"/>
    <s v="Need-based"/>
    <s v="Standard"/>
    <n v="10"/>
  </r>
  <r>
    <x v="252"/>
    <x v="252"/>
    <x v="29"/>
    <x v="0"/>
    <x v="0"/>
    <x v="1"/>
    <x v="3"/>
    <x v="2"/>
    <x v="0"/>
    <x v="247"/>
    <s v="Mrtola"/>
    <s v="Mأ©rtola"/>
    <s v="Beauty &amp; Personal Care"/>
    <n v="111.27"/>
    <n v="3"/>
    <s v="Online"/>
    <x v="3"/>
    <n v="3"/>
    <n v="1"/>
    <s v="High"/>
    <s v="Very Sensitive"/>
    <n v="2"/>
    <n v="10"/>
    <s v="None"/>
    <s v="Smartphone"/>
    <s v="PayPal"/>
    <d v="2024-05-13T00:00:00"/>
    <b v="0"/>
    <x v="0"/>
    <s v="Impulsive"/>
    <s v="No Preference"/>
    <n v="12"/>
  </r>
  <r>
    <x v="253"/>
    <x v="253"/>
    <x v="29"/>
    <x v="0"/>
    <x v="0"/>
    <x v="1"/>
    <x v="1"/>
    <x v="0"/>
    <x v="0"/>
    <x v="248"/>
    <s v="Rates"/>
    <s v="Rates"/>
    <s v="Baby Products"/>
    <n v="93.29"/>
    <n v="11"/>
    <s v="Online"/>
    <x v="2"/>
    <n v="2"/>
    <n v="0"/>
    <s v="High"/>
    <s v="Very Sensitive"/>
    <n v="0"/>
    <n v="7"/>
    <s v="Low"/>
    <s v="Tablet"/>
    <s v="Other"/>
    <d v="2024-07-25T00:00:00"/>
    <b v="1"/>
    <x v="0"/>
    <s v="Impulsive"/>
    <s v="No Preference"/>
    <n v="9"/>
  </r>
  <r>
    <x v="254"/>
    <x v="254"/>
    <x v="23"/>
    <x v="0"/>
    <x v="0"/>
    <x v="1"/>
    <x v="0"/>
    <x v="1"/>
    <x v="0"/>
    <x v="249"/>
    <s v="Anyang"/>
    <s v="Anyang"/>
    <s v="Hotels"/>
    <n v="156.5"/>
    <n v="5"/>
    <s v="Mixed"/>
    <x v="3"/>
    <n v="1"/>
    <n v="1"/>
    <s v="High"/>
    <s v="Very Sensitive"/>
    <n v="0"/>
    <n v="3"/>
    <s v="High"/>
    <s v="Desktop"/>
    <s v="Other"/>
    <d v="2024-01-10T00:00:00"/>
    <b v="1"/>
    <x v="0"/>
    <s v="Wants-based"/>
    <s v="Standard"/>
    <n v="14"/>
  </r>
  <r>
    <x v="255"/>
    <x v="255"/>
    <x v="14"/>
    <x v="1"/>
    <x v="1"/>
    <x v="0"/>
    <x v="1"/>
    <x v="2"/>
    <x v="0"/>
    <x v="250"/>
    <s v="Nymburk"/>
    <s v="Nymburk"/>
    <s v="Packages)"/>
    <n v="290.11"/>
    <n v="8"/>
    <s v="Mixed"/>
    <x v="4"/>
    <n v="4"/>
    <n v="1"/>
    <s v="Medium"/>
    <s v="Very Sensitive"/>
    <n v="1"/>
    <n v="4"/>
    <s v="Medium"/>
    <s v="Smartphone"/>
    <s v="PayPal"/>
    <d v="2024-10-30T00:00:00"/>
    <b v="0"/>
    <x v="0"/>
    <s v="Impulsive"/>
    <s v="No Preference"/>
    <n v="14"/>
  </r>
  <r>
    <x v="256"/>
    <x v="256"/>
    <x v="25"/>
    <x v="0"/>
    <x v="0"/>
    <x v="0"/>
    <x v="1"/>
    <x v="0"/>
    <x v="0"/>
    <x v="97"/>
    <s v="Jiangcun"/>
    <s v="Jiangcun"/>
    <s v="Software &amp; Apps"/>
    <n v="355.28"/>
    <n v="3"/>
    <s v="Mixed"/>
    <x v="0"/>
    <n v="5"/>
    <n v="0"/>
    <s v="Low"/>
    <s v="Very Sensitive"/>
    <n v="1"/>
    <n v="4"/>
    <s v="Low"/>
    <s v="Smartphone"/>
    <s v="Credit Card"/>
    <d v="2024-09-17T00:00:00"/>
    <b v="1"/>
    <x v="1"/>
    <s v="Planned"/>
    <s v="No Preference"/>
    <n v="5"/>
  </r>
  <r>
    <x v="257"/>
    <x v="257"/>
    <x v="16"/>
    <x v="2"/>
    <x v="2"/>
    <x v="0"/>
    <x v="1"/>
    <x v="0"/>
    <x v="1"/>
    <x v="251"/>
    <s v="Tafo"/>
    <s v="Tafo"/>
    <s v="Gardening &amp; Outdoors"/>
    <n v="73.739999999999995"/>
    <n v="7"/>
    <s v="Online"/>
    <x v="4"/>
    <n v="2"/>
    <n v="0.3"/>
    <s v="High"/>
    <s v="Not Sensitive"/>
    <n v="1"/>
    <n v="3"/>
    <s v="Medium"/>
    <s v="Smartphone"/>
    <s v="Other"/>
    <d v="2024-08-17T00:00:00"/>
    <b v="0"/>
    <x v="0"/>
    <s v="Wants-based"/>
    <s v="Standard"/>
    <n v="13"/>
  </r>
  <r>
    <x v="258"/>
    <x v="258"/>
    <x v="6"/>
    <x v="0"/>
    <x v="0"/>
    <x v="0"/>
    <x v="2"/>
    <x v="2"/>
    <x v="0"/>
    <x v="252"/>
    <s v="Cibaregbeg"/>
    <s v="Cibaregbeg"/>
    <s v="Sports &amp; Outdoors"/>
    <n v="170.35"/>
    <n v="10"/>
    <s v="In-Store"/>
    <x v="2"/>
    <n v="1"/>
    <n v="1"/>
    <s v="Medium"/>
    <s v="Very Sensitive"/>
    <n v="1"/>
    <n v="10"/>
    <s v="Low"/>
    <s v="Desktop"/>
    <s v="Cash"/>
    <d v="2024-06-03T00:00:00"/>
    <b v="1"/>
    <x v="1"/>
    <s v="Need-based"/>
    <s v="Standard"/>
    <n v="1"/>
  </r>
  <r>
    <x v="259"/>
    <x v="259"/>
    <x v="15"/>
    <x v="0"/>
    <x v="0"/>
    <x v="1"/>
    <x v="1"/>
    <x v="2"/>
    <x v="0"/>
    <x v="253"/>
    <s v="Wang Yang"/>
    <s v="Wang Yang"/>
    <s v="Home Appliances"/>
    <n v="123.7"/>
    <n v="6"/>
    <s v="Online"/>
    <x v="2"/>
    <n v="5"/>
    <n v="0"/>
    <s v="High"/>
    <s v="Very Sensitive"/>
    <n v="1"/>
    <n v="5"/>
    <s v="None"/>
    <s v="Smartphone"/>
    <s v="Other"/>
    <d v="2024-07-28T00:00:00"/>
    <b v="0"/>
    <x v="0"/>
    <s v="Impulsive"/>
    <s v="Express"/>
    <n v="2"/>
  </r>
  <r>
    <x v="260"/>
    <x v="260"/>
    <x v="6"/>
    <x v="0"/>
    <x v="0"/>
    <x v="0"/>
    <x v="1"/>
    <x v="2"/>
    <x v="1"/>
    <x v="254"/>
    <s v="Liangnong"/>
    <s v="Liangnong"/>
    <s v="Gardening &amp; Outdoors"/>
    <n v="201.6"/>
    <n v="9"/>
    <s v="In-Store"/>
    <x v="3"/>
    <n v="4"/>
    <n v="2"/>
    <s v="Medium"/>
    <s v="Very Sensitive"/>
    <n v="1"/>
    <n v="4"/>
    <s v="High"/>
    <s v="Smartphone"/>
    <s v="PayPal"/>
    <d v="2024-10-24T00:00:00"/>
    <b v="0"/>
    <x v="0"/>
    <s v="Impulsive"/>
    <s v="Express"/>
    <n v="14"/>
  </r>
  <r>
    <x v="261"/>
    <x v="261"/>
    <x v="23"/>
    <x v="0"/>
    <x v="0"/>
    <x v="0"/>
    <x v="1"/>
    <x v="2"/>
    <x v="1"/>
    <x v="255"/>
    <s v="Hengshi"/>
    <s v="Hengshi"/>
    <s v="Furniture"/>
    <n v="116.14"/>
    <n v="11"/>
    <s v="Mixed"/>
    <x v="3"/>
    <n v="4"/>
    <n v="1"/>
    <s v="High"/>
    <s v="Somewhat Sensitive"/>
    <n v="0"/>
    <n v="8"/>
    <s v="Medium"/>
    <s v="Desktop"/>
    <s v="Credit Card"/>
    <d v="2024-04-01T00:00:00"/>
    <b v="0"/>
    <x v="1"/>
    <s v="Wants-based"/>
    <s v="Express"/>
    <n v="14"/>
  </r>
  <r>
    <x v="262"/>
    <x v="262"/>
    <x v="3"/>
    <x v="0"/>
    <x v="0"/>
    <x v="0"/>
    <x v="1"/>
    <x v="2"/>
    <x v="1"/>
    <x v="256"/>
    <s v="Kandangan"/>
    <s v="Kandangan"/>
    <s v="Jewelry &amp; Accessories"/>
    <n v="483.38"/>
    <n v="9"/>
    <s v="Online"/>
    <x v="2"/>
    <n v="1"/>
    <n v="0"/>
    <s v="High"/>
    <s v="Somewhat Sensitive"/>
    <n v="2"/>
    <n v="3"/>
    <s v="High"/>
    <s v="Desktop"/>
    <s v="Other"/>
    <d v="2024-06-09T00:00:00"/>
    <b v="0"/>
    <x v="1"/>
    <s v="Need-based"/>
    <s v="Standard"/>
    <n v="8"/>
  </r>
  <r>
    <x v="263"/>
    <x v="263"/>
    <x v="2"/>
    <x v="1"/>
    <x v="1"/>
    <x v="0"/>
    <x v="1"/>
    <x v="1"/>
    <x v="0"/>
    <x v="257"/>
    <s v="Naranjal"/>
    <s v="Naranjal"/>
    <s v="Health Supplements"/>
    <n v="418.62"/>
    <n v="9"/>
    <s v="In-Store"/>
    <x v="3"/>
    <n v="2"/>
    <n v="0"/>
    <s v="Low"/>
    <s v="Not Sensitive"/>
    <n v="0"/>
    <n v="9"/>
    <s v="None"/>
    <s v="Smartphone"/>
    <s v="Other"/>
    <d v="2024-11-14T00:00:00"/>
    <b v="1"/>
    <x v="0"/>
    <s v="Need-based"/>
    <s v="Standard"/>
    <n v="11"/>
  </r>
  <r>
    <x v="264"/>
    <x v="264"/>
    <x v="4"/>
    <x v="0"/>
    <x v="0"/>
    <x v="0"/>
    <x v="3"/>
    <x v="0"/>
    <x v="0"/>
    <x v="258"/>
    <s v="Abiko"/>
    <s v="Abiko"/>
    <s v="Books"/>
    <n v="139.83000000000001"/>
    <n v="12"/>
    <s v="Online"/>
    <x v="2"/>
    <n v="4"/>
    <n v="2"/>
    <s v="None"/>
    <s v="Not Sensitive"/>
    <n v="0"/>
    <n v="1"/>
    <s v="None"/>
    <s v="Tablet"/>
    <s v="Cash"/>
    <d v="2024-10-08T00:00:00"/>
    <b v="0"/>
    <x v="0"/>
    <s v="Impulsive"/>
    <s v="Express"/>
    <n v="10"/>
  </r>
  <r>
    <x v="265"/>
    <x v="265"/>
    <x v="9"/>
    <x v="0"/>
    <x v="0"/>
    <x v="1"/>
    <x v="0"/>
    <x v="2"/>
    <x v="0"/>
    <x v="259"/>
    <s v="Longhuashan"/>
    <s v="Longhuashan"/>
    <s v="Arts &amp; Crafts"/>
    <n v="54.17"/>
    <n v="4"/>
    <s v="Mixed"/>
    <x v="4"/>
    <n v="5"/>
    <n v="0"/>
    <s v="Medium"/>
    <s v="Somewhat Sensitive"/>
    <n v="2"/>
    <n v="2"/>
    <s v="Medium"/>
    <s v="Desktop"/>
    <s v="Credit Card"/>
    <d v="2024-01-11T00:00:00"/>
    <b v="0"/>
    <x v="1"/>
    <s v="Planned"/>
    <s v="No Preference"/>
    <n v="7"/>
  </r>
  <r>
    <x v="266"/>
    <x v="266"/>
    <x v="26"/>
    <x v="1"/>
    <x v="1"/>
    <x v="1"/>
    <x v="3"/>
    <x v="2"/>
    <x v="1"/>
    <x v="260"/>
    <s v="Zhovkva"/>
    <s v="Zhovkva"/>
    <s v="Jewelry &amp; Accessories"/>
    <n v="437.59"/>
    <n v="10"/>
    <s v="In-Store"/>
    <x v="3"/>
    <n v="4"/>
    <n v="0"/>
    <s v="None"/>
    <s v="Very Sensitive"/>
    <n v="0"/>
    <n v="4"/>
    <s v="High"/>
    <s v="Tablet"/>
    <s v="Credit Card"/>
    <d v="2024-02-26T00:00:00"/>
    <b v="1"/>
    <x v="1"/>
    <s v="Impulsive"/>
    <s v="Express"/>
    <n v="9"/>
  </r>
  <r>
    <x v="267"/>
    <x v="267"/>
    <x v="11"/>
    <x v="1"/>
    <x v="1"/>
    <x v="0"/>
    <x v="2"/>
    <x v="0"/>
    <x v="1"/>
    <x v="261"/>
    <s v="Lebak"/>
    <s v="Lebak"/>
    <s v="Hotels"/>
    <n v="113.57"/>
    <n v="5"/>
    <s v="Online"/>
    <x v="4"/>
    <n v="4"/>
    <n v="2"/>
    <s v="Medium"/>
    <s v="Very Sensitive"/>
    <n v="1"/>
    <n v="1"/>
    <s v="High"/>
    <s v="Tablet"/>
    <s v="Cash"/>
    <d v="2024-11-01T00:00:00"/>
    <b v="0"/>
    <x v="1"/>
    <s v="Wants-based"/>
    <s v="Standard"/>
    <n v="8"/>
  </r>
  <r>
    <x v="268"/>
    <x v="268"/>
    <x v="6"/>
    <x v="2"/>
    <x v="2"/>
    <x v="1"/>
    <x v="1"/>
    <x v="1"/>
    <x v="1"/>
    <x v="262"/>
    <s v="Gereshk"/>
    <s v="Gereshk"/>
    <s v="Packages)"/>
    <n v="305.54000000000002"/>
    <n v="6"/>
    <s v="In-Store"/>
    <x v="1"/>
    <n v="5"/>
    <n v="0"/>
    <s v="Medium"/>
    <s v="Somewhat Sensitive"/>
    <n v="0"/>
    <n v="5"/>
    <s v="Medium"/>
    <s v="Smartphone"/>
    <s v="Other"/>
    <d v="2024-03-28T00:00:00"/>
    <b v="1"/>
    <x v="0"/>
    <s v="Wants-based"/>
    <s v="No Preference"/>
    <n v="7"/>
  </r>
  <r>
    <x v="269"/>
    <x v="269"/>
    <x v="25"/>
    <x v="0"/>
    <x v="0"/>
    <x v="1"/>
    <x v="3"/>
    <x v="1"/>
    <x v="1"/>
    <x v="263"/>
    <s v="Yonghe"/>
    <s v="Yonghe"/>
    <s v="Food &amp; Beverages"/>
    <n v="339.12"/>
    <n v="2"/>
    <s v="In-Store"/>
    <x v="4"/>
    <n v="4"/>
    <n v="0"/>
    <s v="Medium"/>
    <s v="Not Sensitive"/>
    <n v="0"/>
    <n v="5"/>
    <s v="Low"/>
    <s v="Smartphone"/>
    <s v="PayPal"/>
    <d v="2024-01-08T00:00:00"/>
    <b v="0"/>
    <x v="0"/>
    <s v="Impulsive"/>
    <s v="No Preference"/>
    <n v="1"/>
  </r>
  <r>
    <x v="270"/>
    <x v="270"/>
    <x v="5"/>
    <x v="2"/>
    <x v="4"/>
    <x v="0"/>
    <x v="3"/>
    <x v="0"/>
    <x v="1"/>
    <x v="264"/>
    <s v="Dabai"/>
    <s v="Dabai"/>
    <s v="Jewelry &amp; Accessories"/>
    <n v="323.39999999999998"/>
    <n v="11"/>
    <s v="Mixed"/>
    <x v="2"/>
    <n v="3"/>
    <n v="2"/>
    <s v="Low"/>
    <s v="Very Sensitive"/>
    <n v="0"/>
    <n v="8"/>
    <s v="None"/>
    <s v="Smartphone"/>
    <s v="Credit Card"/>
    <d v="2024-02-28T00:00:00"/>
    <b v="1"/>
    <x v="1"/>
    <s v="Need-based"/>
    <s v="Standard"/>
    <n v="10"/>
  </r>
  <r>
    <x v="271"/>
    <x v="271"/>
    <x v="2"/>
    <x v="2"/>
    <x v="3"/>
    <x v="0"/>
    <x v="0"/>
    <x v="1"/>
    <x v="0"/>
    <x v="265"/>
    <s v="Moutnice"/>
    <s v="Moutnice"/>
    <s v="Clothing"/>
    <n v="472.61"/>
    <n v="9"/>
    <s v="In-Store"/>
    <x v="0"/>
    <n v="5"/>
    <n v="2"/>
    <s v="None"/>
    <s v="Very Sensitive"/>
    <n v="1"/>
    <n v="4"/>
    <s v="None"/>
    <s v="Smartphone"/>
    <s v="PayPal"/>
    <d v="2024-09-15T00:00:00"/>
    <b v="1"/>
    <x v="1"/>
    <s v="Impulsive"/>
    <s v="Express"/>
    <n v="5"/>
  </r>
  <r>
    <x v="272"/>
    <x v="272"/>
    <x v="28"/>
    <x v="0"/>
    <x v="0"/>
    <x v="0"/>
    <x v="2"/>
    <x v="1"/>
    <x v="0"/>
    <x v="266"/>
    <s v="Qiryat Yam"/>
    <s v="Qiryat Yam"/>
    <s v="Furniture"/>
    <n v="68.02"/>
    <n v="10"/>
    <s v="Online"/>
    <x v="1"/>
    <n v="2"/>
    <n v="1"/>
    <s v="None"/>
    <s v="Very Sensitive"/>
    <n v="1"/>
    <n v="6"/>
    <s v="None"/>
    <s v="Tablet"/>
    <s v="Credit Card"/>
    <d v="2024-11-01T00:00:00"/>
    <b v="1"/>
    <x v="1"/>
    <s v="Need-based"/>
    <s v="Express"/>
    <n v="6"/>
  </r>
  <r>
    <x v="273"/>
    <x v="273"/>
    <x v="23"/>
    <x v="1"/>
    <x v="1"/>
    <x v="1"/>
    <x v="1"/>
    <x v="2"/>
    <x v="0"/>
    <x v="267"/>
    <s v="Piran"/>
    <s v="Piranأ©"/>
    <s v="Toys &amp; Games"/>
    <n v="199.44"/>
    <n v="7"/>
    <s v="Online"/>
    <x v="2"/>
    <n v="1"/>
    <n v="2"/>
    <s v="None"/>
    <s v="Very Sensitive"/>
    <n v="0"/>
    <n v="3"/>
    <s v="None"/>
    <s v="Tablet"/>
    <s v="Cash"/>
    <d v="2024-07-14T00:00:00"/>
    <b v="0"/>
    <x v="1"/>
    <s v="Need-based"/>
    <s v="Standard"/>
    <n v="1"/>
  </r>
  <r>
    <x v="274"/>
    <x v="274"/>
    <x v="26"/>
    <x v="1"/>
    <x v="1"/>
    <x v="1"/>
    <x v="3"/>
    <x v="1"/>
    <x v="0"/>
    <x v="268"/>
    <s v="Colima"/>
    <s v="Colima"/>
    <s v="Sports &amp; Outdoors"/>
    <n v="250.73"/>
    <n v="4"/>
    <s v="Online"/>
    <x v="1"/>
    <n v="2"/>
    <n v="1"/>
    <s v="Low"/>
    <s v="Somewhat Sensitive"/>
    <n v="1"/>
    <n v="10"/>
    <s v="None"/>
    <s v="Desktop"/>
    <s v="Cash"/>
    <d v="2024-04-24T00:00:00"/>
    <b v="0"/>
    <x v="1"/>
    <s v="Planned"/>
    <s v="No Preference"/>
    <n v="10"/>
  </r>
  <r>
    <x v="275"/>
    <x v="275"/>
    <x v="10"/>
    <x v="1"/>
    <x v="1"/>
    <x v="0"/>
    <x v="1"/>
    <x v="1"/>
    <x v="0"/>
    <x v="269"/>
    <s v="Marshintsy"/>
    <s v="Marshintsy"/>
    <s v="Clothing"/>
    <n v="372.49"/>
    <n v="12"/>
    <s v="Online"/>
    <x v="4"/>
    <n v="3"/>
    <n v="0"/>
    <s v="High"/>
    <s v="Very Sensitive"/>
    <n v="0"/>
    <n v="5"/>
    <s v="Medium"/>
    <s v="Desktop"/>
    <s v="Debit Card"/>
    <d v="2024-08-22T00:00:00"/>
    <b v="1"/>
    <x v="0"/>
    <s v="Planned"/>
    <s v="No Preference"/>
    <n v="7"/>
  </r>
  <r>
    <x v="276"/>
    <x v="276"/>
    <x v="30"/>
    <x v="1"/>
    <x v="1"/>
    <x v="1"/>
    <x v="2"/>
    <x v="1"/>
    <x v="1"/>
    <x v="270"/>
    <s v="Halinw"/>
    <s v="Halinأ³w"/>
    <s v="Books"/>
    <n v="186.85"/>
    <n v="2"/>
    <s v="Online"/>
    <x v="1"/>
    <n v="1"/>
    <n v="2"/>
    <s v="High"/>
    <s v="Not Sensitive"/>
    <n v="2"/>
    <n v="8"/>
    <s v="Low"/>
    <s v="Smartphone"/>
    <s v="Other"/>
    <d v="2024-02-20T00:00:00"/>
    <b v="1"/>
    <x v="0"/>
    <s v="Impulsive"/>
    <s v="Express"/>
    <n v="12"/>
  </r>
  <r>
    <x v="277"/>
    <x v="277"/>
    <x v="29"/>
    <x v="1"/>
    <x v="1"/>
    <x v="1"/>
    <x v="2"/>
    <x v="2"/>
    <x v="0"/>
    <x v="271"/>
    <s v="Hallsberg"/>
    <s v="Hallsberg"/>
    <s v="Sports &amp; Outdoors"/>
    <n v="73.319999999999993"/>
    <n v="10"/>
    <s v="In-Store"/>
    <x v="0"/>
    <n v="1"/>
    <n v="1"/>
    <s v="None"/>
    <s v="Not Sensitive"/>
    <n v="1"/>
    <n v="1"/>
    <s v="Medium"/>
    <s v="Smartphone"/>
    <s v="Debit Card"/>
    <d v="2024-01-27T00:00:00"/>
    <b v="1"/>
    <x v="0"/>
    <s v="Wants-based"/>
    <s v="Standard"/>
    <n v="14"/>
  </r>
  <r>
    <x v="278"/>
    <x v="278"/>
    <x v="1"/>
    <x v="1"/>
    <x v="1"/>
    <x v="0"/>
    <x v="2"/>
    <x v="0"/>
    <x v="0"/>
    <x v="272"/>
    <s v="Celso Ramos"/>
    <s v="Celso Ramos"/>
    <s v="Clothing"/>
    <n v="214.59"/>
    <n v="6"/>
    <s v="Online"/>
    <x v="3"/>
    <n v="1"/>
    <n v="0"/>
    <s v="None"/>
    <s v="Somewhat Sensitive"/>
    <n v="1"/>
    <n v="8"/>
    <s v="Low"/>
    <s v="Tablet"/>
    <s v="Other"/>
    <d v="2024-02-09T00:00:00"/>
    <b v="1"/>
    <x v="0"/>
    <s v="Wants-based"/>
    <s v="Standard"/>
    <n v="9"/>
  </r>
  <r>
    <x v="279"/>
    <x v="279"/>
    <x v="26"/>
    <x v="0"/>
    <x v="0"/>
    <x v="0"/>
    <x v="2"/>
    <x v="1"/>
    <x v="0"/>
    <x v="273"/>
    <s v="White River"/>
    <s v="White River"/>
    <s v="Furniture"/>
    <n v="467.32"/>
    <n v="12"/>
    <s v="In-Store"/>
    <x v="4"/>
    <n v="4"/>
    <n v="2"/>
    <s v="Medium"/>
    <s v="Somewhat Sensitive"/>
    <n v="2"/>
    <n v="4"/>
    <s v="Low"/>
    <s v="Smartphone"/>
    <s v="PayPal"/>
    <d v="2024-01-28T00:00:00"/>
    <b v="0"/>
    <x v="1"/>
    <s v="Need-based"/>
    <s v="No Preference"/>
    <n v="11"/>
  </r>
  <r>
    <x v="280"/>
    <x v="280"/>
    <x v="27"/>
    <x v="1"/>
    <x v="1"/>
    <x v="0"/>
    <x v="0"/>
    <x v="2"/>
    <x v="0"/>
    <x v="274"/>
    <s v="Taishihe"/>
    <s v="Taishihe"/>
    <s v="Travel &amp; Leisure (Flights"/>
    <n v="475.65"/>
    <n v="4"/>
    <s v="In-Store"/>
    <x v="4"/>
    <n v="5"/>
    <n v="0"/>
    <s v="High"/>
    <s v="Somewhat Sensitive"/>
    <n v="2"/>
    <n v="6"/>
    <s v="Low"/>
    <s v="Smartphone"/>
    <s v="PayPal"/>
    <d v="2024-06-23T00:00:00"/>
    <b v="1"/>
    <x v="1"/>
    <s v="Wants-based"/>
    <s v="Express"/>
    <n v="14"/>
  </r>
  <r>
    <x v="281"/>
    <x v="281"/>
    <x v="18"/>
    <x v="0"/>
    <x v="0"/>
    <x v="0"/>
    <x v="2"/>
    <x v="2"/>
    <x v="1"/>
    <x v="275"/>
    <s v="Shanghu"/>
    <s v="Shanghu"/>
    <s v="Animal Feed"/>
    <n v="161.38"/>
    <n v="11"/>
    <s v="Mixed"/>
    <x v="0"/>
    <n v="3"/>
    <n v="0"/>
    <s v="None"/>
    <s v="Very Sensitive"/>
    <n v="1"/>
    <n v="10"/>
    <s v="High"/>
    <s v="Tablet"/>
    <s v="Debit Card"/>
    <d v="2024-08-20T00:00:00"/>
    <b v="1"/>
    <x v="1"/>
    <s v="Impulsive"/>
    <s v="Standard"/>
    <n v="10"/>
  </r>
  <r>
    <x v="282"/>
    <x v="282"/>
    <x v="24"/>
    <x v="1"/>
    <x v="1"/>
    <x v="0"/>
    <x v="1"/>
    <x v="0"/>
    <x v="0"/>
    <x v="276"/>
    <s v="Brandsen"/>
    <s v="Brandsen"/>
    <s v="Baby Products"/>
    <n v="249.78"/>
    <n v="4"/>
    <s v="In-Store"/>
    <x v="0"/>
    <n v="4"/>
    <n v="0"/>
    <s v="Low"/>
    <s v="Very Sensitive"/>
    <n v="0"/>
    <n v="1"/>
    <s v="None"/>
    <s v="Desktop"/>
    <s v="PayPal"/>
    <d v="2024-11-24T00:00:00"/>
    <b v="0"/>
    <x v="0"/>
    <s v="Wants-based"/>
    <s v="No Preference"/>
    <n v="11"/>
  </r>
  <r>
    <x v="283"/>
    <x v="283"/>
    <x v="7"/>
    <x v="0"/>
    <x v="0"/>
    <x v="0"/>
    <x v="3"/>
    <x v="1"/>
    <x v="1"/>
    <x v="277"/>
    <s v="Ranot"/>
    <s v="Ranot"/>
    <s v="Clothing"/>
    <n v="149.88"/>
    <n v="9"/>
    <s v="Mixed"/>
    <x v="1"/>
    <n v="2"/>
    <n v="0"/>
    <s v="Low"/>
    <s v="Somewhat Sensitive"/>
    <n v="1"/>
    <n v="10"/>
    <s v="Low"/>
    <s v="Smartphone"/>
    <s v="Debit Card"/>
    <d v="2024-04-19T00:00:00"/>
    <b v="0"/>
    <x v="0"/>
    <s v="Impulsive"/>
    <s v="Standard"/>
    <n v="4"/>
  </r>
  <r>
    <x v="284"/>
    <x v="284"/>
    <x v="18"/>
    <x v="0"/>
    <x v="0"/>
    <x v="1"/>
    <x v="3"/>
    <x v="2"/>
    <x v="0"/>
    <x v="278"/>
    <s v="Saint-Jouan-des-Gurets"/>
    <s v="Saint-Jouan-des-Guأ©rets"/>
    <s v="Jewelry &amp; Accessories"/>
    <n v="347.09"/>
    <n v="5"/>
    <s v="In-Store"/>
    <x v="0"/>
    <n v="2"/>
    <n v="0"/>
    <s v="Medium"/>
    <s v="Somewhat Sensitive"/>
    <n v="2"/>
    <n v="1"/>
    <s v="None"/>
    <s v="Smartphone"/>
    <s v="Other"/>
    <d v="2024-01-26T00:00:00"/>
    <b v="0"/>
    <x v="0"/>
    <s v="Planned"/>
    <s v="No Preference"/>
    <n v="7"/>
  </r>
  <r>
    <x v="285"/>
    <x v="285"/>
    <x v="20"/>
    <x v="0"/>
    <x v="0"/>
    <x v="1"/>
    <x v="2"/>
    <x v="2"/>
    <x v="1"/>
    <x v="279"/>
    <s v="Daan"/>
    <s v="Daâ€™an"/>
    <s v="Health Care"/>
    <n v="345.49"/>
    <n v="9"/>
    <s v="Mixed"/>
    <x v="1"/>
    <n v="1"/>
    <n v="2"/>
    <s v="High"/>
    <s v="Not Sensitive"/>
    <n v="0"/>
    <n v="10"/>
    <s v="Medium"/>
    <s v="Tablet"/>
    <s v="PayPal"/>
    <d v="2024-09-06T00:00:00"/>
    <b v="1"/>
    <x v="0"/>
    <s v="Impulsive"/>
    <s v="Express"/>
    <n v="3"/>
  </r>
  <r>
    <x v="286"/>
    <x v="286"/>
    <x v="16"/>
    <x v="0"/>
    <x v="0"/>
    <x v="1"/>
    <x v="3"/>
    <x v="0"/>
    <x v="1"/>
    <x v="280"/>
    <s v="Kisovec"/>
    <s v="Kisovec"/>
    <s v="Health Care"/>
    <n v="297.24"/>
    <n v="2"/>
    <s v="Mixed"/>
    <x v="3"/>
    <n v="4"/>
    <n v="0"/>
    <s v="Medium"/>
    <s v="Not Sensitive"/>
    <n v="0"/>
    <n v="9"/>
    <s v="High"/>
    <s v="Desktop"/>
    <s v="PayPal"/>
    <d v="2024-06-29T00:00:00"/>
    <b v="1"/>
    <x v="1"/>
    <s v="Planned"/>
    <s v="Express"/>
    <n v="7"/>
  </r>
  <r>
    <x v="287"/>
    <x v="287"/>
    <x v="31"/>
    <x v="0"/>
    <x v="0"/>
    <x v="0"/>
    <x v="3"/>
    <x v="0"/>
    <x v="1"/>
    <x v="281"/>
    <s v="Nbd"/>
    <s v="ؤ€bdؤپnؤپn"/>
    <s v="Home Appliances"/>
    <n v="494.34"/>
    <n v="12"/>
    <s v="Online"/>
    <x v="0"/>
    <n v="3"/>
    <n v="0.25"/>
    <s v="High"/>
    <s v="Very Sensitive"/>
    <n v="1"/>
    <n v="8"/>
    <s v="Low"/>
    <s v="Desktop"/>
    <s v="Debit Card"/>
    <d v="2024-03-03T00:00:00"/>
    <b v="0"/>
    <x v="0"/>
    <s v="Wants-based"/>
    <s v="Express"/>
    <n v="3"/>
  </r>
  <r>
    <x v="288"/>
    <x v="288"/>
    <x v="3"/>
    <x v="2"/>
    <x v="7"/>
    <x v="0"/>
    <x v="0"/>
    <x v="2"/>
    <x v="1"/>
    <x v="282"/>
    <s v="Dafeng"/>
    <s v="Dafeng"/>
    <s v="Animal Feed"/>
    <n v="443.52"/>
    <n v="5"/>
    <s v="In-Store"/>
    <x v="0"/>
    <n v="3"/>
    <n v="0"/>
    <s v="None"/>
    <s v="Somewhat Sensitive"/>
    <n v="0"/>
    <n v="7"/>
    <s v="Low"/>
    <s v="Tablet"/>
    <s v="Cash"/>
    <d v="2024-05-10T00:00:00"/>
    <b v="1"/>
    <x v="0"/>
    <s v="Need-based"/>
    <s v="Standard"/>
    <n v="9"/>
  </r>
  <r>
    <x v="289"/>
    <x v="289"/>
    <x v="5"/>
    <x v="2"/>
    <x v="3"/>
    <x v="0"/>
    <x v="3"/>
    <x v="1"/>
    <x v="1"/>
    <x v="283"/>
    <s v="Campo Maior"/>
    <s v="Campo Maior"/>
    <s v="Jewelry &amp; Accessories"/>
    <n v="457.18"/>
    <n v="7"/>
    <s v="In-Store"/>
    <x v="4"/>
    <n v="3"/>
    <n v="2"/>
    <s v="High"/>
    <s v="Very Sensitive"/>
    <n v="2"/>
    <n v="6"/>
    <s v="Medium"/>
    <s v="Smartphone"/>
    <s v="Other"/>
    <d v="2024-08-20T00:00:00"/>
    <b v="1"/>
    <x v="1"/>
    <s v="Wants-based"/>
    <s v="Express"/>
    <n v="10"/>
  </r>
  <r>
    <x v="290"/>
    <x v="290"/>
    <x v="9"/>
    <x v="1"/>
    <x v="1"/>
    <x v="0"/>
    <x v="1"/>
    <x v="2"/>
    <x v="1"/>
    <x v="284"/>
    <s v="Svedalen"/>
    <s v="Sأ¤vedalen"/>
    <s v="Books"/>
    <n v="407.88"/>
    <n v="4"/>
    <s v="In-Store"/>
    <x v="3"/>
    <n v="3"/>
    <n v="1"/>
    <s v="None"/>
    <s v="Very Sensitive"/>
    <n v="1"/>
    <n v="10"/>
    <s v="Medium"/>
    <s v="Tablet"/>
    <s v="Cash"/>
    <d v="2024-11-11T00:00:00"/>
    <b v="0"/>
    <x v="0"/>
    <s v="Planned"/>
    <s v="Standard"/>
    <n v="14"/>
  </r>
  <r>
    <x v="291"/>
    <x v="291"/>
    <x v="12"/>
    <x v="1"/>
    <x v="1"/>
    <x v="0"/>
    <x v="2"/>
    <x v="0"/>
    <x v="0"/>
    <x v="285"/>
    <s v="Brikcha"/>
    <s v="Brikcha"/>
    <s v="Books"/>
    <n v="448.68"/>
    <n v="8"/>
    <s v="In-Store"/>
    <x v="4"/>
    <n v="4"/>
    <n v="2"/>
    <s v="High"/>
    <s v="Somewhat Sensitive"/>
    <n v="1"/>
    <n v="3"/>
    <s v="Medium"/>
    <s v="Tablet"/>
    <s v="Debit Card"/>
    <d v="2024-05-25T00:00:00"/>
    <b v="1"/>
    <x v="0"/>
    <s v="Wants-based"/>
    <s v="Express"/>
    <n v="8"/>
  </r>
  <r>
    <x v="292"/>
    <x v="292"/>
    <x v="13"/>
    <x v="0"/>
    <x v="0"/>
    <x v="1"/>
    <x v="2"/>
    <x v="0"/>
    <x v="1"/>
    <x v="286"/>
    <s v="Xidianzi"/>
    <s v="Xidianzi"/>
    <s v="Electronics"/>
    <n v="255.96"/>
    <n v="7"/>
    <s v="Online"/>
    <x v="0"/>
    <n v="1"/>
    <n v="1"/>
    <s v="High"/>
    <s v="Very Sensitive"/>
    <n v="0"/>
    <n v="10"/>
    <s v="None"/>
    <s v="Tablet"/>
    <s v="Cash"/>
    <d v="2024-12-23T00:00:00"/>
    <b v="0"/>
    <x v="0"/>
    <s v="Need-based"/>
    <s v="No Preference"/>
    <n v="13"/>
  </r>
  <r>
    <x v="293"/>
    <x v="293"/>
    <x v="5"/>
    <x v="1"/>
    <x v="1"/>
    <x v="0"/>
    <x v="0"/>
    <x v="1"/>
    <x v="1"/>
    <x v="287"/>
    <s v="La Unin"/>
    <s v="La Uniأ³n"/>
    <s v="Luxury Goods"/>
    <n v="146.07"/>
    <n v="7"/>
    <s v="In-Store"/>
    <x v="4"/>
    <n v="2"/>
    <n v="1"/>
    <s v="Low"/>
    <s v="Very Sensitive"/>
    <n v="1"/>
    <n v="6"/>
    <s v="None"/>
    <s v="Tablet"/>
    <s v="Credit Card"/>
    <d v="2024-07-07T00:00:00"/>
    <b v="1"/>
    <x v="1"/>
    <s v="Need-based"/>
    <s v="Standard"/>
    <n v="1"/>
  </r>
  <r>
    <x v="294"/>
    <x v="294"/>
    <x v="32"/>
    <x v="0"/>
    <x v="0"/>
    <x v="1"/>
    <x v="1"/>
    <x v="1"/>
    <x v="0"/>
    <x v="288"/>
    <s v="Kliteh"/>
    <s v="Kliteh"/>
    <s v="Health Supplements"/>
    <n v="311.89999999999998"/>
    <n v="4"/>
    <s v="In-Store"/>
    <x v="2"/>
    <n v="4"/>
    <n v="2"/>
    <s v="Low"/>
    <s v="Very Sensitive"/>
    <n v="0"/>
    <n v="6"/>
    <s v="High"/>
    <s v="Smartphone"/>
    <s v="Credit Card"/>
    <d v="2024-12-30T00:00:00"/>
    <b v="0"/>
    <x v="1"/>
    <s v="Planned"/>
    <s v="No Preference"/>
    <n v="2"/>
  </r>
  <r>
    <x v="295"/>
    <x v="295"/>
    <x v="9"/>
    <x v="0"/>
    <x v="0"/>
    <x v="0"/>
    <x v="2"/>
    <x v="1"/>
    <x v="0"/>
    <x v="289"/>
    <s v="Bja"/>
    <s v="Bأ©ja"/>
    <s v="Gardening &amp; Outdoors"/>
    <n v="301.60000000000002"/>
    <n v="4"/>
    <s v="Mixed"/>
    <x v="4"/>
    <n v="5"/>
    <n v="1"/>
    <s v="Low"/>
    <s v="Not Sensitive"/>
    <n v="2"/>
    <n v="10"/>
    <s v="High"/>
    <s v="Desktop"/>
    <s v="Credit Card"/>
    <d v="2024-03-11T00:00:00"/>
    <b v="0"/>
    <x v="0"/>
    <s v="Impulsive"/>
    <s v="Standard"/>
    <n v="13"/>
  </r>
  <r>
    <x v="296"/>
    <x v="296"/>
    <x v="25"/>
    <x v="2"/>
    <x v="5"/>
    <x v="0"/>
    <x v="2"/>
    <x v="0"/>
    <x v="1"/>
    <x v="290"/>
    <s v="Ferreira do Alentejo"/>
    <s v="Ferreira do Alentejo"/>
    <s v="Software &amp; Apps"/>
    <n v="297.45"/>
    <n v="3"/>
    <s v="Mixed"/>
    <x v="3"/>
    <n v="5"/>
    <n v="0"/>
    <s v="Medium"/>
    <s v="Very Sensitive"/>
    <n v="0"/>
    <n v="7"/>
    <s v="Low"/>
    <s v="Tablet"/>
    <s v="Debit Card"/>
    <d v="2024-07-07T00:00:00"/>
    <b v="0"/>
    <x v="0"/>
    <s v="Planned"/>
    <s v="No Preference"/>
    <n v="4"/>
  </r>
  <r>
    <x v="297"/>
    <x v="297"/>
    <x v="12"/>
    <x v="2"/>
    <x v="7"/>
    <x v="1"/>
    <x v="2"/>
    <x v="0"/>
    <x v="1"/>
    <x v="291"/>
    <s v="Gegernoong"/>
    <s v="Gegernoong"/>
    <s v="Sports &amp; Outdoors"/>
    <n v="157.26"/>
    <n v="3"/>
    <s v="Online"/>
    <x v="3"/>
    <n v="3"/>
    <n v="1"/>
    <s v="Medium"/>
    <s v="Not Sensitive"/>
    <n v="1"/>
    <n v="1"/>
    <s v="None"/>
    <s v="Desktop"/>
    <s v="Cash"/>
    <d v="2024-07-24T00:00:00"/>
    <b v="0"/>
    <x v="0"/>
    <s v="Need-based"/>
    <s v="Standard"/>
    <n v="8"/>
  </r>
  <r>
    <x v="298"/>
    <x v="298"/>
    <x v="21"/>
    <x v="1"/>
    <x v="1"/>
    <x v="1"/>
    <x v="2"/>
    <x v="2"/>
    <x v="0"/>
    <x v="292"/>
    <s v="La Montaأ±ita"/>
    <s v="La Montaأ±ita"/>
    <s v="Health Supplements"/>
    <n v="239.46"/>
    <n v="3"/>
    <s v="Mixed"/>
    <x v="1"/>
    <n v="1"/>
    <n v="0"/>
    <s v="Low"/>
    <s v="Not Sensitive"/>
    <n v="2"/>
    <n v="8"/>
    <s v="High"/>
    <s v="Desktop"/>
    <s v="Other"/>
    <d v="2024-08-04T00:00:00"/>
    <b v="1"/>
    <x v="1"/>
    <s v="Planned"/>
    <s v="Standard"/>
    <n v="7"/>
  </r>
  <r>
    <x v="299"/>
    <x v="299"/>
    <x v="31"/>
    <x v="0"/>
    <x v="0"/>
    <x v="1"/>
    <x v="2"/>
    <x v="1"/>
    <x v="1"/>
    <x v="293"/>
    <s v="Sarishbri"/>
    <s v="Sarishؤپbؤپri"/>
    <s v="Gardening &amp; Outdoors"/>
    <n v="240.82"/>
    <n v="10"/>
    <s v="Mixed"/>
    <x v="3"/>
    <n v="3"/>
    <n v="2"/>
    <s v="High"/>
    <s v="Somewhat Sensitive"/>
    <n v="0"/>
    <n v="3"/>
    <s v="Medium"/>
    <s v="Tablet"/>
    <s v="PayPal"/>
    <d v="2024-01-02T00:00:00"/>
    <b v="1"/>
    <x v="0"/>
    <s v="Planned"/>
    <s v="No Preference"/>
    <n v="8"/>
  </r>
  <r>
    <x v="300"/>
    <x v="300"/>
    <x v="32"/>
    <x v="0"/>
    <x v="0"/>
    <x v="0"/>
    <x v="1"/>
    <x v="2"/>
    <x v="1"/>
    <x v="294"/>
    <s v="Mangge"/>
    <s v="Mangge"/>
    <s v="Sports &amp; Outdoors"/>
    <n v="302.07"/>
    <n v="6"/>
    <s v="Mixed"/>
    <x v="3"/>
    <n v="5"/>
    <n v="1"/>
    <s v="Medium"/>
    <s v="Not Sensitive"/>
    <n v="2"/>
    <n v="5"/>
    <s v="Medium"/>
    <s v="Desktop"/>
    <s v="Other"/>
    <d v="2024-04-09T00:00:00"/>
    <b v="1"/>
    <x v="0"/>
    <s v="Planned"/>
    <s v="Express"/>
    <n v="13"/>
  </r>
  <r>
    <x v="301"/>
    <x v="301"/>
    <x v="5"/>
    <x v="1"/>
    <x v="1"/>
    <x v="0"/>
    <x v="2"/>
    <x v="0"/>
    <x v="0"/>
    <x v="295"/>
    <s v="Chabaovice"/>
    <s v="Chabaإ™ovice"/>
    <s v="Software &amp; Apps"/>
    <n v="367.99"/>
    <n v="2"/>
    <s v="Online"/>
    <x v="2"/>
    <n v="5"/>
    <n v="1"/>
    <s v="None"/>
    <s v="Not Sensitive"/>
    <n v="2"/>
    <n v="2"/>
    <s v="High"/>
    <s v="Smartphone"/>
    <s v="Debit Card"/>
    <d v="2024-10-15T00:00:00"/>
    <b v="0"/>
    <x v="0"/>
    <s v="Planned"/>
    <s v="Express"/>
    <n v="8"/>
  </r>
  <r>
    <x v="302"/>
    <x v="302"/>
    <x v="19"/>
    <x v="0"/>
    <x v="0"/>
    <x v="1"/>
    <x v="0"/>
    <x v="2"/>
    <x v="0"/>
    <x v="296"/>
    <s v="Yangping"/>
    <s v="Yangping"/>
    <s v="Groceries"/>
    <n v="359.75"/>
    <n v="7"/>
    <s v="In-Store"/>
    <x v="0"/>
    <n v="1"/>
    <n v="1"/>
    <s v="High"/>
    <s v="Not Sensitive"/>
    <n v="1"/>
    <n v="6"/>
    <s v="Low"/>
    <s v="Tablet"/>
    <s v="Other"/>
    <d v="2024-01-23T00:00:00"/>
    <b v="0"/>
    <x v="0"/>
    <s v="Wants-based"/>
    <s v="Standard"/>
    <n v="3"/>
  </r>
  <r>
    <x v="303"/>
    <x v="303"/>
    <x v="31"/>
    <x v="0"/>
    <x v="0"/>
    <x v="0"/>
    <x v="3"/>
    <x v="0"/>
    <x v="1"/>
    <x v="297"/>
    <s v="Berezna"/>
    <s v="Berezna"/>
    <s v="Packages)"/>
    <n v="204.44"/>
    <n v="2"/>
    <s v="Mixed"/>
    <x v="0"/>
    <n v="3"/>
    <n v="2"/>
    <s v="None"/>
    <s v="Somewhat Sensitive"/>
    <n v="1"/>
    <n v="3"/>
    <s v="High"/>
    <s v="Desktop"/>
    <s v="Debit Card"/>
    <d v="2024-12-01T00:00:00"/>
    <b v="0"/>
    <x v="1"/>
    <s v="Impulsive"/>
    <s v="Standard"/>
    <n v="13"/>
  </r>
  <r>
    <x v="304"/>
    <x v="304"/>
    <x v="23"/>
    <x v="1"/>
    <x v="1"/>
    <x v="1"/>
    <x v="1"/>
    <x v="2"/>
    <x v="1"/>
    <x v="298"/>
    <s v="Vidual"/>
    <s v="Vidual"/>
    <s v="Gardening &amp; Outdoors"/>
    <n v="228.93"/>
    <n v="7"/>
    <s v="Online"/>
    <x v="3"/>
    <n v="1"/>
    <n v="2"/>
    <s v="Low"/>
    <s v="Not Sensitive"/>
    <n v="2"/>
    <n v="2"/>
    <s v="Medium"/>
    <s v="Desktop"/>
    <s v="PayPal"/>
    <d v="2024-02-19T00:00:00"/>
    <b v="1"/>
    <x v="1"/>
    <s v="Impulsive"/>
    <s v="Express"/>
    <n v="11"/>
  </r>
  <r>
    <x v="305"/>
    <x v="305"/>
    <x v="28"/>
    <x v="0"/>
    <x v="0"/>
    <x v="1"/>
    <x v="1"/>
    <x v="1"/>
    <x v="0"/>
    <x v="223"/>
    <s v="Paris 17"/>
    <s v="Paris 17"/>
    <s v="Office Supplies"/>
    <n v="355.31"/>
    <n v="11"/>
    <s v="Online"/>
    <x v="3"/>
    <n v="1"/>
    <n v="0"/>
    <s v="High"/>
    <s v="Not Sensitive"/>
    <n v="1"/>
    <n v="2"/>
    <s v="Medium"/>
    <s v="Desktop"/>
    <s v="Debit Card"/>
    <d v="2024-08-19T00:00:00"/>
    <b v="0"/>
    <x v="1"/>
    <s v="Impulsive"/>
    <s v="Express"/>
    <n v="12"/>
  </r>
  <r>
    <x v="306"/>
    <x v="306"/>
    <x v="13"/>
    <x v="1"/>
    <x v="1"/>
    <x v="1"/>
    <x v="0"/>
    <x v="1"/>
    <x v="1"/>
    <x v="299"/>
    <s v="Hultsfred"/>
    <s v="Hultsfred"/>
    <s v="Animal Feed"/>
    <n v="334.67"/>
    <n v="12"/>
    <s v="In-Store"/>
    <x v="2"/>
    <n v="1"/>
    <n v="2"/>
    <s v="None"/>
    <s v="Somewhat Sensitive"/>
    <n v="2"/>
    <n v="5"/>
    <s v="None"/>
    <s v="Tablet"/>
    <s v="Debit Card"/>
    <d v="2024-11-18T00:00:00"/>
    <b v="1"/>
    <x v="0"/>
    <s v="Need-based"/>
    <s v="Standard"/>
    <n v="13"/>
  </r>
  <r>
    <x v="307"/>
    <x v="307"/>
    <x v="15"/>
    <x v="1"/>
    <x v="1"/>
    <x v="0"/>
    <x v="2"/>
    <x v="2"/>
    <x v="0"/>
    <x v="300"/>
    <s v="Nأ­kaia"/>
    <s v="Nأ­kaia"/>
    <s v="Books"/>
    <n v="182.72"/>
    <n v="5"/>
    <s v="Online"/>
    <x v="2"/>
    <n v="1"/>
    <n v="2"/>
    <s v="High"/>
    <s v="Very Sensitive"/>
    <n v="1"/>
    <n v="7"/>
    <s v="None"/>
    <s v="Desktop"/>
    <s v="Other"/>
    <d v="2024-06-04T00:00:00"/>
    <b v="0"/>
    <x v="0"/>
    <s v="Impulsive"/>
    <s v="No Preference"/>
    <n v="13"/>
  </r>
  <r>
    <x v="308"/>
    <x v="308"/>
    <x v="20"/>
    <x v="1"/>
    <x v="1"/>
    <x v="1"/>
    <x v="2"/>
    <x v="1"/>
    <x v="0"/>
    <x v="301"/>
    <s v="Macayug"/>
    <s v="Macayug"/>
    <s v="Jewelry &amp; Accessories"/>
    <n v="260.22000000000003"/>
    <n v="11"/>
    <s v="In-Store"/>
    <x v="4"/>
    <n v="3"/>
    <n v="0"/>
    <s v="None"/>
    <s v="Not Sensitive"/>
    <n v="2"/>
    <n v="5"/>
    <s v="High"/>
    <s v="Desktop"/>
    <s v="Credit Card"/>
    <d v="2024-11-20T00:00:00"/>
    <b v="0"/>
    <x v="1"/>
    <s v="Need-based"/>
    <s v="Express"/>
    <n v="13"/>
  </r>
  <r>
    <x v="309"/>
    <x v="309"/>
    <x v="29"/>
    <x v="0"/>
    <x v="0"/>
    <x v="1"/>
    <x v="1"/>
    <x v="1"/>
    <x v="0"/>
    <x v="302"/>
    <s v="Mahanoro"/>
    <s v="Mahanoro"/>
    <s v="Food &amp; Beverages"/>
    <n v="454.93"/>
    <n v="8"/>
    <s v="Online"/>
    <x v="1"/>
    <n v="5"/>
    <n v="0"/>
    <s v="Low"/>
    <s v="Somewhat Sensitive"/>
    <n v="2"/>
    <n v="7"/>
    <s v="Medium"/>
    <s v="Desktop"/>
    <s v="Debit Card"/>
    <d v="2024-04-21T00:00:00"/>
    <b v="0"/>
    <x v="0"/>
    <s v="Wants-based"/>
    <s v="No Preference"/>
    <n v="11"/>
  </r>
  <r>
    <x v="310"/>
    <x v="310"/>
    <x v="3"/>
    <x v="1"/>
    <x v="1"/>
    <x v="0"/>
    <x v="2"/>
    <x v="0"/>
    <x v="1"/>
    <x v="303"/>
    <s v="Mozdok"/>
    <s v="Mozdok"/>
    <s v="Beauty &amp; Personal Care"/>
    <n v="325.42"/>
    <n v="11"/>
    <s v="In-Store"/>
    <x v="2"/>
    <n v="4"/>
    <n v="2"/>
    <s v="Low"/>
    <s v="Not Sensitive"/>
    <n v="1"/>
    <n v="1"/>
    <s v="High"/>
    <s v="Desktop"/>
    <s v="Other"/>
    <d v="2024-10-20T00:00:00"/>
    <b v="1"/>
    <x v="0"/>
    <s v="Impulsive"/>
    <s v="Express"/>
    <n v="7"/>
  </r>
  <r>
    <x v="311"/>
    <x v="311"/>
    <x v="10"/>
    <x v="0"/>
    <x v="0"/>
    <x v="0"/>
    <x v="2"/>
    <x v="1"/>
    <x v="1"/>
    <x v="304"/>
    <s v="Hoolt"/>
    <s v="Hoolt"/>
    <s v="Jewelry &amp; Accessories"/>
    <n v="351.36"/>
    <n v="2"/>
    <s v="In-Store"/>
    <x v="0"/>
    <n v="3"/>
    <n v="2"/>
    <s v="High"/>
    <s v="Very Sensitive"/>
    <n v="2"/>
    <n v="6"/>
    <s v="None"/>
    <s v="Desktop"/>
    <s v="Other"/>
    <d v="2024-02-09T00:00:00"/>
    <b v="0"/>
    <x v="1"/>
    <s v="Need-based"/>
    <s v="Standard"/>
    <n v="7"/>
  </r>
  <r>
    <x v="312"/>
    <x v="312"/>
    <x v="13"/>
    <x v="1"/>
    <x v="1"/>
    <x v="1"/>
    <x v="1"/>
    <x v="0"/>
    <x v="0"/>
    <x v="305"/>
    <s v="San Luis"/>
    <s v="San Luis"/>
    <s v="Baby Products"/>
    <n v="333.63"/>
    <n v="8"/>
    <s v="Mixed"/>
    <x v="4"/>
    <n v="5"/>
    <n v="2"/>
    <s v="None"/>
    <s v="Very Sensitive"/>
    <n v="2"/>
    <n v="2"/>
    <s v="High"/>
    <s v="Smartphone"/>
    <s v="Other"/>
    <d v="2024-12-05T00:00:00"/>
    <b v="0"/>
    <x v="0"/>
    <s v="Need-based"/>
    <s v="Express"/>
    <n v="14"/>
  </r>
  <r>
    <x v="313"/>
    <x v="313"/>
    <x v="21"/>
    <x v="0"/>
    <x v="0"/>
    <x v="1"/>
    <x v="0"/>
    <x v="0"/>
    <x v="0"/>
    <x v="306"/>
    <s v="Pergan"/>
    <s v="Pergan"/>
    <s v="Beauty &amp; Personal Care"/>
    <n v="469.9"/>
    <n v="4"/>
    <s v="Mixed"/>
    <x v="2"/>
    <n v="5"/>
    <n v="1"/>
    <s v="Low"/>
    <s v="Not Sensitive"/>
    <n v="1"/>
    <n v="7"/>
    <s v="None"/>
    <s v="Desktop"/>
    <s v="Cash"/>
    <d v="2024-06-28T00:00:00"/>
    <b v="0"/>
    <x v="0"/>
    <s v="Planned"/>
    <s v="No Preference"/>
    <n v="7"/>
  </r>
  <r>
    <x v="314"/>
    <x v="314"/>
    <x v="31"/>
    <x v="1"/>
    <x v="1"/>
    <x v="1"/>
    <x v="0"/>
    <x v="0"/>
    <x v="1"/>
    <x v="307"/>
    <s v="Kanoni"/>
    <s v="Kanoni"/>
    <s v="Mobile Accessories"/>
    <n v="207.52"/>
    <n v="4"/>
    <s v="In-Store"/>
    <x v="1"/>
    <n v="4"/>
    <n v="1"/>
    <s v="Low"/>
    <s v="Not Sensitive"/>
    <n v="1"/>
    <n v="8"/>
    <s v="High"/>
    <s v="Desktop"/>
    <s v="Debit Card"/>
    <d v="2024-08-06T00:00:00"/>
    <b v="0"/>
    <x v="0"/>
    <s v="Impulsive"/>
    <s v="No Preference"/>
    <n v="2"/>
  </r>
  <r>
    <x v="315"/>
    <x v="315"/>
    <x v="1"/>
    <x v="1"/>
    <x v="1"/>
    <x v="1"/>
    <x v="1"/>
    <x v="0"/>
    <x v="1"/>
    <x v="308"/>
    <s v="Gromadka"/>
    <s v="Gromadka"/>
    <s v="Toys &amp; Games"/>
    <n v="125.89"/>
    <n v="7"/>
    <s v="In-Store"/>
    <x v="1"/>
    <n v="3"/>
    <n v="2"/>
    <s v="Low"/>
    <s v="Not Sensitive"/>
    <n v="1"/>
    <n v="6"/>
    <s v="Medium"/>
    <s v="Desktop"/>
    <s v="Debit Card"/>
    <d v="2024-11-22T00:00:00"/>
    <b v="0"/>
    <x v="0"/>
    <s v="Wants-based"/>
    <s v="No Preference"/>
    <n v="13"/>
  </r>
  <r>
    <x v="316"/>
    <x v="316"/>
    <x v="19"/>
    <x v="0"/>
    <x v="0"/>
    <x v="1"/>
    <x v="1"/>
    <x v="2"/>
    <x v="0"/>
    <x v="309"/>
    <s v="Payapa"/>
    <s v="Payapa"/>
    <s v="Electronics"/>
    <n v="170.77"/>
    <n v="9"/>
    <s v="Online"/>
    <x v="0"/>
    <n v="2"/>
    <n v="1"/>
    <s v="Medium"/>
    <s v="Somewhat Sensitive"/>
    <n v="2"/>
    <n v="1"/>
    <s v="Low"/>
    <s v="Smartphone"/>
    <s v="Credit Card"/>
    <d v="2024-08-04T00:00:00"/>
    <b v="0"/>
    <x v="0"/>
    <s v="Impulsive"/>
    <s v="No Preference"/>
    <n v="4"/>
  </r>
  <r>
    <x v="317"/>
    <x v="317"/>
    <x v="32"/>
    <x v="0"/>
    <x v="0"/>
    <x v="1"/>
    <x v="3"/>
    <x v="2"/>
    <x v="1"/>
    <x v="310"/>
    <s v="Rat Burana"/>
    <s v="Rat Burana"/>
    <s v="Electronics"/>
    <n v="63.91"/>
    <n v="2"/>
    <s v="Online"/>
    <x v="3"/>
    <n v="4"/>
    <n v="2"/>
    <s v="None"/>
    <s v="Not Sensitive"/>
    <n v="0"/>
    <n v="6"/>
    <s v="Medium"/>
    <s v="Smartphone"/>
    <s v="Cash"/>
    <d v="2024-01-12T00:00:00"/>
    <b v="0"/>
    <x v="1"/>
    <s v="Planned"/>
    <s v="No Preference"/>
    <n v="12"/>
  </r>
  <r>
    <x v="318"/>
    <x v="318"/>
    <x v="3"/>
    <x v="1"/>
    <x v="1"/>
    <x v="1"/>
    <x v="0"/>
    <x v="1"/>
    <x v="0"/>
    <x v="311"/>
    <s v="Trhov Sviny"/>
    <s v="Trhovأ© Sviny"/>
    <s v="Clothing"/>
    <n v="340.55"/>
    <n v="7"/>
    <s v="In-Store"/>
    <x v="4"/>
    <n v="5"/>
    <n v="0"/>
    <s v="Low"/>
    <s v="Not Sensitive"/>
    <n v="0"/>
    <n v="7"/>
    <s v="None"/>
    <s v="Desktop"/>
    <s v="Credit Card"/>
    <d v="2024-11-19T00:00:00"/>
    <b v="0"/>
    <x v="1"/>
    <s v="Planned"/>
    <s v="Express"/>
    <n v="1"/>
  </r>
  <r>
    <x v="319"/>
    <x v="319"/>
    <x v="26"/>
    <x v="1"/>
    <x v="1"/>
    <x v="0"/>
    <x v="3"/>
    <x v="0"/>
    <x v="1"/>
    <x v="312"/>
    <s v="Kiev"/>
    <s v="Kiev"/>
    <s v="Software &amp; Apps"/>
    <n v="378.14"/>
    <n v="6"/>
    <s v="Mixed"/>
    <x v="2"/>
    <n v="2"/>
    <n v="1"/>
    <s v="Medium"/>
    <s v="Very Sensitive"/>
    <n v="1"/>
    <n v="6"/>
    <s v="High"/>
    <s v="Smartphone"/>
    <s v="PayPal"/>
    <d v="2024-09-04T00:00:00"/>
    <b v="0"/>
    <x v="0"/>
    <s v="Wants-based"/>
    <s v="Standard"/>
    <n v="7"/>
  </r>
  <r>
    <x v="320"/>
    <x v="320"/>
    <x v="14"/>
    <x v="0"/>
    <x v="0"/>
    <x v="0"/>
    <x v="0"/>
    <x v="0"/>
    <x v="0"/>
    <x v="313"/>
    <s v="Creteil"/>
    <s v="Crأ©teil"/>
    <s v="Toys &amp; Games"/>
    <n v="235.84"/>
    <n v="9"/>
    <s v="Mixed"/>
    <x v="0"/>
    <n v="2"/>
    <n v="0"/>
    <s v="None"/>
    <s v="Very Sensitive"/>
    <n v="2"/>
    <n v="3"/>
    <s v="None"/>
    <s v="Desktop"/>
    <s v="Cash"/>
    <d v="2024-08-03T00:00:00"/>
    <b v="0"/>
    <x v="0"/>
    <s v="Planned"/>
    <s v="No Preference"/>
    <n v="14"/>
  </r>
  <r>
    <x v="321"/>
    <x v="321"/>
    <x v="26"/>
    <x v="1"/>
    <x v="1"/>
    <x v="1"/>
    <x v="2"/>
    <x v="1"/>
    <x v="0"/>
    <x v="314"/>
    <s v="Lomintsevskiy"/>
    <s v="Lomintsevskiy"/>
    <s v="Arts &amp; Crafts"/>
    <n v="164.44"/>
    <n v="5"/>
    <s v="In-Store"/>
    <x v="0"/>
    <n v="1"/>
    <n v="2"/>
    <s v="Low"/>
    <s v="Somewhat Sensitive"/>
    <n v="1"/>
    <n v="10"/>
    <s v="High"/>
    <s v="Smartphone"/>
    <s v="Other"/>
    <d v="2024-04-08T00:00:00"/>
    <b v="0"/>
    <x v="0"/>
    <s v="Impulsive"/>
    <s v="No Preference"/>
    <n v="5"/>
  </r>
  <r>
    <x v="322"/>
    <x v="322"/>
    <x v="2"/>
    <x v="1"/>
    <x v="1"/>
    <x v="1"/>
    <x v="0"/>
    <x v="0"/>
    <x v="1"/>
    <x v="315"/>
    <s v="Monchegorsk"/>
    <s v="Monchegorsk"/>
    <s v="Sports &amp; Outdoors"/>
    <n v="455.81"/>
    <n v="3"/>
    <s v="Online"/>
    <x v="2"/>
    <n v="3"/>
    <n v="1"/>
    <s v="Low"/>
    <s v="Somewhat Sensitive"/>
    <n v="1"/>
    <n v="6"/>
    <s v="Medium"/>
    <s v="Smartphone"/>
    <s v="Debit Card"/>
    <d v="2024-04-21T00:00:00"/>
    <b v="0"/>
    <x v="0"/>
    <s v="Wants-based"/>
    <s v="Express"/>
    <n v="6"/>
  </r>
  <r>
    <x v="323"/>
    <x v="323"/>
    <x v="15"/>
    <x v="1"/>
    <x v="1"/>
    <x v="1"/>
    <x v="2"/>
    <x v="2"/>
    <x v="1"/>
    <x v="316"/>
    <s v="Olavarra"/>
    <s v="Olavarrأ­a"/>
    <s v="Health Care"/>
    <n v="298.32"/>
    <n v="7"/>
    <s v="In-Store"/>
    <x v="1"/>
    <n v="5"/>
    <n v="1"/>
    <s v="Low"/>
    <s v="Somewhat Sensitive"/>
    <n v="2"/>
    <n v="8"/>
    <s v="None"/>
    <s v="Tablet"/>
    <s v="Other"/>
    <d v="2024-06-17T00:00:00"/>
    <b v="1"/>
    <x v="0"/>
    <s v="Wants-based"/>
    <s v="Standard"/>
    <n v="12"/>
  </r>
  <r>
    <x v="324"/>
    <x v="324"/>
    <x v="15"/>
    <x v="0"/>
    <x v="0"/>
    <x v="1"/>
    <x v="1"/>
    <x v="0"/>
    <x v="1"/>
    <x v="317"/>
    <s v="Jianshan"/>
    <s v="Jianshan"/>
    <s v="Hotels"/>
    <n v="351.71"/>
    <n v="7"/>
    <s v="In-Store"/>
    <x v="2"/>
    <n v="2"/>
    <n v="0"/>
    <s v="Medium"/>
    <s v="Very Sensitive"/>
    <n v="1"/>
    <n v="6"/>
    <s v="Medium"/>
    <s v="Tablet"/>
    <s v="Other"/>
    <d v="2024-03-19T00:00:00"/>
    <b v="1"/>
    <x v="0"/>
    <s v="Need-based"/>
    <s v="Standard"/>
    <n v="8"/>
  </r>
  <r>
    <x v="325"/>
    <x v="325"/>
    <x v="1"/>
    <x v="1"/>
    <x v="1"/>
    <x v="0"/>
    <x v="3"/>
    <x v="0"/>
    <x v="0"/>
    <x v="318"/>
    <s v="Shreveport"/>
    <s v="Shreveport"/>
    <s v="Toys &amp; Games"/>
    <n v="393.48"/>
    <n v="11"/>
    <s v="In-Store"/>
    <x v="2"/>
    <n v="2"/>
    <n v="0"/>
    <s v="High"/>
    <s v="Very Sensitive"/>
    <n v="1"/>
    <n v="10"/>
    <s v="None"/>
    <s v="Tablet"/>
    <s v="Other"/>
    <d v="2024-08-13T00:00:00"/>
    <b v="1"/>
    <x v="1"/>
    <s v="Need-based"/>
    <s v="Standard"/>
    <n v="3"/>
  </r>
  <r>
    <x v="326"/>
    <x v="326"/>
    <x v="24"/>
    <x v="2"/>
    <x v="3"/>
    <x v="1"/>
    <x v="1"/>
    <x v="1"/>
    <x v="1"/>
    <x v="319"/>
    <s v="Pingzhuang"/>
    <s v="Pingzhuang"/>
    <s v="Office Supplies"/>
    <n v="241.72"/>
    <n v="6"/>
    <s v="Mixed"/>
    <x v="0"/>
    <n v="2"/>
    <n v="1"/>
    <s v="Medium"/>
    <s v="Not Sensitive"/>
    <n v="0"/>
    <n v="8"/>
    <s v="High"/>
    <s v="Desktop"/>
    <s v="Debit Card"/>
    <d v="2024-05-29T00:00:00"/>
    <b v="0"/>
    <x v="1"/>
    <s v="Planned"/>
    <s v="Express"/>
    <n v="2"/>
  </r>
  <r>
    <x v="327"/>
    <x v="327"/>
    <x v="23"/>
    <x v="0"/>
    <x v="0"/>
    <x v="1"/>
    <x v="1"/>
    <x v="0"/>
    <x v="1"/>
    <x v="272"/>
    <s v="Celso Ramos"/>
    <s v="Celso Ramos"/>
    <s v="Software &amp; Apps"/>
    <n v="280.2"/>
    <n v="3"/>
    <s v="In-Store"/>
    <x v="4"/>
    <n v="2"/>
    <n v="0"/>
    <s v="Medium"/>
    <s v="Somewhat Sensitive"/>
    <n v="2"/>
    <n v="7"/>
    <s v="None"/>
    <s v="Desktop"/>
    <s v="Other"/>
    <d v="2024-12-03T00:00:00"/>
    <b v="0"/>
    <x v="0"/>
    <s v="Need-based"/>
    <s v="No Preference"/>
    <n v="13"/>
  </r>
  <r>
    <x v="328"/>
    <x v="328"/>
    <x v="15"/>
    <x v="0"/>
    <x v="0"/>
    <x v="0"/>
    <x v="1"/>
    <x v="2"/>
    <x v="0"/>
    <x v="320"/>
    <s v="Merlo"/>
    <s v="Merlo"/>
    <s v="Health Supplements"/>
    <n v="178.04"/>
    <n v="5"/>
    <s v="Mixed"/>
    <x v="3"/>
    <n v="1"/>
    <n v="2"/>
    <s v="None"/>
    <s v="Somewhat Sensitive"/>
    <n v="2"/>
    <n v="10"/>
    <s v="High"/>
    <s v="Smartphone"/>
    <s v="Credit Card"/>
    <d v="2024-09-19T00:00:00"/>
    <b v="1"/>
    <x v="1"/>
    <s v="Impulsive"/>
    <s v="Express"/>
    <n v="11"/>
  </r>
  <r>
    <x v="329"/>
    <x v="329"/>
    <x v="14"/>
    <x v="1"/>
    <x v="1"/>
    <x v="1"/>
    <x v="0"/>
    <x v="2"/>
    <x v="0"/>
    <x v="321"/>
    <s v="Ziniar"/>
    <s v="Ziniarأ©"/>
    <s v="Packages)"/>
    <n v="347.99"/>
    <n v="5"/>
    <s v="Mixed"/>
    <x v="4"/>
    <n v="4"/>
    <n v="1"/>
    <s v="Low"/>
    <s v="Somewhat Sensitive"/>
    <n v="0"/>
    <n v="1"/>
    <s v="High"/>
    <s v="Desktop"/>
    <s v="PayPal"/>
    <d v="2024-03-22T00:00:00"/>
    <b v="1"/>
    <x v="0"/>
    <s v="Planned"/>
    <s v="Standard"/>
    <n v="6"/>
  </r>
  <r>
    <x v="330"/>
    <x v="330"/>
    <x v="5"/>
    <x v="0"/>
    <x v="0"/>
    <x v="0"/>
    <x v="1"/>
    <x v="2"/>
    <x v="1"/>
    <x v="322"/>
    <s v="Zduska Wola"/>
    <s v="Zduإ„ska Wola"/>
    <s v="Office Supplies"/>
    <n v="343.81"/>
    <n v="3"/>
    <s v="In-Store"/>
    <x v="1"/>
    <n v="5"/>
    <n v="0"/>
    <s v="High"/>
    <s v="Somewhat Sensitive"/>
    <n v="0"/>
    <n v="7"/>
    <s v="Medium"/>
    <s v="Desktop"/>
    <s v="Credit Card"/>
    <d v="2024-02-22T00:00:00"/>
    <b v="0"/>
    <x v="1"/>
    <s v="Need-based"/>
    <s v="Standard"/>
    <n v="3"/>
  </r>
  <r>
    <x v="331"/>
    <x v="331"/>
    <x v="26"/>
    <x v="0"/>
    <x v="0"/>
    <x v="0"/>
    <x v="0"/>
    <x v="2"/>
    <x v="0"/>
    <x v="323"/>
    <s v="Mount Ayliff"/>
    <s v="Mount Ayliff"/>
    <s v="Animal Feed"/>
    <n v="105.29"/>
    <n v="7"/>
    <s v="In-Store"/>
    <x v="2"/>
    <n v="5"/>
    <n v="0"/>
    <s v="Low"/>
    <s v="Very Sensitive"/>
    <n v="0"/>
    <n v="1"/>
    <s v="High"/>
    <s v="Desktop"/>
    <s v="Cash"/>
    <d v="2024-12-25T00:00:00"/>
    <b v="0"/>
    <x v="1"/>
    <s v="Need-based"/>
    <s v="Express"/>
    <n v="4"/>
  </r>
  <r>
    <x v="332"/>
    <x v="332"/>
    <x v="11"/>
    <x v="1"/>
    <x v="1"/>
    <x v="0"/>
    <x v="1"/>
    <x v="1"/>
    <x v="0"/>
    <x v="324"/>
    <s v="Prgaaj"/>
    <s v="Pؤ«rgaaj"/>
    <s v="Hotels"/>
    <n v="483.66"/>
    <n v="3"/>
    <s v="Online"/>
    <x v="3"/>
    <n v="4"/>
    <n v="1"/>
    <s v="Medium"/>
    <s v="Not Sensitive"/>
    <n v="2"/>
    <n v="1"/>
    <s v="Medium"/>
    <s v="Desktop"/>
    <s v="Other"/>
    <d v="2024-08-27T00:00:00"/>
    <b v="0"/>
    <x v="0"/>
    <s v="Impulsive"/>
    <s v="Standard"/>
    <n v="9"/>
  </r>
  <r>
    <x v="333"/>
    <x v="333"/>
    <x v="18"/>
    <x v="1"/>
    <x v="1"/>
    <x v="0"/>
    <x v="0"/>
    <x v="0"/>
    <x v="0"/>
    <x v="325"/>
    <s v="Zbraslavice"/>
    <s v="Zbraslavice"/>
    <s v="Home Appliances"/>
    <n v="69.41"/>
    <n v="8"/>
    <s v="Mixed"/>
    <x v="0"/>
    <n v="3"/>
    <n v="0"/>
    <s v="High"/>
    <s v="Somewhat Sensitive"/>
    <n v="1"/>
    <n v="9"/>
    <s v="High"/>
    <s v="Tablet"/>
    <s v="Cash"/>
    <d v="2024-01-28T00:00:00"/>
    <b v="0"/>
    <x v="0"/>
    <s v="Wants-based"/>
    <s v="Standard"/>
    <n v="5"/>
  </r>
  <r>
    <x v="334"/>
    <x v="334"/>
    <x v="28"/>
    <x v="2"/>
    <x v="3"/>
    <x v="1"/>
    <x v="1"/>
    <x v="2"/>
    <x v="0"/>
    <x v="326"/>
    <s v="Xilu"/>
    <s v="Xilu"/>
    <s v="Toys &amp; Games"/>
    <n v="207.18"/>
    <n v="11"/>
    <s v="Online"/>
    <x v="3"/>
    <n v="3"/>
    <n v="0"/>
    <s v="Low"/>
    <s v="Somewhat Sensitive"/>
    <n v="1"/>
    <n v="5"/>
    <s v="High"/>
    <s v="Tablet"/>
    <s v="PayPal"/>
    <d v="2024-11-16T00:00:00"/>
    <b v="0"/>
    <x v="0"/>
    <s v="Wants-based"/>
    <s v="Standard"/>
    <n v="8"/>
  </r>
  <r>
    <x v="335"/>
    <x v="335"/>
    <x v="11"/>
    <x v="1"/>
    <x v="1"/>
    <x v="0"/>
    <x v="3"/>
    <x v="1"/>
    <x v="1"/>
    <x v="327"/>
    <s v="Bamut"/>
    <s v="Bamut"/>
    <s v="Health Supplements"/>
    <n v="454.15"/>
    <n v="11"/>
    <s v="In-Store"/>
    <x v="2"/>
    <n v="1"/>
    <n v="1"/>
    <s v="High"/>
    <s v="Not Sensitive"/>
    <n v="1"/>
    <n v="8"/>
    <s v="High"/>
    <s v="Smartphone"/>
    <s v="Cash"/>
    <d v="2024-12-08T00:00:00"/>
    <b v="1"/>
    <x v="1"/>
    <s v="Planned"/>
    <s v="Express"/>
    <n v="13"/>
  </r>
  <r>
    <x v="336"/>
    <x v="336"/>
    <x v="8"/>
    <x v="1"/>
    <x v="1"/>
    <x v="1"/>
    <x v="2"/>
    <x v="1"/>
    <x v="1"/>
    <x v="328"/>
    <s v="La Tour-du-Pin"/>
    <s v="La Tour-du-Pin"/>
    <s v="Groceries"/>
    <n v="113.01"/>
    <n v="11"/>
    <s v="In-Store"/>
    <x v="0"/>
    <n v="2"/>
    <n v="2"/>
    <s v="Low"/>
    <s v="Very Sensitive"/>
    <n v="1"/>
    <n v="1"/>
    <s v="None"/>
    <s v="Tablet"/>
    <s v="Credit Card"/>
    <d v="2024-05-15T00:00:00"/>
    <b v="0"/>
    <x v="1"/>
    <s v="Impulsive"/>
    <s v="Express"/>
    <n v="4"/>
  </r>
  <r>
    <x v="337"/>
    <x v="337"/>
    <x v="21"/>
    <x v="1"/>
    <x v="1"/>
    <x v="0"/>
    <x v="3"/>
    <x v="0"/>
    <x v="0"/>
    <x v="329"/>
    <s v="Pader Palwo"/>
    <s v="Pader Palwo"/>
    <s v="Packages)"/>
    <n v="419.13"/>
    <n v="4"/>
    <s v="Mixed"/>
    <x v="1"/>
    <n v="5"/>
    <n v="1"/>
    <s v="None"/>
    <s v="Not Sensitive"/>
    <n v="0"/>
    <n v="1"/>
    <s v="None"/>
    <s v="Smartphone"/>
    <s v="Cash"/>
    <d v="2024-08-03T00:00:00"/>
    <b v="0"/>
    <x v="1"/>
    <s v="Wants-based"/>
    <s v="Express"/>
    <n v="6"/>
  </r>
  <r>
    <x v="338"/>
    <x v="338"/>
    <x v="14"/>
    <x v="0"/>
    <x v="0"/>
    <x v="1"/>
    <x v="1"/>
    <x v="0"/>
    <x v="1"/>
    <x v="330"/>
    <s v="Maurisu"/>
    <s v="Maurisu"/>
    <s v="Jewelry &amp; Accessories"/>
    <n v="183.86"/>
    <n v="5"/>
    <s v="Mixed"/>
    <x v="3"/>
    <n v="1"/>
    <n v="2"/>
    <s v="Medium"/>
    <s v="Not Sensitive"/>
    <n v="1"/>
    <n v="4"/>
    <s v="Low"/>
    <s v="Smartphone"/>
    <s v="Debit Card"/>
    <d v="2024-10-07T00:00:00"/>
    <b v="0"/>
    <x v="1"/>
    <s v="Wants-based"/>
    <s v="Standard"/>
    <n v="3"/>
  </r>
  <r>
    <x v="339"/>
    <x v="339"/>
    <x v="6"/>
    <x v="2"/>
    <x v="3"/>
    <x v="0"/>
    <x v="2"/>
    <x v="2"/>
    <x v="0"/>
    <x v="331"/>
    <s v="Gorzyce"/>
    <s v="Gorzyce"/>
    <s v="Packages)"/>
    <n v="53.87"/>
    <n v="10"/>
    <s v="In-Store"/>
    <x v="4"/>
    <n v="3"/>
    <n v="0"/>
    <s v="Medium"/>
    <s v="Very Sensitive"/>
    <n v="0"/>
    <n v="10"/>
    <s v="High"/>
    <s v="Tablet"/>
    <s v="Cash"/>
    <d v="2024-06-25T00:00:00"/>
    <b v="1"/>
    <x v="0"/>
    <s v="Planned"/>
    <s v="No Preference"/>
    <n v="2"/>
  </r>
  <r>
    <x v="340"/>
    <x v="340"/>
    <x v="20"/>
    <x v="0"/>
    <x v="0"/>
    <x v="1"/>
    <x v="2"/>
    <x v="0"/>
    <x v="1"/>
    <x v="332"/>
    <s v="Qingyun"/>
    <s v="Qingyun"/>
    <s v="Food &amp; Beverages"/>
    <n v="427.82"/>
    <n v="9"/>
    <s v="In-Store"/>
    <x v="0"/>
    <n v="5"/>
    <n v="0"/>
    <s v="Medium"/>
    <s v="Somewhat Sensitive"/>
    <n v="1"/>
    <n v="2"/>
    <s v="Medium"/>
    <s v="Desktop"/>
    <s v="PayPal"/>
    <d v="2024-04-04T00:00:00"/>
    <b v="1"/>
    <x v="0"/>
    <s v="Wants-based"/>
    <s v="No Preference"/>
    <n v="14"/>
  </r>
  <r>
    <x v="341"/>
    <x v="341"/>
    <x v="3"/>
    <x v="0"/>
    <x v="0"/>
    <x v="1"/>
    <x v="3"/>
    <x v="0"/>
    <x v="0"/>
    <x v="333"/>
    <s v="Jiuxian"/>
    <s v="Jiuxian"/>
    <s v="Packages)"/>
    <n v="282.82"/>
    <n v="6"/>
    <s v="In-Store"/>
    <x v="0"/>
    <n v="3"/>
    <n v="2"/>
    <s v="Medium"/>
    <s v="Very Sensitive"/>
    <n v="2"/>
    <n v="7"/>
    <s v="None"/>
    <s v="Desktop"/>
    <s v="Other"/>
    <d v="2024-02-29T00:00:00"/>
    <b v="0"/>
    <x v="1"/>
    <s v="Wants-based"/>
    <s v="Standard"/>
    <n v="3"/>
  </r>
  <r>
    <x v="342"/>
    <x v="342"/>
    <x v="31"/>
    <x v="1"/>
    <x v="1"/>
    <x v="0"/>
    <x v="3"/>
    <x v="2"/>
    <x v="0"/>
    <x v="334"/>
    <s v="Ndungu"/>
    <s v="Ndungu"/>
    <s v="Electronics"/>
    <n v="215.31"/>
    <n v="7"/>
    <s v="Online"/>
    <x v="0"/>
    <n v="5"/>
    <n v="2"/>
    <s v="Medium"/>
    <s v="Somewhat Sensitive"/>
    <n v="1"/>
    <n v="8"/>
    <s v="Medium"/>
    <s v="Smartphone"/>
    <s v="Other"/>
    <d v="2024-04-09T00:00:00"/>
    <b v="0"/>
    <x v="1"/>
    <s v="Impulsive"/>
    <s v="No Preference"/>
    <n v="7"/>
  </r>
  <r>
    <x v="343"/>
    <x v="343"/>
    <x v="20"/>
    <x v="1"/>
    <x v="1"/>
    <x v="0"/>
    <x v="2"/>
    <x v="2"/>
    <x v="1"/>
    <x v="335"/>
    <s v="Emiliano Zapata"/>
    <s v="Emiliano Zapata"/>
    <s v="Furniture"/>
    <n v="183.66"/>
    <n v="11"/>
    <s v="Online"/>
    <x v="1"/>
    <n v="1"/>
    <n v="1"/>
    <s v="Low"/>
    <s v="Very Sensitive"/>
    <n v="0"/>
    <n v="10"/>
    <s v="Medium"/>
    <s v="Tablet"/>
    <s v="Credit Card"/>
    <d v="2024-04-18T00:00:00"/>
    <b v="1"/>
    <x v="1"/>
    <s v="Planned"/>
    <s v="No Preference"/>
    <n v="6"/>
  </r>
  <r>
    <x v="344"/>
    <x v="344"/>
    <x v="18"/>
    <x v="0"/>
    <x v="0"/>
    <x v="1"/>
    <x v="3"/>
    <x v="1"/>
    <x v="0"/>
    <x v="336"/>
    <s v="Spasskoye"/>
    <s v="Spasskoye"/>
    <s v="Baby Products"/>
    <n v="198.73"/>
    <n v="10"/>
    <s v="In-Store"/>
    <x v="3"/>
    <n v="5"/>
    <n v="2"/>
    <s v="High"/>
    <s v="Very Sensitive"/>
    <n v="1"/>
    <n v="5"/>
    <s v="None"/>
    <s v="Desktop"/>
    <s v="Other"/>
    <d v="2024-02-02T00:00:00"/>
    <b v="1"/>
    <x v="0"/>
    <s v="Impulsive"/>
    <s v="Standard"/>
    <n v="4"/>
  </r>
  <r>
    <x v="345"/>
    <x v="345"/>
    <x v="29"/>
    <x v="0"/>
    <x v="0"/>
    <x v="0"/>
    <x v="0"/>
    <x v="1"/>
    <x v="1"/>
    <x v="337"/>
    <s v="Giero"/>
    <s v="Gierإ‚oإ¼"/>
    <s v="Travel &amp; Leisure (Flights"/>
    <n v="265.72000000000003"/>
    <n v="5"/>
    <s v="Mixed"/>
    <x v="0"/>
    <n v="4"/>
    <n v="0"/>
    <s v="None"/>
    <s v="Very Sensitive"/>
    <n v="0"/>
    <n v="9"/>
    <s v="None"/>
    <s v="Tablet"/>
    <s v="Debit Card"/>
    <d v="2024-04-22T00:00:00"/>
    <b v="1"/>
    <x v="1"/>
    <s v="Planned"/>
    <s v="Express"/>
    <n v="13"/>
  </r>
  <r>
    <x v="346"/>
    <x v="346"/>
    <x v="21"/>
    <x v="1"/>
    <x v="1"/>
    <x v="0"/>
    <x v="0"/>
    <x v="2"/>
    <x v="1"/>
    <x v="338"/>
    <s v="Sobue"/>
    <s v="Sobue"/>
    <s v="Software &amp; Apps"/>
    <n v="138.35"/>
    <n v="2"/>
    <s v="Online"/>
    <x v="4"/>
    <n v="5"/>
    <n v="2"/>
    <s v="Low"/>
    <s v="Not Sensitive"/>
    <n v="0"/>
    <n v="2"/>
    <s v="Low"/>
    <s v="Smartphone"/>
    <s v="Other"/>
    <d v="2024-07-14T00:00:00"/>
    <b v="1"/>
    <x v="1"/>
    <s v="Wants-based"/>
    <s v="No Preference"/>
    <n v="8"/>
  </r>
  <r>
    <x v="347"/>
    <x v="347"/>
    <x v="23"/>
    <x v="1"/>
    <x v="1"/>
    <x v="0"/>
    <x v="3"/>
    <x v="0"/>
    <x v="0"/>
    <x v="339"/>
    <s v="High Point"/>
    <s v="High Point"/>
    <s v="Groceries"/>
    <n v="441.87"/>
    <n v="3"/>
    <s v="Mixed"/>
    <x v="3"/>
    <n v="2"/>
    <n v="1"/>
    <s v="High"/>
    <s v="Somewhat Sensitive"/>
    <n v="0"/>
    <n v="10"/>
    <s v="Medium"/>
    <s v="Smartphone"/>
    <s v="PayPal"/>
    <d v="2024-09-10T00:00:00"/>
    <b v="1"/>
    <x v="0"/>
    <s v="Wants-based"/>
    <s v="No Preference"/>
    <n v="13"/>
  </r>
  <r>
    <x v="348"/>
    <x v="348"/>
    <x v="13"/>
    <x v="0"/>
    <x v="0"/>
    <x v="0"/>
    <x v="0"/>
    <x v="2"/>
    <x v="0"/>
    <x v="340"/>
    <s v="Qiankeng"/>
    <s v="Qiankeng"/>
    <s v="Clothing"/>
    <n v="178.29"/>
    <n v="4"/>
    <s v="Mixed"/>
    <x v="4"/>
    <n v="3"/>
    <n v="2"/>
    <s v="Low"/>
    <s v="Very Sensitive"/>
    <n v="2"/>
    <n v="10"/>
    <s v="High"/>
    <s v="Desktop"/>
    <s v="Cash"/>
    <d v="2024-07-29T00:00:00"/>
    <b v="0"/>
    <x v="1"/>
    <s v="Planned"/>
    <s v="No Preference"/>
    <n v="8"/>
  </r>
  <r>
    <x v="349"/>
    <x v="349"/>
    <x v="25"/>
    <x v="1"/>
    <x v="1"/>
    <x v="0"/>
    <x v="2"/>
    <x v="1"/>
    <x v="1"/>
    <x v="341"/>
    <s v="Pandean"/>
    <s v="Pandean"/>
    <s v="Sports &amp; Outdoors"/>
    <n v="77.08"/>
    <n v="10"/>
    <s v="Mixed"/>
    <x v="2"/>
    <n v="1"/>
    <n v="0"/>
    <s v="High"/>
    <s v="Not Sensitive"/>
    <n v="0"/>
    <n v="8"/>
    <s v="None"/>
    <s v="Tablet"/>
    <s v="PayPal"/>
    <d v="2024-10-15T00:00:00"/>
    <b v="1"/>
    <x v="1"/>
    <s v="Impulsive"/>
    <s v="Standard"/>
    <n v="1"/>
  </r>
  <r>
    <x v="350"/>
    <x v="350"/>
    <x v="19"/>
    <x v="1"/>
    <x v="1"/>
    <x v="1"/>
    <x v="0"/>
    <x v="1"/>
    <x v="1"/>
    <x v="342"/>
    <s v="Phongn"/>
    <s v="Phong ؤگiل»پn"/>
    <s v="Office Supplies"/>
    <n v="266.89999999999998"/>
    <n v="11"/>
    <s v="Mixed"/>
    <x v="4"/>
    <n v="2"/>
    <n v="2"/>
    <s v="Low"/>
    <s v="Not Sensitive"/>
    <n v="1"/>
    <n v="8"/>
    <s v="Medium"/>
    <s v="Desktop"/>
    <s v="PayPal"/>
    <d v="2024-07-01T00:00:00"/>
    <b v="0"/>
    <x v="1"/>
    <s v="Wants-based"/>
    <s v="Express"/>
    <n v="13"/>
  </r>
  <r>
    <x v="351"/>
    <x v="351"/>
    <x v="9"/>
    <x v="0"/>
    <x v="0"/>
    <x v="0"/>
    <x v="3"/>
    <x v="0"/>
    <x v="1"/>
    <x v="343"/>
    <s v="Mirw"/>
    <s v="Mirأ³w"/>
    <s v="Electronics"/>
    <n v="269.83999999999997"/>
    <n v="4"/>
    <s v="In-Store"/>
    <x v="0"/>
    <n v="4"/>
    <n v="0"/>
    <s v="Low"/>
    <s v="Not Sensitive"/>
    <n v="2"/>
    <n v="9"/>
    <s v="Low"/>
    <s v="Tablet"/>
    <s v="Credit Card"/>
    <d v="2024-05-04T00:00:00"/>
    <b v="1"/>
    <x v="1"/>
    <s v="Wants-based"/>
    <s v="No Preference"/>
    <n v="2"/>
  </r>
  <r>
    <x v="352"/>
    <x v="352"/>
    <x v="25"/>
    <x v="1"/>
    <x v="1"/>
    <x v="0"/>
    <x v="0"/>
    <x v="2"/>
    <x v="1"/>
    <x v="344"/>
    <s v="Franceville"/>
    <s v="Franceville"/>
    <s v="Home Appliances"/>
    <n v="334.22"/>
    <n v="8"/>
    <s v="Online"/>
    <x v="2"/>
    <n v="2"/>
    <n v="2"/>
    <s v="None"/>
    <s v="Very Sensitive"/>
    <n v="2"/>
    <n v="8"/>
    <s v="None"/>
    <s v="Tablet"/>
    <s v="Cash"/>
    <d v="2024-03-02T00:00:00"/>
    <b v="0"/>
    <x v="0"/>
    <s v="Need-based"/>
    <s v="Standard"/>
    <n v="1"/>
  </r>
  <r>
    <x v="353"/>
    <x v="353"/>
    <x v="13"/>
    <x v="0"/>
    <x v="0"/>
    <x v="0"/>
    <x v="0"/>
    <x v="1"/>
    <x v="1"/>
    <x v="345"/>
    <s v="Bordeaux"/>
    <s v="Bordeaux"/>
    <s v="Travel &amp; Leisure (Flights"/>
    <n v="474.56"/>
    <n v="8"/>
    <s v="In-Store"/>
    <x v="3"/>
    <n v="5"/>
    <n v="2"/>
    <s v="Low"/>
    <s v="Not Sensitive"/>
    <n v="1"/>
    <n v="6"/>
    <s v="High"/>
    <s v="Smartphone"/>
    <s v="PayPal"/>
    <d v="2024-04-17T00:00:00"/>
    <b v="1"/>
    <x v="0"/>
    <s v="Planned"/>
    <s v="Standard"/>
    <n v="12"/>
  </r>
  <r>
    <x v="354"/>
    <x v="354"/>
    <x v="10"/>
    <x v="1"/>
    <x v="1"/>
    <x v="1"/>
    <x v="0"/>
    <x v="2"/>
    <x v="1"/>
    <x v="346"/>
    <s v="Zamora"/>
    <s v="Zamora"/>
    <s v="Electronics"/>
    <n v="360.91"/>
    <n v="4"/>
    <s v="Mixed"/>
    <x v="1"/>
    <n v="5"/>
    <n v="1"/>
    <s v="High"/>
    <s v="Somewhat Sensitive"/>
    <n v="0"/>
    <n v="8"/>
    <s v="High"/>
    <s v="Desktop"/>
    <s v="Credit Card"/>
    <d v="2024-08-30T00:00:00"/>
    <b v="1"/>
    <x v="1"/>
    <s v="Planned"/>
    <s v="No Preference"/>
    <n v="4"/>
  </r>
  <r>
    <x v="355"/>
    <x v="355"/>
    <x v="32"/>
    <x v="0"/>
    <x v="0"/>
    <x v="0"/>
    <x v="2"/>
    <x v="0"/>
    <x v="1"/>
    <x v="347"/>
    <s v="Jubaoshan"/>
    <s v="Jubaoshan"/>
    <s v="Groceries"/>
    <n v="373.49"/>
    <n v="6"/>
    <s v="Online"/>
    <x v="4"/>
    <n v="1"/>
    <n v="0"/>
    <s v="Medium"/>
    <s v="Very Sensitive"/>
    <n v="0"/>
    <n v="10"/>
    <s v="Low"/>
    <s v="Tablet"/>
    <s v="Cash"/>
    <d v="2024-04-23T00:00:00"/>
    <b v="1"/>
    <x v="1"/>
    <s v="Impulsive"/>
    <s v="Standard"/>
    <n v="1"/>
  </r>
  <r>
    <x v="356"/>
    <x v="356"/>
    <x v="11"/>
    <x v="0"/>
    <x v="0"/>
    <x v="1"/>
    <x v="0"/>
    <x v="2"/>
    <x v="0"/>
    <x v="348"/>
    <s v="Shdegn"/>
    <s v="Shؤپdegؤپn"/>
    <s v="Sports &amp; Outdoors"/>
    <n v="462.3"/>
    <n v="5"/>
    <s v="Mixed"/>
    <x v="1"/>
    <n v="3"/>
    <n v="2"/>
    <s v="None"/>
    <s v="Not Sensitive"/>
    <n v="2"/>
    <n v="4"/>
    <s v="Medium"/>
    <s v="Tablet"/>
    <s v="Cash"/>
    <d v="2024-11-25T00:00:00"/>
    <b v="1"/>
    <x v="1"/>
    <s v="Impulsive"/>
    <s v="Standard"/>
    <n v="4"/>
  </r>
  <r>
    <x v="357"/>
    <x v="357"/>
    <x v="21"/>
    <x v="0"/>
    <x v="0"/>
    <x v="0"/>
    <x v="1"/>
    <x v="2"/>
    <x v="0"/>
    <x v="349"/>
    <s v="Gueltat Zemmour"/>
    <s v="Gueltat Zemmour"/>
    <s v="Toys &amp; Games"/>
    <n v="332.67"/>
    <n v="8"/>
    <s v="In-Store"/>
    <x v="3"/>
    <n v="4"/>
    <n v="2"/>
    <s v="Medium"/>
    <s v="Somewhat Sensitive"/>
    <n v="1"/>
    <n v="2"/>
    <s v="High"/>
    <s v="Smartphone"/>
    <s v="Other"/>
    <d v="2024-12-11T00:00:00"/>
    <b v="0"/>
    <x v="1"/>
    <s v="Impulsive"/>
    <s v="Express"/>
    <n v="4"/>
  </r>
  <r>
    <x v="358"/>
    <x v="358"/>
    <x v="0"/>
    <x v="0"/>
    <x v="0"/>
    <x v="1"/>
    <x v="3"/>
    <x v="2"/>
    <x v="0"/>
    <x v="350"/>
    <s v="Mosalask"/>
    <s v="Mosalâ€™sk"/>
    <s v="Home Appliances"/>
    <n v="235.39"/>
    <n v="9"/>
    <s v="Online"/>
    <x v="0"/>
    <n v="4"/>
    <n v="1"/>
    <s v="None"/>
    <s v="Not Sensitive"/>
    <n v="0"/>
    <n v="6"/>
    <s v="None"/>
    <s v="Smartphone"/>
    <s v="Credit Card"/>
    <d v="2024-05-25T00:00:00"/>
    <b v="0"/>
    <x v="1"/>
    <s v="Planned"/>
    <s v="No Preference"/>
    <n v="6"/>
  </r>
  <r>
    <x v="359"/>
    <x v="359"/>
    <x v="32"/>
    <x v="0"/>
    <x v="0"/>
    <x v="0"/>
    <x v="0"/>
    <x v="1"/>
    <x v="0"/>
    <x v="351"/>
    <s v="Kokstad"/>
    <s v="Kokstad"/>
    <s v="Packages)"/>
    <n v="269.77999999999997"/>
    <n v="7"/>
    <s v="In-Store"/>
    <x v="2"/>
    <n v="3"/>
    <n v="1"/>
    <s v="Medium"/>
    <s v="Somewhat Sensitive"/>
    <n v="2"/>
    <n v="7"/>
    <s v="Medium"/>
    <s v="Desktop"/>
    <s v="Other"/>
    <d v="2024-07-25T00:00:00"/>
    <b v="1"/>
    <x v="1"/>
    <s v="Need-based"/>
    <s v="No Preference"/>
    <n v="5"/>
  </r>
  <r>
    <x v="360"/>
    <x v="360"/>
    <x v="3"/>
    <x v="1"/>
    <x v="1"/>
    <x v="0"/>
    <x v="0"/>
    <x v="0"/>
    <x v="0"/>
    <x v="352"/>
    <s v="Malasin"/>
    <s v="Malasin"/>
    <s v="Gardening &amp; Outdoors"/>
    <n v="498.33"/>
    <n v="2"/>
    <s v="Online"/>
    <x v="1"/>
    <n v="5"/>
    <n v="2"/>
    <s v="Medium"/>
    <s v="Very Sensitive"/>
    <n v="1"/>
    <n v="9"/>
    <s v="Medium"/>
    <s v="Smartphone"/>
    <s v="PayPal"/>
    <d v="2024-05-08T00:00:00"/>
    <b v="1"/>
    <x v="1"/>
    <s v="Wants-based"/>
    <s v="Express"/>
    <n v="1"/>
  </r>
  <r>
    <x v="361"/>
    <x v="361"/>
    <x v="12"/>
    <x v="0"/>
    <x v="0"/>
    <x v="1"/>
    <x v="1"/>
    <x v="1"/>
    <x v="1"/>
    <x v="353"/>
    <s v="Huaqiu"/>
    <s v="Huaqiu"/>
    <s v="Health Supplements"/>
    <n v="182.94"/>
    <n v="7"/>
    <s v="Mixed"/>
    <x v="3"/>
    <n v="5"/>
    <n v="2"/>
    <s v="None"/>
    <s v="Not Sensitive"/>
    <n v="2"/>
    <n v="7"/>
    <s v="Low"/>
    <s v="Desktop"/>
    <s v="Other"/>
    <d v="2024-05-28T00:00:00"/>
    <b v="1"/>
    <x v="1"/>
    <s v="Need-based"/>
    <s v="Express"/>
    <n v="12"/>
  </r>
  <r>
    <x v="362"/>
    <x v="362"/>
    <x v="24"/>
    <x v="0"/>
    <x v="0"/>
    <x v="0"/>
    <x v="3"/>
    <x v="2"/>
    <x v="1"/>
    <x v="354"/>
    <s v="Loket"/>
    <s v="Loket"/>
    <s v="Health Supplements"/>
    <n v="121.7"/>
    <n v="7"/>
    <s v="Mixed"/>
    <x v="4"/>
    <n v="3"/>
    <n v="0"/>
    <s v="High"/>
    <s v="Very Sensitive"/>
    <n v="2"/>
    <n v="5"/>
    <s v="None"/>
    <s v="Smartphone"/>
    <s v="Credit Card"/>
    <d v="2024-06-24T00:00:00"/>
    <b v="1"/>
    <x v="1"/>
    <s v="Planned"/>
    <s v="Standard"/>
    <n v="8"/>
  </r>
  <r>
    <x v="363"/>
    <x v="363"/>
    <x v="5"/>
    <x v="0"/>
    <x v="0"/>
    <x v="1"/>
    <x v="2"/>
    <x v="2"/>
    <x v="0"/>
    <x v="355"/>
    <s v="Santa Maria do Souto"/>
    <s v="Santa Maria do Souto"/>
    <s v="Software &amp; Apps"/>
    <n v="489.27"/>
    <n v="4"/>
    <s v="Mixed"/>
    <x v="3"/>
    <n v="4"/>
    <n v="1"/>
    <s v="High"/>
    <s v="Somewhat Sensitive"/>
    <n v="1"/>
    <n v="3"/>
    <s v="None"/>
    <s v="Tablet"/>
    <s v="Debit Card"/>
    <d v="2024-01-13T00:00:00"/>
    <b v="0"/>
    <x v="0"/>
    <s v="Wants-based"/>
    <s v="Standard"/>
    <n v="3"/>
  </r>
  <r>
    <x v="364"/>
    <x v="364"/>
    <x v="9"/>
    <x v="1"/>
    <x v="1"/>
    <x v="0"/>
    <x v="0"/>
    <x v="0"/>
    <x v="0"/>
    <x v="356"/>
    <s v="Yanshang"/>
    <s v="Yanshang"/>
    <s v="Software &amp; Apps"/>
    <n v="303.93"/>
    <n v="6"/>
    <s v="Mixed"/>
    <x v="1"/>
    <n v="2"/>
    <n v="0"/>
    <s v="High"/>
    <s v="Not Sensitive"/>
    <n v="1"/>
    <n v="10"/>
    <s v="Low"/>
    <s v="Smartphone"/>
    <s v="Debit Card"/>
    <d v="2024-03-13T00:00:00"/>
    <b v="1"/>
    <x v="0"/>
    <s v="Need-based"/>
    <s v="No Preference"/>
    <n v="2"/>
  </r>
  <r>
    <x v="365"/>
    <x v="365"/>
    <x v="2"/>
    <x v="0"/>
    <x v="0"/>
    <x v="0"/>
    <x v="0"/>
    <x v="0"/>
    <x v="0"/>
    <x v="357"/>
    <s v="Tempuran"/>
    <s v="Tempuran"/>
    <s v="Food &amp; Beverages"/>
    <n v="302.74"/>
    <n v="11"/>
    <s v="Mixed"/>
    <x v="3"/>
    <n v="5"/>
    <n v="0"/>
    <s v="High"/>
    <s v="Very Sensitive"/>
    <n v="0"/>
    <n v="6"/>
    <s v="High"/>
    <s v="Smartphone"/>
    <s v="PayPal"/>
    <d v="2024-06-28T00:00:00"/>
    <b v="1"/>
    <x v="1"/>
    <s v="Wants-based"/>
    <s v="Express"/>
    <n v="5"/>
  </r>
  <r>
    <x v="366"/>
    <x v="366"/>
    <x v="21"/>
    <x v="2"/>
    <x v="7"/>
    <x v="1"/>
    <x v="1"/>
    <x v="0"/>
    <x v="1"/>
    <x v="358"/>
    <s v="Karafao"/>
    <s v="Karafao"/>
    <s v="Beauty &amp; Personal Care"/>
    <n v="157.21"/>
    <n v="11"/>
    <s v="Online"/>
    <x v="1"/>
    <n v="3"/>
    <n v="0"/>
    <s v="Medium"/>
    <s v="Not Sensitive"/>
    <n v="0"/>
    <n v="3"/>
    <s v="High"/>
    <s v="Tablet"/>
    <s v="Debit Card"/>
    <d v="2024-04-30T00:00:00"/>
    <b v="1"/>
    <x v="0"/>
    <s v="Wants-based"/>
    <s v="Express"/>
    <n v="5"/>
  </r>
  <r>
    <x v="367"/>
    <x v="367"/>
    <x v="19"/>
    <x v="0"/>
    <x v="0"/>
    <x v="1"/>
    <x v="2"/>
    <x v="1"/>
    <x v="1"/>
    <x v="359"/>
    <s v="So Cristvo"/>
    <s v="Sأ£o Cristأ³vأ£o"/>
    <s v="Sports &amp; Outdoors"/>
    <n v="159.44999999999999"/>
    <n v="2"/>
    <s v="Online"/>
    <x v="1"/>
    <n v="2"/>
    <n v="2"/>
    <s v="Medium"/>
    <s v="Very Sensitive"/>
    <n v="0"/>
    <n v="5"/>
    <s v="None"/>
    <s v="Smartphone"/>
    <s v="Debit Card"/>
    <d v="2024-06-14T00:00:00"/>
    <b v="1"/>
    <x v="0"/>
    <s v="Impulsive"/>
    <s v="Standard"/>
    <n v="14"/>
  </r>
  <r>
    <x v="368"/>
    <x v="368"/>
    <x v="32"/>
    <x v="0"/>
    <x v="0"/>
    <x v="1"/>
    <x v="2"/>
    <x v="1"/>
    <x v="0"/>
    <x v="360"/>
    <s v="Buensuseso"/>
    <s v="Buensuseso"/>
    <s v="Luxury Goods"/>
    <n v="312.93"/>
    <n v="2"/>
    <s v="In-Store"/>
    <x v="2"/>
    <n v="2"/>
    <n v="1"/>
    <s v="High"/>
    <s v="Very Sensitive"/>
    <n v="0"/>
    <n v="7"/>
    <s v="None"/>
    <s v="Smartphone"/>
    <s v="PayPal"/>
    <d v="2024-08-04T00:00:00"/>
    <b v="1"/>
    <x v="1"/>
    <s v="Wants-based"/>
    <s v="No Preference"/>
    <n v="3"/>
  </r>
  <r>
    <x v="369"/>
    <x v="369"/>
    <x v="9"/>
    <x v="1"/>
    <x v="1"/>
    <x v="1"/>
    <x v="0"/>
    <x v="2"/>
    <x v="0"/>
    <x v="361"/>
    <s v="Blantyre"/>
    <s v="Blantyre"/>
    <s v="Hotels"/>
    <n v="65.680000000000007"/>
    <n v="4"/>
    <s v="In-Store"/>
    <x v="4"/>
    <n v="4"/>
    <n v="0"/>
    <s v="Medium"/>
    <s v="Not Sensitive"/>
    <n v="0"/>
    <n v="8"/>
    <s v="Medium"/>
    <s v="Smartphone"/>
    <s v="Other"/>
    <d v="2024-05-07T00:00:00"/>
    <b v="0"/>
    <x v="0"/>
    <s v="Impulsive"/>
    <s v="Standard"/>
    <n v="12"/>
  </r>
  <r>
    <x v="370"/>
    <x v="370"/>
    <x v="32"/>
    <x v="1"/>
    <x v="1"/>
    <x v="0"/>
    <x v="1"/>
    <x v="2"/>
    <x v="0"/>
    <x v="362"/>
    <s v="Kozelashchyna"/>
    <s v="Kozelâ€™shchyna"/>
    <s v="Software &amp; Apps"/>
    <n v="61.86"/>
    <n v="5"/>
    <s v="In-Store"/>
    <x v="4"/>
    <n v="5"/>
    <n v="2"/>
    <s v="None"/>
    <s v="Not Sensitive"/>
    <n v="2"/>
    <n v="8"/>
    <s v="None"/>
    <s v="Smartphone"/>
    <s v="Cash"/>
    <d v="2024-11-15T00:00:00"/>
    <b v="0"/>
    <x v="1"/>
    <s v="Need-based"/>
    <s v="Standard"/>
    <n v="9"/>
  </r>
  <r>
    <x v="371"/>
    <x v="371"/>
    <x v="27"/>
    <x v="0"/>
    <x v="0"/>
    <x v="1"/>
    <x v="1"/>
    <x v="2"/>
    <x v="0"/>
    <x v="363"/>
    <s v="Cibuah"/>
    <s v="Cibuah"/>
    <s v="Electronics"/>
    <n v="343.77"/>
    <n v="6"/>
    <s v="Mixed"/>
    <x v="0"/>
    <n v="4"/>
    <n v="2"/>
    <s v="None"/>
    <s v="Not Sensitive"/>
    <n v="2"/>
    <n v="4"/>
    <s v="Medium"/>
    <s v="Desktop"/>
    <s v="Credit Card"/>
    <d v="2024-02-16T00:00:00"/>
    <b v="1"/>
    <x v="0"/>
    <s v="Impulsive"/>
    <s v="No Preference"/>
    <n v="3"/>
  </r>
  <r>
    <x v="372"/>
    <x v="372"/>
    <x v="14"/>
    <x v="1"/>
    <x v="1"/>
    <x v="0"/>
    <x v="3"/>
    <x v="2"/>
    <x v="1"/>
    <x v="364"/>
    <s v="Cockburn Town"/>
    <s v="Cockburn Town"/>
    <s v="Home Appliances"/>
    <n v="107.21"/>
    <n v="2"/>
    <s v="Online"/>
    <x v="4"/>
    <n v="2"/>
    <n v="1"/>
    <s v="None"/>
    <s v="Not Sensitive"/>
    <n v="2"/>
    <n v="9"/>
    <s v="Medium"/>
    <s v="Desktop"/>
    <s v="Other"/>
    <d v="2024-08-05T00:00:00"/>
    <b v="1"/>
    <x v="1"/>
    <s v="Planned"/>
    <s v="Standard"/>
    <n v="6"/>
  </r>
  <r>
    <x v="373"/>
    <x v="373"/>
    <x v="16"/>
    <x v="2"/>
    <x v="3"/>
    <x v="1"/>
    <x v="1"/>
    <x v="2"/>
    <x v="0"/>
    <x v="365"/>
    <s v="Maslog"/>
    <s v="Maslog"/>
    <s v="Home Appliances"/>
    <n v="148.97999999999999"/>
    <n v="12"/>
    <s v="Online"/>
    <x v="0"/>
    <n v="1"/>
    <n v="2"/>
    <s v="None"/>
    <s v="Very Sensitive"/>
    <n v="0"/>
    <n v="8"/>
    <s v="Low"/>
    <s v="Tablet"/>
    <s v="Debit Card"/>
    <d v="2024-08-11T00:00:00"/>
    <b v="1"/>
    <x v="1"/>
    <s v="Wants-based"/>
    <s v="Standard"/>
    <n v="13"/>
  </r>
  <r>
    <x v="374"/>
    <x v="374"/>
    <x v="0"/>
    <x v="0"/>
    <x v="0"/>
    <x v="1"/>
    <x v="2"/>
    <x v="2"/>
    <x v="0"/>
    <x v="366"/>
    <s v="Faqqah"/>
    <s v="Faqqإ«â€کah"/>
    <s v="Health Care"/>
    <n v="490.41"/>
    <n v="4"/>
    <s v="Mixed"/>
    <x v="1"/>
    <n v="4"/>
    <n v="0"/>
    <s v="Low"/>
    <s v="Somewhat Sensitive"/>
    <n v="0"/>
    <n v="2"/>
    <s v="High"/>
    <s v="Tablet"/>
    <s v="Other"/>
    <d v="2024-12-15T00:00:00"/>
    <b v="0"/>
    <x v="1"/>
    <s v="Planned"/>
    <s v="Express"/>
    <n v="3"/>
  </r>
  <r>
    <x v="375"/>
    <x v="375"/>
    <x v="4"/>
    <x v="1"/>
    <x v="1"/>
    <x v="1"/>
    <x v="0"/>
    <x v="1"/>
    <x v="0"/>
    <x v="367"/>
    <s v="Yelyzavethradka"/>
    <s v="Yelyzavethradka"/>
    <s v="Groceries"/>
    <n v="461.34"/>
    <n v="4"/>
    <s v="In-Store"/>
    <x v="1"/>
    <n v="1"/>
    <n v="0"/>
    <s v="High"/>
    <s v="Somewhat Sensitive"/>
    <n v="1"/>
    <n v="9"/>
    <s v="Low"/>
    <s v="Desktop"/>
    <s v="Cash"/>
    <d v="2024-03-06T00:00:00"/>
    <b v="0"/>
    <x v="1"/>
    <s v="Wants-based"/>
    <s v="Express"/>
    <n v="7"/>
  </r>
  <r>
    <x v="376"/>
    <x v="376"/>
    <x v="28"/>
    <x v="0"/>
    <x v="0"/>
    <x v="1"/>
    <x v="1"/>
    <x v="2"/>
    <x v="1"/>
    <x v="368"/>
    <s v="Jackson"/>
    <s v="Jackson"/>
    <s v="Office Supplies"/>
    <n v="338.89"/>
    <n v="7"/>
    <s v="In-Store"/>
    <x v="4"/>
    <n v="2"/>
    <n v="1"/>
    <s v="Low"/>
    <s v="Somewhat Sensitive"/>
    <n v="2"/>
    <n v="6"/>
    <s v="None"/>
    <s v="Desktop"/>
    <s v="Credit Card"/>
    <d v="2024-05-21T00:00:00"/>
    <b v="1"/>
    <x v="1"/>
    <s v="Wants-based"/>
    <s v="Express"/>
    <n v="3"/>
  </r>
  <r>
    <x v="377"/>
    <x v="377"/>
    <x v="29"/>
    <x v="1"/>
    <x v="1"/>
    <x v="1"/>
    <x v="0"/>
    <x v="1"/>
    <x v="1"/>
    <x v="369"/>
    <s v="Itagua"/>
    <s v="Itaguaأ­"/>
    <s v="Gardening &amp; Outdoors"/>
    <n v="222.63"/>
    <n v="3"/>
    <s v="Mixed"/>
    <x v="3"/>
    <n v="1"/>
    <n v="0"/>
    <s v="Medium"/>
    <s v="Somewhat Sensitive"/>
    <n v="2"/>
    <n v="2"/>
    <s v="None"/>
    <s v="Tablet"/>
    <s v="Cash"/>
    <d v="2024-03-23T00:00:00"/>
    <b v="0"/>
    <x v="1"/>
    <s v="Impulsive"/>
    <s v="Express"/>
    <n v="6"/>
  </r>
  <r>
    <x v="378"/>
    <x v="378"/>
    <x v="29"/>
    <x v="1"/>
    <x v="1"/>
    <x v="1"/>
    <x v="0"/>
    <x v="1"/>
    <x v="1"/>
    <x v="370"/>
    <s v="Fteli"/>
    <s v="Fteliأ،"/>
    <s v="Toys &amp; Games"/>
    <n v="71.95"/>
    <n v="2"/>
    <s v="Mixed"/>
    <x v="1"/>
    <n v="5"/>
    <n v="2"/>
    <s v="None"/>
    <s v="Very Sensitive"/>
    <n v="2"/>
    <n v="10"/>
    <s v="None"/>
    <s v="Desktop"/>
    <s v="Debit Card"/>
    <d v="2024-09-22T00:00:00"/>
    <b v="0"/>
    <x v="1"/>
    <s v="Planned"/>
    <s v="No Preference"/>
    <n v="13"/>
  </r>
  <r>
    <x v="379"/>
    <x v="379"/>
    <x v="6"/>
    <x v="1"/>
    <x v="1"/>
    <x v="1"/>
    <x v="3"/>
    <x v="1"/>
    <x v="0"/>
    <x v="371"/>
    <s v="Kiambu"/>
    <s v="Kiambu"/>
    <s v="Software &amp; Apps"/>
    <n v="264.52"/>
    <n v="9"/>
    <s v="Online"/>
    <x v="1"/>
    <n v="3"/>
    <n v="1"/>
    <s v="None"/>
    <s v="Not Sensitive"/>
    <n v="0"/>
    <n v="10"/>
    <s v="None"/>
    <s v="Smartphone"/>
    <s v="Debit Card"/>
    <d v="2024-04-02T00:00:00"/>
    <b v="1"/>
    <x v="1"/>
    <s v="Planned"/>
    <s v="No Preference"/>
    <n v="6"/>
  </r>
  <r>
    <x v="380"/>
    <x v="380"/>
    <x v="20"/>
    <x v="1"/>
    <x v="1"/>
    <x v="1"/>
    <x v="3"/>
    <x v="1"/>
    <x v="1"/>
    <x v="372"/>
    <s v="Xibr-Murriz"/>
    <s v="Xibأ«r-Murrizأ«"/>
    <s v="Food &amp; Beverages"/>
    <n v="414.8"/>
    <n v="9"/>
    <s v="Mixed"/>
    <x v="2"/>
    <n v="3"/>
    <n v="2"/>
    <s v="Low"/>
    <s v="Very Sensitive"/>
    <n v="2"/>
    <n v="9"/>
    <s v="None"/>
    <s v="Desktop"/>
    <s v="PayPal"/>
    <d v="2024-01-30T00:00:00"/>
    <b v="0"/>
    <x v="1"/>
    <s v="Planned"/>
    <s v="No Preference"/>
    <n v="7"/>
  </r>
  <r>
    <x v="381"/>
    <x v="381"/>
    <x v="17"/>
    <x v="1"/>
    <x v="1"/>
    <x v="0"/>
    <x v="1"/>
    <x v="0"/>
    <x v="1"/>
    <x v="373"/>
    <s v="Xudat"/>
    <s v="Xudat"/>
    <s v="Groceries"/>
    <n v="50.79"/>
    <n v="12"/>
    <s v="Mixed"/>
    <x v="0"/>
    <n v="1"/>
    <n v="0"/>
    <s v="Medium"/>
    <s v="Somewhat Sensitive"/>
    <n v="0"/>
    <n v="2"/>
    <s v="Medium"/>
    <s v="Desktop"/>
    <s v="Other"/>
    <d v="2024-05-28T00:00:00"/>
    <b v="1"/>
    <x v="0"/>
    <s v="Planned"/>
    <s v="Standard"/>
    <n v="3"/>
  </r>
  <r>
    <x v="382"/>
    <x v="382"/>
    <x v="21"/>
    <x v="0"/>
    <x v="0"/>
    <x v="0"/>
    <x v="0"/>
    <x v="1"/>
    <x v="0"/>
    <x v="374"/>
    <s v="Yaodu"/>
    <s v="Yaodu"/>
    <s v="Hotels"/>
    <n v="264.3"/>
    <n v="10"/>
    <s v="In-Store"/>
    <x v="0"/>
    <n v="4"/>
    <n v="1"/>
    <s v="Low"/>
    <s v="Not Sensitive"/>
    <n v="2"/>
    <n v="2"/>
    <s v="High"/>
    <s v="Smartphone"/>
    <s v="PayPal"/>
    <d v="2024-08-20T00:00:00"/>
    <b v="1"/>
    <x v="1"/>
    <s v="Planned"/>
    <s v="No Preference"/>
    <n v="5"/>
  </r>
  <r>
    <x v="383"/>
    <x v="383"/>
    <x v="3"/>
    <x v="1"/>
    <x v="1"/>
    <x v="1"/>
    <x v="0"/>
    <x v="0"/>
    <x v="0"/>
    <x v="375"/>
    <s v="Saint-Gratien"/>
    <s v="Saint-Gratien"/>
    <s v="Animal Feed"/>
    <n v="122.46"/>
    <n v="12"/>
    <s v="Mixed"/>
    <x v="2"/>
    <n v="3"/>
    <n v="0"/>
    <s v="High"/>
    <s v="Not Sensitive"/>
    <n v="0"/>
    <n v="3"/>
    <s v="Low"/>
    <s v="Tablet"/>
    <s v="Credit Card"/>
    <d v="2024-02-15T00:00:00"/>
    <b v="0"/>
    <x v="1"/>
    <s v="Wants-based"/>
    <s v="Standard"/>
    <n v="6"/>
  </r>
  <r>
    <x v="384"/>
    <x v="384"/>
    <x v="28"/>
    <x v="1"/>
    <x v="1"/>
    <x v="0"/>
    <x v="2"/>
    <x v="1"/>
    <x v="0"/>
    <x v="376"/>
    <s v="Totora"/>
    <s v="Totora"/>
    <s v="Software &amp; Apps"/>
    <n v="238.01"/>
    <n v="8"/>
    <s v="In-Store"/>
    <x v="2"/>
    <n v="2"/>
    <n v="0"/>
    <s v="High"/>
    <s v="Somewhat Sensitive"/>
    <n v="0"/>
    <n v="9"/>
    <s v="Low"/>
    <s v="Desktop"/>
    <s v="Cash"/>
    <d v="2024-07-13T00:00:00"/>
    <b v="0"/>
    <x v="1"/>
    <s v="Need-based"/>
    <s v="Standard"/>
    <n v="5"/>
  </r>
  <r>
    <x v="385"/>
    <x v="385"/>
    <x v="13"/>
    <x v="2"/>
    <x v="4"/>
    <x v="1"/>
    <x v="0"/>
    <x v="2"/>
    <x v="0"/>
    <x v="377"/>
    <s v="Gteborg"/>
    <s v="Gأ¶teborg"/>
    <s v="Home Appliances"/>
    <n v="490.34"/>
    <n v="4"/>
    <s v="In-Store"/>
    <x v="0"/>
    <n v="2"/>
    <n v="2"/>
    <s v="None"/>
    <s v="Not Sensitive"/>
    <n v="2"/>
    <n v="7"/>
    <s v="High"/>
    <s v="Tablet"/>
    <s v="Other"/>
    <d v="2024-04-17T00:00:00"/>
    <b v="0"/>
    <x v="1"/>
    <s v="Need-based"/>
    <s v="No Preference"/>
    <n v="2"/>
  </r>
  <r>
    <x v="386"/>
    <x v="386"/>
    <x v="9"/>
    <x v="1"/>
    <x v="1"/>
    <x v="1"/>
    <x v="3"/>
    <x v="0"/>
    <x v="0"/>
    <x v="378"/>
    <s v="slav"/>
    <s v="ؤŒأ،slav"/>
    <s v="Jewelry &amp; Accessories"/>
    <n v="245.98"/>
    <n v="4"/>
    <s v="Mixed"/>
    <x v="0"/>
    <n v="1"/>
    <n v="1"/>
    <s v="High"/>
    <s v="Not Sensitive"/>
    <n v="0"/>
    <n v="1"/>
    <s v="Medium"/>
    <s v="Desktop"/>
    <s v="PayPal"/>
    <d v="2024-11-29T00:00:00"/>
    <b v="0"/>
    <x v="0"/>
    <s v="Planned"/>
    <s v="Standard"/>
    <n v="10"/>
  </r>
  <r>
    <x v="387"/>
    <x v="387"/>
    <x v="5"/>
    <x v="2"/>
    <x v="5"/>
    <x v="0"/>
    <x v="2"/>
    <x v="1"/>
    <x v="1"/>
    <x v="379"/>
    <s v="Rudnogorsk"/>
    <s v="Rudnogorsk"/>
    <s v="Hotels"/>
    <n v="390.83"/>
    <n v="9"/>
    <s v="Online"/>
    <x v="0"/>
    <n v="5"/>
    <n v="0"/>
    <s v="Medium"/>
    <s v="Somewhat Sensitive"/>
    <n v="0"/>
    <n v="5"/>
    <s v="High"/>
    <s v="Desktop"/>
    <s v="Cash"/>
    <d v="2024-10-28T00:00:00"/>
    <b v="0"/>
    <x v="1"/>
    <s v="Impulsive"/>
    <s v="No Preference"/>
    <n v="8"/>
  </r>
  <r>
    <x v="388"/>
    <x v="388"/>
    <x v="1"/>
    <x v="1"/>
    <x v="1"/>
    <x v="1"/>
    <x v="2"/>
    <x v="1"/>
    <x v="0"/>
    <x v="380"/>
    <s v="Pindiga"/>
    <s v="Pindiga"/>
    <s v="Jewelry &amp; Accessories"/>
    <n v="158.84"/>
    <n v="6"/>
    <s v="Online"/>
    <x v="2"/>
    <n v="1"/>
    <n v="1"/>
    <s v="None"/>
    <s v="Not Sensitive"/>
    <n v="1"/>
    <n v="8"/>
    <s v="Low"/>
    <s v="Desktop"/>
    <s v="Cash"/>
    <d v="2024-07-12T00:00:00"/>
    <b v="1"/>
    <x v="1"/>
    <s v="Need-based"/>
    <s v="Express"/>
    <n v="5"/>
  </r>
  <r>
    <x v="389"/>
    <x v="389"/>
    <x v="14"/>
    <x v="1"/>
    <x v="1"/>
    <x v="0"/>
    <x v="1"/>
    <x v="1"/>
    <x v="0"/>
    <x v="381"/>
    <s v="Adela"/>
    <s v="Adela"/>
    <s v="Baby Products"/>
    <n v="439.24"/>
    <n v="8"/>
    <s v="Mixed"/>
    <x v="1"/>
    <n v="3"/>
    <n v="1"/>
    <s v="High"/>
    <s v="Somewhat Sensitive"/>
    <n v="2"/>
    <n v="9"/>
    <s v="Medium"/>
    <s v="Tablet"/>
    <s v="Other"/>
    <d v="2024-07-26T00:00:00"/>
    <b v="0"/>
    <x v="0"/>
    <s v="Wants-based"/>
    <s v="Standard"/>
    <n v="10"/>
  </r>
  <r>
    <x v="390"/>
    <x v="390"/>
    <x v="25"/>
    <x v="2"/>
    <x v="5"/>
    <x v="0"/>
    <x v="2"/>
    <x v="2"/>
    <x v="1"/>
    <x v="382"/>
    <s v="Krajan Baru"/>
    <s v="Krajan Baru"/>
    <s v="Toys &amp; Games"/>
    <n v="92.43"/>
    <n v="12"/>
    <s v="Mixed"/>
    <x v="4"/>
    <n v="1"/>
    <n v="0"/>
    <s v="Medium"/>
    <s v="Somewhat Sensitive"/>
    <n v="2"/>
    <n v="9"/>
    <s v="None"/>
    <s v="Smartphone"/>
    <s v="Other"/>
    <d v="2024-12-05T00:00:00"/>
    <b v="0"/>
    <x v="1"/>
    <s v="Need-based"/>
    <s v="Standard"/>
    <n v="6"/>
  </r>
  <r>
    <x v="391"/>
    <x v="391"/>
    <x v="18"/>
    <x v="0"/>
    <x v="0"/>
    <x v="1"/>
    <x v="0"/>
    <x v="2"/>
    <x v="0"/>
    <x v="383"/>
    <s v="Jinqiao"/>
    <s v="Jinqiao"/>
    <s v="Clothing"/>
    <n v="333.15"/>
    <n v="9"/>
    <s v="Mixed"/>
    <x v="3"/>
    <n v="5"/>
    <n v="1"/>
    <s v="High"/>
    <s v="Very Sensitive"/>
    <n v="1"/>
    <n v="8"/>
    <s v="High"/>
    <s v="Smartphone"/>
    <s v="Other"/>
    <d v="2024-08-12T00:00:00"/>
    <b v="0"/>
    <x v="0"/>
    <s v="Impulsive"/>
    <s v="Standard"/>
    <n v="14"/>
  </r>
  <r>
    <x v="392"/>
    <x v="392"/>
    <x v="24"/>
    <x v="1"/>
    <x v="1"/>
    <x v="0"/>
    <x v="3"/>
    <x v="2"/>
    <x v="0"/>
    <x v="384"/>
    <s v="Barge Mat"/>
    <s v="Barg-e Matؤپl"/>
    <s v="Luxury Goods"/>
    <n v="64.22"/>
    <n v="9"/>
    <s v="Online"/>
    <x v="3"/>
    <n v="1"/>
    <n v="2"/>
    <s v="High"/>
    <s v="Somewhat Sensitive"/>
    <n v="1"/>
    <n v="9"/>
    <s v="Medium"/>
    <s v="Smartphone"/>
    <s v="PayPal"/>
    <d v="2024-01-02T00:00:00"/>
    <b v="1"/>
    <x v="0"/>
    <s v="Impulsive"/>
    <s v="No Preference"/>
    <n v="10"/>
  </r>
  <r>
    <x v="393"/>
    <x v="393"/>
    <x v="19"/>
    <x v="0"/>
    <x v="0"/>
    <x v="1"/>
    <x v="1"/>
    <x v="1"/>
    <x v="1"/>
    <x v="385"/>
    <s v="Argenteuil"/>
    <s v="Argenteuil"/>
    <s v="Home Appliances"/>
    <n v="290.52999999999997"/>
    <n v="3"/>
    <s v="Online"/>
    <x v="1"/>
    <n v="2"/>
    <n v="1"/>
    <s v="Low"/>
    <s v="Very Sensitive"/>
    <n v="0"/>
    <n v="6"/>
    <s v="High"/>
    <s v="Desktop"/>
    <s v="Debit Card"/>
    <d v="2024-11-04T00:00:00"/>
    <b v="1"/>
    <x v="0"/>
    <s v="Planned"/>
    <s v="No Preference"/>
    <n v="10"/>
  </r>
  <r>
    <x v="394"/>
    <x v="394"/>
    <x v="7"/>
    <x v="1"/>
    <x v="1"/>
    <x v="0"/>
    <x v="3"/>
    <x v="0"/>
    <x v="1"/>
    <x v="386"/>
    <s v="Daying"/>
    <s v="Daying"/>
    <s v="Baby Products"/>
    <n v="251.8"/>
    <n v="6"/>
    <s v="Mixed"/>
    <x v="0"/>
    <n v="1"/>
    <n v="2"/>
    <s v="High"/>
    <s v="Very Sensitive"/>
    <n v="1"/>
    <n v="8"/>
    <s v="Low"/>
    <s v="Smartphone"/>
    <s v="Debit Card"/>
    <d v="2024-07-05T00:00:00"/>
    <b v="1"/>
    <x v="1"/>
    <s v="Impulsive"/>
    <s v="No Preference"/>
    <n v="11"/>
  </r>
  <r>
    <x v="395"/>
    <x v="395"/>
    <x v="23"/>
    <x v="2"/>
    <x v="5"/>
    <x v="0"/>
    <x v="3"/>
    <x v="2"/>
    <x v="0"/>
    <x v="387"/>
    <s v="Ngrejo"/>
    <s v="Ngrejo"/>
    <s v="Sports &amp; Outdoors"/>
    <n v="480.52"/>
    <n v="3"/>
    <s v="Online"/>
    <x v="0"/>
    <n v="4"/>
    <n v="2"/>
    <s v="Low"/>
    <s v="Somewhat Sensitive"/>
    <n v="1"/>
    <n v="5"/>
    <s v="None"/>
    <s v="Smartphone"/>
    <s v="Cash"/>
    <d v="2024-04-30T00:00:00"/>
    <b v="0"/>
    <x v="0"/>
    <s v="Planned"/>
    <s v="No Preference"/>
    <n v="13"/>
  </r>
  <r>
    <x v="396"/>
    <x v="396"/>
    <x v="31"/>
    <x v="0"/>
    <x v="0"/>
    <x v="0"/>
    <x v="0"/>
    <x v="1"/>
    <x v="1"/>
    <x v="388"/>
    <s v="Xieba"/>
    <s v="Xieba"/>
    <s v="Packages)"/>
    <n v="461.71"/>
    <n v="10"/>
    <s v="Mixed"/>
    <x v="1"/>
    <n v="1"/>
    <n v="0"/>
    <s v="Low"/>
    <s v="Not Sensitive"/>
    <n v="0"/>
    <n v="9"/>
    <s v="High"/>
    <s v="Smartphone"/>
    <s v="Cash"/>
    <d v="2024-02-16T00:00:00"/>
    <b v="0"/>
    <x v="0"/>
    <s v="Planned"/>
    <s v="Standard"/>
    <n v="11"/>
  </r>
  <r>
    <x v="397"/>
    <x v="397"/>
    <x v="17"/>
    <x v="0"/>
    <x v="0"/>
    <x v="1"/>
    <x v="0"/>
    <x v="1"/>
    <x v="0"/>
    <x v="389"/>
    <s v="Sigli"/>
    <s v="Sigli"/>
    <s v="Software &amp; Apps"/>
    <n v="288.33999999999997"/>
    <n v="12"/>
    <s v="Mixed"/>
    <x v="0"/>
    <n v="2"/>
    <n v="2"/>
    <s v="None"/>
    <s v="Very Sensitive"/>
    <n v="0"/>
    <n v="8"/>
    <s v="Low"/>
    <s v="Tablet"/>
    <s v="Cash"/>
    <d v="2024-03-20T00:00:00"/>
    <b v="0"/>
    <x v="0"/>
    <s v="Need-based"/>
    <s v="Express"/>
    <n v="6"/>
  </r>
  <r>
    <x v="398"/>
    <x v="398"/>
    <x v="24"/>
    <x v="0"/>
    <x v="0"/>
    <x v="1"/>
    <x v="3"/>
    <x v="0"/>
    <x v="1"/>
    <x v="390"/>
    <s v="Aristbulo del Valle"/>
    <s v="Aristأ³bulo del Valle"/>
    <s v="Gardening &amp; Outdoors"/>
    <n v="194.08"/>
    <n v="3"/>
    <s v="In-Store"/>
    <x v="0"/>
    <n v="5"/>
    <n v="1"/>
    <s v="Low"/>
    <s v="Not Sensitive"/>
    <n v="0"/>
    <n v="2"/>
    <s v="None"/>
    <s v="Smartphone"/>
    <s v="PayPal"/>
    <d v="2024-10-27T00:00:00"/>
    <b v="1"/>
    <x v="1"/>
    <s v="Wants-based"/>
    <s v="Standard"/>
    <n v="13"/>
  </r>
  <r>
    <x v="399"/>
    <x v="399"/>
    <x v="23"/>
    <x v="2"/>
    <x v="6"/>
    <x v="0"/>
    <x v="2"/>
    <x v="1"/>
    <x v="1"/>
    <x v="391"/>
    <s v="Cane"/>
    <s v="Cane"/>
    <s v="Travel &amp; Leisure (Flights"/>
    <n v="198.45"/>
    <n v="11"/>
    <s v="Online"/>
    <x v="1"/>
    <n v="5"/>
    <n v="1"/>
    <s v="High"/>
    <s v="Not Sensitive"/>
    <n v="2"/>
    <n v="8"/>
    <s v="High"/>
    <s v="Tablet"/>
    <s v="PayPal"/>
    <d v="2024-05-04T00:00:00"/>
    <b v="1"/>
    <x v="0"/>
    <s v="Wants-based"/>
    <s v="No Preference"/>
    <n v="5"/>
  </r>
  <r>
    <x v="400"/>
    <x v="400"/>
    <x v="25"/>
    <x v="1"/>
    <x v="1"/>
    <x v="1"/>
    <x v="0"/>
    <x v="2"/>
    <x v="0"/>
    <x v="392"/>
    <s v="Podhum"/>
    <s v="Podhum"/>
    <s v="Baby Products"/>
    <n v="216.45"/>
    <n v="5"/>
    <s v="Mixed"/>
    <x v="0"/>
    <n v="2"/>
    <n v="0"/>
    <s v="Medium"/>
    <s v="Very Sensitive"/>
    <n v="2"/>
    <n v="7"/>
    <s v="Low"/>
    <s v="Tablet"/>
    <s v="Credit Card"/>
    <d v="2024-10-31T00:00:00"/>
    <b v="0"/>
    <x v="0"/>
    <s v="Need-based"/>
    <s v="No Preference"/>
    <n v="3"/>
  </r>
  <r>
    <x v="401"/>
    <x v="401"/>
    <x v="24"/>
    <x v="0"/>
    <x v="0"/>
    <x v="1"/>
    <x v="2"/>
    <x v="0"/>
    <x v="1"/>
    <x v="393"/>
    <s v="Vilar"/>
    <s v="Vilar"/>
    <s v="Baby Products"/>
    <n v="358.72"/>
    <n v="5"/>
    <s v="In-Store"/>
    <x v="1"/>
    <n v="5"/>
    <n v="1"/>
    <s v="Low"/>
    <s v="Very Sensitive"/>
    <n v="0"/>
    <n v="8"/>
    <s v="Low"/>
    <s v="Tablet"/>
    <s v="Credit Card"/>
    <d v="2024-02-06T00:00:00"/>
    <b v="1"/>
    <x v="1"/>
    <s v="Impulsive"/>
    <s v="Standard"/>
    <n v="12"/>
  </r>
  <r>
    <x v="402"/>
    <x v="402"/>
    <x v="0"/>
    <x v="0"/>
    <x v="0"/>
    <x v="0"/>
    <x v="2"/>
    <x v="0"/>
    <x v="1"/>
    <x v="394"/>
    <s v="Portela"/>
    <s v="Portela"/>
    <s v="Luxury Goods"/>
    <n v="367.56"/>
    <n v="9"/>
    <s v="Online"/>
    <x v="4"/>
    <n v="5"/>
    <n v="1"/>
    <s v="None"/>
    <s v="Not Sensitive"/>
    <n v="0"/>
    <n v="8"/>
    <s v="Low"/>
    <s v="Smartphone"/>
    <s v="Other"/>
    <d v="2024-07-18T00:00:00"/>
    <b v="0"/>
    <x v="0"/>
    <s v="Need-based"/>
    <s v="Standard"/>
    <n v="14"/>
  </r>
  <r>
    <x v="403"/>
    <x v="403"/>
    <x v="13"/>
    <x v="1"/>
    <x v="1"/>
    <x v="0"/>
    <x v="3"/>
    <x v="1"/>
    <x v="1"/>
    <x v="395"/>
    <s v="Arendal"/>
    <s v="Arendal"/>
    <s v="Clothing"/>
    <n v="88.78"/>
    <n v="10"/>
    <s v="Online"/>
    <x v="0"/>
    <n v="3"/>
    <n v="0"/>
    <s v="High"/>
    <s v="Very Sensitive"/>
    <n v="1"/>
    <n v="7"/>
    <s v="Medium"/>
    <s v="Desktop"/>
    <s v="PayPal"/>
    <d v="2024-01-06T00:00:00"/>
    <b v="0"/>
    <x v="0"/>
    <s v="Planned"/>
    <s v="Standard"/>
    <n v="13"/>
  </r>
  <r>
    <x v="404"/>
    <x v="404"/>
    <x v="18"/>
    <x v="1"/>
    <x v="1"/>
    <x v="0"/>
    <x v="0"/>
    <x v="0"/>
    <x v="0"/>
    <x v="396"/>
    <s v="Nabnagar"/>
    <s v="Nabؤ«nagar"/>
    <s v="Food &amp; Beverages"/>
    <n v="465.85"/>
    <n v="10"/>
    <s v="Online"/>
    <x v="0"/>
    <n v="3"/>
    <n v="2"/>
    <s v="None"/>
    <s v="Somewhat Sensitive"/>
    <n v="2"/>
    <n v="10"/>
    <s v="Medium"/>
    <s v="Desktop"/>
    <s v="PayPal"/>
    <d v="2024-04-04T00:00:00"/>
    <b v="1"/>
    <x v="0"/>
    <s v="Wants-based"/>
    <s v="Standard"/>
    <n v="7"/>
  </r>
  <r>
    <x v="405"/>
    <x v="405"/>
    <x v="1"/>
    <x v="1"/>
    <x v="1"/>
    <x v="0"/>
    <x v="0"/>
    <x v="1"/>
    <x v="1"/>
    <x v="397"/>
    <s v="La Ravoire"/>
    <s v="La Ravoire"/>
    <s v="Clothing"/>
    <n v="262.61"/>
    <n v="3"/>
    <s v="In-Store"/>
    <x v="2"/>
    <n v="5"/>
    <n v="1"/>
    <s v="Medium"/>
    <s v="Somewhat Sensitive"/>
    <n v="0"/>
    <n v="10"/>
    <s v="Medium"/>
    <s v="Smartphone"/>
    <s v="Other"/>
    <d v="2024-02-28T00:00:00"/>
    <b v="0"/>
    <x v="1"/>
    <s v="Wants-based"/>
    <s v="Standard"/>
    <n v="6"/>
  </r>
  <r>
    <x v="406"/>
    <x v="406"/>
    <x v="5"/>
    <x v="2"/>
    <x v="6"/>
    <x v="0"/>
    <x v="2"/>
    <x v="2"/>
    <x v="0"/>
    <x v="398"/>
    <s v="Dostoyevka"/>
    <s v="Dostoyevka"/>
    <s v="Home Appliances"/>
    <n v="91.24"/>
    <n v="8"/>
    <s v="In-Store"/>
    <x v="4"/>
    <n v="3"/>
    <n v="0"/>
    <s v="High"/>
    <s v="Somewhat Sensitive"/>
    <n v="0"/>
    <n v="4"/>
    <s v="Low"/>
    <s v="Tablet"/>
    <s v="Cash"/>
    <d v="2024-10-28T00:00:00"/>
    <b v="1"/>
    <x v="0"/>
    <s v="Wants-based"/>
    <s v="Standard"/>
    <n v="4"/>
  </r>
  <r>
    <x v="407"/>
    <x v="407"/>
    <x v="21"/>
    <x v="0"/>
    <x v="0"/>
    <x v="1"/>
    <x v="0"/>
    <x v="1"/>
    <x v="1"/>
    <x v="399"/>
    <s v="Liuzhou"/>
    <s v="Liuzhou"/>
    <s v="Luxury Goods"/>
    <n v="425.69"/>
    <n v="5"/>
    <s v="In-Store"/>
    <x v="2"/>
    <n v="5"/>
    <n v="0"/>
    <s v="High"/>
    <s v="Very Sensitive"/>
    <n v="0"/>
    <n v="4"/>
    <s v="Medium"/>
    <s v="Tablet"/>
    <s v="Credit Card"/>
    <d v="2024-06-21T00:00:00"/>
    <b v="0"/>
    <x v="1"/>
    <s v="Impulsive"/>
    <s v="No Preference"/>
    <n v="4"/>
  </r>
  <r>
    <x v="408"/>
    <x v="408"/>
    <x v="30"/>
    <x v="0"/>
    <x v="0"/>
    <x v="1"/>
    <x v="0"/>
    <x v="0"/>
    <x v="1"/>
    <x v="400"/>
    <s v="So Mateus do Maranho"/>
    <s v="Sأ£o Mateus do Maranhأ£o"/>
    <s v="Packages)"/>
    <n v="446.11"/>
    <n v="9"/>
    <s v="Mixed"/>
    <x v="1"/>
    <n v="1"/>
    <n v="1"/>
    <s v="Medium"/>
    <s v="Very Sensitive"/>
    <n v="0"/>
    <n v="10"/>
    <s v="Medium"/>
    <s v="Desktop"/>
    <s v="PayPal"/>
    <d v="2024-06-06T00:00:00"/>
    <b v="1"/>
    <x v="1"/>
    <s v="Wants-based"/>
    <s v="Express"/>
    <n v="11"/>
  </r>
  <r>
    <x v="409"/>
    <x v="409"/>
    <x v="25"/>
    <x v="2"/>
    <x v="2"/>
    <x v="1"/>
    <x v="1"/>
    <x v="1"/>
    <x v="1"/>
    <x v="401"/>
    <s v="Rumbek"/>
    <s v="Rumbek"/>
    <s v="Software &amp; Apps"/>
    <n v="490.11"/>
    <n v="8"/>
    <s v="Online"/>
    <x v="1"/>
    <n v="4"/>
    <n v="2"/>
    <s v="Low"/>
    <s v="Not Sensitive"/>
    <n v="1"/>
    <n v="1"/>
    <s v="Low"/>
    <s v="Smartphone"/>
    <s v="Other"/>
    <d v="2024-12-24T00:00:00"/>
    <b v="0"/>
    <x v="0"/>
    <s v="Planned"/>
    <s v="Standard"/>
    <n v="14"/>
  </r>
  <r>
    <x v="410"/>
    <x v="410"/>
    <x v="32"/>
    <x v="0"/>
    <x v="0"/>
    <x v="1"/>
    <x v="3"/>
    <x v="1"/>
    <x v="0"/>
    <x v="402"/>
    <s v="Cigedang"/>
    <s v="Cigedang"/>
    <s v="Sports &amp; Outdoors"/>
    <n v="403.57"/>
    <n v="6"/>
    <s v="Online"/>
    <x v="2"/>
    <n v="2"/>
    <n v="2"/>
    <s v="High"/>
    <s v="Not Sensitive"/>
    <n v="2"/>
    <n v="2"/>
    <s v="None"/>
    <s v="Smartphone"/>
    <s v="Other"/>
    <d v="2024-11-14T00:00:00"/>
    <b v="0"/>
    <x v="0"/>
    <s v="Impulsive"/>
    <s v="Express"/>
    <n v="1"/>
  </r>
  <r>
    <x v="411"/>
    <x v="411"/>
    <x v="21"/>
    <x v="0"/>
    <x v="0"/>
    <x v="1"/>
    <x v="0"/>
    <x v="0"/>
    <x v="0"/>
    <x v="403"/>
    <s v="Muaralabuh"/>
    <s v="Muaralabuh"/>
    <s v="Packages)"/>
    <n v="442.15"/>
    <n v="10"/>
    <s v="Mixed"/>
    <x v="2"/>
    <n v="3"/>
    <n v="1"/>
    <s v="High"/>
    <s v="Not Sensitive"/>
    <n v="2"/>
    <n v="1"/>
    <s v="None"/>
    <s v="Smartphone"/>
    <s v="Credit Card"/>
    <d v="2024-12-18T00:00:00"/>
    <b v="0"/>
    <x v="1"/>
    <s v="Need-based"/>
    <s v="No Preference"/>
    <n v="9"/>
  </r>
  <r>
    <x v="412"/>
    <x v="412"/>
    <x v="1"/>
    <x v="0"/>
    <x v="0"/>
    <x v="0"/>
    <x v="2"/>
    <x v="0"/>
    <x v="1"/>
    <x v="404"/>
    <s v="Chemiec"/>
    <s v="Cheإ‚miec"/>
    <s v="Sports &amp; Outdoors"/>
    <n v="78.709999999999994"/>
    <n v="5"/>
    <s v="Online"/>
    <x v="4"/>
    <n v="3"/>
    <n v="1"/>
    <s v="None"/>
    <s v="Somewhat Sensitive"/>
    <n v="1"/>
    <n v="10"/>
    <s v="Low"/>
    <s v="Smartphone"/>
    <s v="PayPal"/>
    <d v="2024-04-10T00:00:00"/>
    <b v="1"/>
    <x v="1"/>
    <s v="Planned"/>
    <s v="No Preference"/>
    <n v="4"/>
  </r>
  <r>
    <x v="413"/>
    <x v="413"/>
    <x v="5"/>
    <x v="0"/>
    <x v="0"/>
    <x v="0"/>
    <x v="2"/>
    <x v="1"/>
    <x v="1"/>
    <x v="405"/>
    <s v="Santa Marta"/>
    <s v="Santa Marta"/>
    <s v="Furniture"/>
    <n v="491.51"/>
    <n v="2"/>
    <s v="Mixed"/>
    <x v="2"/>
    <n v="5"/>
    <n v="0"/>
    <s v="Medium"/>
    <s v="Very Sensitive"/>
    <n v="1"/>
    <n v="1"/>
    <s v="High"/>
    <s v="Smartphone"/>
    <s v="PayPal"/>
    <d v="2024-12-06T00:00:00"/>
    <b v="1"/>
    <x v="0"/>
    <s v="Need-based"/>
    <s v="No Preference"/>
    <n v="7"/>
  </r>
  <r>
    <x v="414"/>
    <x v="414"/>
    <x v="15"/>
    <x v="0"/>
    <x v="0"/>
    <x v="0"/>
    <x v="1"/>
    <x v="0"/>
    <x v="0"/>
    <x v="406"/>
    <s v="Brnd"/>
    <s v="Brأ¤ndأ¶"/>
    <s v="Furniture"/>
    <n v="457.39"/>
    <n v="12"/>
    <s v="In-Store"/>
    <x v="3"/>
    <n v="1"/>
    <n v="1"/>
    <s v="High"/>
    <s v="Not Sensitive"/>
    <n v="1"/>
    <n v="5"/>
    <s v="High"/>
    <s v="Desktop"/>
    <s v="Credit Card"/>
    <d v="2024-10-29T00:00:00"/>
    <b v="1"/>
    <x v="0"/>
    <s v="Impulsive"/>
    <s v="Standard"/>
    <n v="9"/>
  </r>
  <r>
    <x v="415"/>
    <x v="415"/>
    <x v="9"/>
    <x v="0"/>
    <x v="0"/>
    <x v="1"/>
    <x v="3"/>
    <x v="1"/>
    <x v="1"/>
    <x v="407"/>
    <s v="Liangshuihe"/>
    <s v="Liangshuihe"/>
    <s v="Food &amp; Beverages"/>
    <n v="178.61"/>
    <n v="12"/>
    <s v="Online"/>
    <x v="0"/>
    <n v="1"/>
    <n v="2"/>
    <s v="High"/>
    <s v="Not Sensitive"/>
    <n v="0"/>
    <n v="3"/>
    <s v="None"/>
    <s v="Smartphone"/>
    <s v="Credit Card"/>
    <d v="2024-07-10T00:00:00"/>
    <b v="1"/>
    <x v="0"/>
    <s v="Impulsive"/>
    <s v="No Preference"/>
    <n v="8"/>
  </r>
  <r>
    <x v="416"/>
    <x v="416"/>
    <x v="32"/>
    <x v="1"/>
    <x v="1"/>
    <x v="0"/>
    <x v="1"/>
    <x v="1"/>
    <x v="0"/>
    <x v="408"/>
    <s v="Cimara"/>
    <s v="Cimara"/>
    <s v="Health Care"/>
    <n v="492.51"/>
    <n v="7"/>
    <s v="Online"/>
    <x v="3"/>
    <n v="4"/>
    <n v="1"/>
    <s v="Low"/>
    <s v="Not Sensitive"/>
    <n v="0"/>
    <n v="2"/>
    <s v="Medium"/>
    <s v="Desktop"/>
    <s v="PayPal"/>
    <d v="2024-01-30T00:00:00"/>
    <b v="1"/>
    <x v="1"/>
    <s v="Wants-based"/>
    <s v="Standard"/>
    <n v="4"/>
  </r>
  <r>
    <x v="417"/>
    <x v="417"/>
    <x v="14"/>
    <x v="2"/>
    <x v="6"/>
    <x v="1"/>
    <x v="0"/>
    <x v="0"/>
    <x v="1"/>
    <x v="409"/>
    <s v="Sanxing"/>
    <s v="Sanxing"/>
    <s v="Home Appliances"/>
    <n v="411.4"/>
    <n v="3"/>
    <s v="In-Store"/>
    <x v="3"/>
    <n v="3"/>
    <n v="0"/>
    <s v="High"/>
    <s v="Somewhat Sensitive"/>
    <n v="2"/>
    <n v="9"/>
    <s v="None"/>
    <s v="Smartphone"/>
    <s v="PayPal"/>
    <d v="2024-08-12T00:00:00"/>
    <b v="1"/>
    <x v="0"/>
    <s v="Impulsive"/>
    <s v="Standard"/>
    <n v="6"/>
  </r>
  <r>
    <x v="418"/>
    <x v="418"/>
    <x v="15"/>
    <x v="1"/>
    <x v="1"/>
    <x v="0"/>
    <x v="3"/>
    <x v="2"/>
    <x v="1"/>
    <x v="410"/>
    <s v="Linao"/>
    <s v="Linao"/>
    <s v="Clothing"/>
    <n v="96.52"/>
    <n v="11"/>
    <s v="In-Store"/>
    <x v="0"/>
    <n v="3"/>
    <n v="2"/>
    <s v="Low"/>
    <s v="Not Sensitive"/>
    <n v="1"/>
    <n v="3"/>
    <s v="None"/>
    <s v="Tablet"/>
    <s v="Cash"/>
    <d v="2024-03-17T00:00:00"/>
    <b v="0"/>
    <x v="0"/>
    <s v="Planned"/>
    <s v="Standard"/>
    <n v="11"/>
  </r>
  <r>
    <x v="419"/>
    <x v="419"/>
    <x v="10"/>
    <x v="1"/>
    <x v="1"/>
    <x v="1"/>
    <x v="0"/>
    <x v="1"/>
    <x v="0"/>
    <x v="411"/>
    <s v="Bairan"/>
    <s v="Bairan"/>
    <s v="Mobile Accessories"/>
    <n v="65.45"/>
    <n v="6"/>
    <s v="In-Store"/>
    <x v="2"/>
    <n v="4"/>
    <n v="1"/>
    <s v="High"/>
    <s v="Very Sensitive"/>
    <n v="0"/>
    <n v="2"/>
    <s v="Medium"/>
    <s v="Smartphone"/>
    <s v="Credit Card"/>
    <d v="2024-09-21T00:00:00"/>
    <b v="1"/>
    <x v="1"/>
    <s v="Impulsive"/>
    <s v="No Preference"/>
    <n v="3"/>
  </r>
  <r>
    <x v="420"/>
    <x v="420"/>
    <x v="25"/>
    <x v="1"/>
    <x v="1"/>
    <x v="0"/>
    <x v="1"/>
    <x v="1"/>
    <x v="0"/>
    <x v="412"/>
    <s v="Abaetetuba"/>
    <s v="Abaetetuba"/>
    <s v="Health Care"/>
    <n v="255.86"/>
    <n v="3"/>
    <s v="Online"/>
    <x v="4"/>
    <n v="5"/>
    <n v="2"/>
    <s v="High"/>
    <s v="Very Sensitive"/>
    <n v="0"/>
    <n v="1"/>
    <s v="Low"/>
    <s v="Tablet"/>
    <s v="PayPal"/>
    <d v="2024-03-25T00:00:00"/>
    <b v="1"/>
    <x v="0"/>
    <s v="Planned"/>
    <s v="No Preference"/>
    <n v="4"/>
  </r>
  <r>
    <x v="421"/>
    <x v="421"/>
    <x v="22"/>
    <x v="1"/>
    <x v="1"/>
    <x v="1"/>
    <x v="3"/>
    <x v="0"/>
    <x v="1"/>
    <x v="413"/>
    <s v="Pasirjaya"/>
    <s v="Pasirjaya"/>
    <s v="Furniture"/>
    <n v="74.69"/>
    <n v="10"/>
    <s v="In-Store"/>
    <x v="0"/>
    <n v="3"/>
    <n v="1"/>
    <s v="Low"/>
    <s v="Somewhat Sensitive"/>
    <n v="0"/>
    <n v="6"/>
    <s v="Medium"/>
    <s v="Desktop"/>
    <s v="PayPal"/>
    <d v="2024-11-12T00:00:00"/>
    <b v="0"/>
    <x v="1"/>
    <s v="Need-based"/>
    <s v="No Preference"/>
    <n v="3"/>
  </r>
  <r>
    <x v="422"/>
    <x v="422"/>
    <x v="5"/>
    <x v="1"/>
    <x v="1"/>
    <x v="0"/>
    <x v="2"/>
    <x v="2"/>
    <x v="0"/>
    <x v="414"/>
    <s v="Acheng"/>
    <s v="Acheng"/>
    <s v="Home Appliances"/>
    <n v="430.75"/>
    <n v="8"/>
    <s v="Mixed"/>
    <x v="1"/>
    <n v="4"/>
    <n v="2"/>
    <s v="Low"/>
    <s v="Very Sensitive"/>
    <n v="1"/>
    <n v="5"/>
    <s v="None"/>
    <s v="Tablet"/>
    <s v="Cash"/>
    <d v="2024-04-06T00:00:00"/>
    <b v="0"/>
    <x v="0"/>
    <s v="Need-based"/>
    <s v="No Preference"/>
    <n v="6"/>
  </r>
  <r>
    <x v="423"/>
    <x v="423"/>
    <x v="9"/>
    <x v="1"/>
    <x v="1"/>
    <x v="1"/>
    <x v="2"/>
    <x v="2"/>
    <x v="1"/>
    <x v="415"/>
    <s v="Huakoulongtan"/>
    <s v="Huakoulongtan"/>
    <s v="Software &amp; Apps"/>
    <n v="370.17"/>
    <n v="2"/>
    <s v="Mixed"/>
    <x v="0"/>
    <n v="4"/>
    <n v="2"/>
    <s v="Medium"/>
    <s v="Not Sensitive"/>
    <n v="1"/>
    <n v="9"/>
    <s v="Low"/>
    <s v="Tablet"/>
    <s v="Cash"/>
    <d v="2024-11-23T00:00:00"/>
    <b v="0"/>
    <x v="1"/>
    <s v="Need-based"/>
    <s v="Express"/>
    <n v="1"/>
  </r>
  <r>
    <x v="424"/>
    <x v="424"/>
    <x v="8"/>
    <x v="1"/>
    <x v="1"/>
    <x v="0"/>
    <x v="3"/>
    <x v="2"/>
    <x v="1"/>
    <x v="416"/>
    <s v="Burgastai"/>
    <s v="Burgastai"/>
    <s v="Electronics"/>
    <n v="384.26"/>
    <n v="6"/>
    <s v="Mixed"/>
    <x v="4"/>
    <n v="2"/>
    <n v="1"/>
    <s v="High"/>
    <s v="Not Sensitive"/>
    <n v="0"/>
    <n v="9"/>
    <s v="Medium"/>
    <s v="Smartphone"/>
    <s v="PayPal"/>
    <d v="2024-07-11T00:00:00"/>
    <b v="0"/>
    <x v="1"/>
    <s v="Need-based"/>
    <s v="No Preference"/>
    <n v="11"/>
  </r>
  <r>
    <x v="425"/>
    <x v="425"/>
    <x v="29"/>
    <x v="1"/>
    <x v="1"/>
    <x v="0"/>
    <x v="0"/>
    <x v="2"/>
    <x v="0"/>
    <x v="417"/>
    <s v="Chavarra"/>
    <s v="Chavarrأ­a"/>
    <s v="Home Appliances"/>
    <n v="128.01"/>
    <n v="2"/>
    <s v="Mixed"/>
    <x v="4"/>
    <n v="2"/>
    <n v="1"/>
    <s v="Medium"/>
    <s v="Somewhat Sensitive"/>
    <n v="0"/>
    <n v="1"/>
    <s v="High"/>
    <s v="Smartphone"/>
    <s v="Debit Card"/>
    <d v="2024-04-17T00:00:00"/>
    <b v="1"/>
    <x v="0"/>
    <s v="Need-based"/>
    <s v="No Preference"/>
    <n v="10"/>
  </r>
  <r>
    <x v="426"/>
    <x v="426"/>
    <x v="19"/>
    <x v="0"/>
    <x v="0"/>
    <x v="1"/>
    <x v="0"/>
    <x v="1"/>
    <x v="1"/>
    <x v="418"/>
    <s v="Demuk"/>
    <s v="Demuk"/>
    <s v="Luxury Goods"/>
    <n v="301.39999999999998"/>
    <n v="4"/>
    <s v="Online"/>
    <x v="0"/>
    <n v="3"/>
    <n v="0"/>
    <s v="Medium"/>
    <s v="Somewhat Sensitive"/>
    <n v="0"/>
    <n v="5"/>
    <s v="None"/>
    <s v="Desktop"/>
    <s v="Debit Card"/>
    <d v="2024-09-14T00:00:00"/>
    <b v="0"/>
    <x v="1"/>
    <s v="Planned"/>
    <s v="Standard"/>
    <n v="5"/>
  </r>
  <r>
    <x v="427"/>
    <x v="427"/>
    <x v="27"/>
    <x v="0"/>
    <x v="0"/>
    <x v="1"/>
    <x v="1"/>
    <x v="1"/>
    <x v="1"/>
    <x v="419"/>
    <s v="Sertolovo"/>
    <s v="Sertolovo"/>
    <s v="Health Supplements"/>
    <n v="397.25"/>
    <n v="6"/>
    <s v="Mixed"/>
    <x v="0"/>
    <n v="2"/>
    <n v="1"/>
    <s v="Low"/>
    <s v="Not Sensitive"/>
    <n v="1"/>
    <n v="10"/>
    <s v="None"/>
    <s v="Desktop"/>
    <s v="Cash"/>
    <d v="2024-08-08T00:00:00"/>
    <b v="0"/>
    <x v="1"/>
    <s v="Wants-based"/>
    <s v="No Preference"/>
    <n v="2"/>
  </r>
  <r>
    <x v="428"/>
    <x v="428"/>
    <x v="19"/>
    <x v="1"/>
    <x v="1"/>
    <x v="0"/>
    <x v="3"/>
    <x v="1"/>
    <x v="0"/>
    <x v="420"/>
    <s v="Jixian"/>
    <s v="Jixian"/>
    <s v="Gardening &amp; Outdoors"/>
    <n v="96.18"/>
    <n v="3"/>
    <s v="Mixed"/>
    <x v="1"/>
    <n v="4"/>
    <n v="0"/>
    <s v="None"/>
    <s v="Somewhat Sensitive"/>
    <n v="1"/>
    <n v="9"/>
    <s v="Medium"/>
    <s v="Smartphone"/>
    <s v="Cash"/>
    <d v="2024-05-05T00:00:00"/>
    <b v="0"/>
    <x v="0"/>
    <s v="Planned"/>
    <s v="Express"/>
    <n v="10"/>
  </r>
  <r>
    <x v="429"/>
    <x v="429"/>
    <x v="24"/>
    <x v="0"/>
    <x v="0"/>
    <x v="1"/>
    <x v="3"/>
    <x v="0"/>
    <x v="1"/>
    <x v="421"/>
    <s v="Deqing"/>
    <s v="Deqing"/>
    <s v="Baby Products"/>
    <n v="390.44"/>
    <n v="4"/>
    <s v="Mixed"/>
    <x v="0"/>
    <n v="1"/>
    <n v="0"/>
    <s v="Medium"/>
    <s v="Very Sensitive"/>
    <n v="0"/>
    <n v="4"/>
    <s v="High"/>
    <s v="Desktop"/>
    <s v="Other"/>
    <d v="2024-02-15T00:00:00"/>
    <b v="1"/>
    <x v="0"/>
    <s v="Need-based"/>
    <s v="Standard"/>
    <n v="4"/>
  </r>
  <r>
    <x v="430"/>
    <x v="430"/>
    <x v="14"/>
    <x v="0"/>
    <x v="0"/>
    <x v="0"/>
    <x v="1"/>
    <x v="0"/>
    <x v="0"/>
    <x v="422"/>
    <s v="Sala"/>
    <s v="Sala"/>
    <s v="Health Care"/>
    <n v="61.5"/>
    <n v="11"/>
    <s v="Mixed"/>
    <x v="4"/>
    <n v="2"/>
    <n v="0"/>
    <s v="Medium"/>
    <s v="Very Sensitive"/>
    <n v="0"/>
    <n v="1"/>
    <s v="High"/>
    <s v="Smartphone"/>
    <s v="Other"/>
    <d v="2024-01-26T00:00:00"/>
    <b v="1"/>
    <x v="1"/>
    <s v="Planned"/>
    <s v="Express"/>
    <n v="8"/>
  </r>
  <r>
    <x v="431"/>
    <x v="431"/>
    <x v="22"/>
    <x v="0"/>
    <x v="0"/>
    <x v="0"/>
    <x v="3"/>
    <x v="1"/>
    <x v="1"/>
    <x v="423"/>
    <s v="Dutw"/>
    <s v="Dإ‚utأ³w"/>
    <s v="Office Supplies"/>
    <n v="234.44"/>
    <n v="6"/>
    <s v="In-Store"/>
    <x v="1"/>
    <n v="5"/>
    <n v="2"/>
    <s v="Medium"/>
    <s v="Very Sensitive"/>
    <n v="0"/>
    <n v="1"/>
    <s v="High"/>
    <s v="Desktop"/>
    <s v="Other"/>
    <d v="2024-05-23T00:00:00"/>
    <b v="0"/>
    <x v="1"/>
    <s v="Impulsive"/>
    <s v="Express"/>
    <n v="5"/>
  </r>
  <r>
    <x v="432"/>
    <x v="432"/>
    <x v="20"/>
    <x v="1"/>
    <x v="1"/>
    <x v="0"/>
    <x v="1"/>
    <x v="2"/>
    <x v="0"/>
    <x v="424"/>
    <s v="Regimin"/>
    <s v="Regimin"/>
    <s v="Toys &amp; Games"/>
    <n v="318.83999999999997"/>
    <n v="6"/>
    <s v="Online"/>
    <x v="3"/>
    <n v="1"/>
    <n v="2"/>
    <s v="Low"/>
    <s v="Very Sensitive"/>
    <n v="0"/>
    <n v="4"/>
    <s v="High"/>
    <s v="Tablet"/>
    <s v="Other"/>
    <d v="2024-04-20T00:00:00"/>
    <b v="0"/>
    <x v="1"/>
    <s v="Wants-based"/>
    <s v="Standard"/>
    <n v="10"/>
  </r>
  <r>
    <x v="433"/>
    <x v="433"/>
    <x v="31"/>
    <x v="1"/>
    <x v="1"/>
    <x v="0"/>
    <x v="1"/>
    <x v="2"/>
    <x v="1"/>
    <x v="425"/>
    <s v="Semiletka"/>
    <s v="Semiletka"/>
    <s v="Toys &amp; Games"/>
    <n v="327.32"/>
    <n v="6"/>
    <s v="Mixed"/>
    <x v="4"/>
    <n v="5"/>
    <n v="0"/>
    <s v="None"/>
    <s v="Somewhat Sensitive"/>
    <n v="0"/>
    <n v="4"/>
    <s v="High"/>
    <s v="Tablet"/>
    <s v="Other"/>
    <d v="2024-06-09T00:00:00"/>
    <b v="1"/>
    <x v="1"/>
    <s v="Impulsive"/>
    <s v="Express"/>
    <n v="13"/>
  </r>
  <r>
    <x v="434"/>
    <x v="434"/>
    <x v="8"/>
    <x v="1"/>
    <x v="1"/>
    <x v="0"/>
    <x v="3"/>
    <x v="2"/>
    <x v="1"/>
    <x v="426"/>
    <s v="Dayr Sharaf"/>
    <s v="Dayr Sharaf"/>
    <s v="Books"/>
    <n v="475.64"/>
    <n v="3"/>
    <s v="Online"/>
    <x v="1"/>
    <n v="4"/>
    <n v="1"/>
    <s v="Low"/>
    <s v="Very Sensitive"/>
    <n v="1"/>
    <n v="2"/>
    <s v="Medium"/>
    <s v="Smartphone"/>
    <s v="PayPal"/>
    <d v="2024-02-15T00:00:00"/>
    <b v="1"/>
    <x v="1"/>
    <s v="Planned"/>
    <s v="Standard"/>
    <n v="9"/>
  </r>
  <r>
    <x v="435"/>
    <x v="435"/>
    <x v="26"/>
    <x v="1"/>
    <x v="1"/>
    <x v="1"/>
    <x v="2"/>
    <x v="2"/>
    <x v="0"/>
    <x v="427"/>
    <s v="Adani"/>
    <s v="Adani"/>
    <s v="Hotels"/>
    <n v="68.59"/>
    <n v="9"/>
    <s v="Mixed"/>
    <x v="1"/>
    <n v="4"/>
    <n v="0"/>
    <s v="Medium"/>
    <s v="Somewhat Sensitive"/>
    <n v="2"/>
    <n v="5"/>
    <s v="None"/>
    <s v="Smartphone"/>
    <s v="PayPal"/>
    <d v="2024-04-18T00:00:00"/>
    <b v="0"/>
    <x v="1"/>
    <s v="Wants-based"/>
    <s v="Standard"/>
    <n v="5"/>
  </r>
  <r>
    <x v="436"/>
    <x v="436"/>
    <x v="5"/>
    <x v="2"/>
    <x v="5"/>
    <x v="0"/>
    <x v="3"/>
    <x v="0"/>
    <x v="0"/>
    <x v="428"/>
    <s v="Rakhiv"/>
    <s v="Rakhiv"/>
    <s v="Health Care"/>
    <n v="133.04"/>
    <n v="12"/>
    <s v="Online"/>
    <x v="3"/>
    <n v="3"/>
    <n v="2"/>
    <s v="High"/>
    <s v="Not Sensitive"/>
    <n v="2"/>
    <n v="6"/>
    <s v="None"/>
    <s v="Desktop"/>
    <s v="Cash"/>
    <d v="2024-07-07T00:00:00"/>
    <b v="1"/>
    <x v="1"/>
    <s v="Impulsive"/>
    <s v="Standard"/>
    <n v="11"/>
  </r>
  <r>
    <x v="437"/>
    <x v="437"/>
    <x v="2"/>
    <x v="2"/>
    <x v="4"/>
    <x v="1"/>
    <x v="0"/>
    <x v="1"/>
    <x v="0"/>
    <x v="429"/>
    <s v="Ma'an"/>
    <s v="Ma'an"/>
    <s v="Luxury Goods"/>
    <n v="196.63"/>
    <n v="9"/>
    <s v="Online"/>
    <x v="4"/>
    <n v="2"/>
    <n v="2"/>
    <s v="Medium"/>
    <s v="Somewhat Sensitive"/>
    <n v="1"/>
    <n v="6"/>
    <s v="Low"/>
    <s v="Tablet"/>
    <s v="Other"/>
    <d v="2024-12-15T00:00:00"/>
    <b v="1"/>
    <x v="0"/>
    <s v="Need-based"/>
    <s v="No Preference"/>
    <n v="7"/>
  </r>
  <r>
    <x v="438"/>
    <x v="438"/>
    <x v="12"/>
    <x v="1"/>
    <x v="1"/>
    <x v="0"/>
    <x v="3"/>
    <x v="0"/>
    <x v="1"/>
    <x v="430"/>
    <s v="Navoiy"/>
    <s v="Navoiy"/>
    <s v="Home Appliances"/>
    <n v="473.96"/>
    <n v="12"/>
    <s v="In-Store"/>
    <x v="2"/>
    <n v="1"/>
    <n v="1"/>
    <s v="Medium"/>
    <s v="Somewhat Sensitive"/>
    <n v="2"/>
    <n v="9"/>
    <s v="None"/>
    <s v="Tablet"/>
    <s v="PayPal"/>
    <d v="2024-07-28T00:00:00"/>
    <b v="1"/>
    <x v="0"/>
    <s v="Impulsive"/>
    <s v="Express"/>
    <n v="14"/>
  </r>
  <r>
    <x v="439"/>
    <x v="439"/>
    <x v="2"/>
    <x v="0"/>
    <x v="0"/>
    <x v="1"/>
    <x v="0"/>
    <x v="1"/>
    <x v="0"/>
    <x v="431"/>
    <s v="Sishilichengzi"/>
    <s v="Sishilichengzi"/>
    <s v="Luxury Goods"/>
    <n v="472.52"/>
    <n v="8"/>
    <s v="Online"/>
    <x v="2"/>
    <n v="4"/>
    <n v="0"/>
    <s v="Low"/>
    <s v="Somewhat Sensitive"/>
    <n v="2"/>
    <n v="8"/>
    <s v="Medium"/>
    <s v="Tablet"/>
    <s v="Cash"/>
    <d v="2024-01-24T00:00:00"/>
    <b v="0"/>
    <x v="1"/>
    <s v="Planned"/>
    <s v="No Preference"/>
    <n v="14"/>
  </r>
  <r>
    <x v="440"/>
    <x v="440"/>
    <x v="23"/>
    <x v="0"/>
    <x v="0"/>
    <x v="0"/>
    <x v="0"/>
    <x v="0"/>
    <x v="0"/>
    <x v="432"/>
    <s v="Tigaherang"/>
    <s v="Tigaherang"/>
    <s v="Baby Products"/>
    <n v="335.8"/>
    <n v="9"/>
    <s v="Mixed"/>
    <x v="1"/>
    <n v="5"/>
    <n v="1"/>
    <s v="None"/>
    <s v="Somewhat Sensitive"/>
    <n v="2"/>
    <n v="7"/>
    <s v="Low"/>
    <s v="Smartphone"/>
    <s v="Debit Card"/>
    <d v="2024-02-10T00:00:00"/>
    <b v="1"/>
    <x v="0"/>
    <s v="Wants-based"/>
    <s v="Standard"/>
    <n v="5"/>
  </r>
  <r>
    <x v="441"/>
    <x v="441"/>
    <x v="8"/>
    <x v="1"/>
    <x v="1"/>
    <x v="0"/>
    <x v="1"/>
    <x v="1"/>
    <x v="1"/>
    <x v="433"/>
    <s v="Villa Dolores"/>
    <s v="Villa Dolores"/>
    <s v="Luxury Goods"/>
    <n v="85.57"/>
    <n v="12"/>
    <s v="In-Store"/>
    <x v="2"/>
    <n v="1"/>
    <n v="1"/>
    <s v="Low"/>
    <s v="Very Sensitive"/>
    <n v="2"/>
    <n v="4"/>
    <s v="Medium"/>
    <s v="Tablet"/>
    <s v="Debit Card"/>
    <d v="2024-08-31T00:00:00"/>
    <b v="1"/>
    <x v="1"/>
    <s v="Planned"/>
    <s v="No Preference"/>
    <n v="9"/>
  </r>
  <r>
    <x v="442"/>
    <x v="442"/>
    <x v="32"/>
    <x v="2"/>
    <x v="2"/>
    <x v="0"/>
    <x v="1"/>
    <x v="2"/>
    <x v="0"/>
    <x v="434"/>
    <s v="Po"/>
    <s v="Poأ،"/>
    <s v="Beauty &amp; Personal Care"/>
    <n v="108.5"/>
    <n v="11"/>
    <s v="Mixed"/>
    <x v="0"/>
    <n v="5"/>
    <n v="0"/>
    <s v="None"/>
    <s v="Very Sensitive"/>
    <n v="1"/>
    <n v="2"/>
    <s v="Medium"/>
    <s v="Smartphone"/>
    <s v="PayPal"/>
    <d v="2024-07-16T00:00:00"/>
    <b v="0"/>
    <x v="0"/>
    <s v="Wants-based"/>
    <s v="No Preference"/>
    <n v="10"/>
  </r>
  <r>
    <x v="443"/>
    <x v="443"/>
    <x v="29"/>
    <x v="1"/>
    <x v="1"/>
    <x v="0"/>
    <x v="3"/>
    <x v="0"/>
    <x v="0"/>
    <x v="435"/>
    <s v="Shibushi"/>
    <s v="Shibushi"/>
    <s v="Food &amp; Beverages"/>
    <n v="172.5"/>
    <n v="8"/>
    <s v="Online"/>
    <x v="3"/>
    <n v="3"/>
    <n v="0"/>
    <s v="Medium"/>
    <s v="Somewhat Sensitive"/>
    <n v="0"/>
    <n v="8"/>
    <s v="Low"/>
    <s v="Desktop"/>
    <s v="Credit Card"/>
    <d v="2024-07-19T00:00:00"/>
    <b v="1"/>
    <x v="0"/>
    <s v="Impulsive"/>
    <s v="No Preference"/>
    <n v="7"/>
  </r>
  <r>
    <x v="444"/>
    <x v="444"/>
    <x v="27"/>
    <x v="0"/>
    <x v="0"/>
    <x v="1"/>
    <x v="1"/>
    <x v="1"/>
    <x v="0"/>
    <x v="436"/>
    <s v="Tilburg"/>
    <s v="Tilburg"/>
    <s v="Electronics"/>
    <n v="212.8"/>
    <n v="6"/>
    <s v="Mixed"/>
    <x v="1"/>
    <n v="2"/>
    <n v="2"/>
    <s v="None"/>
    <s v="Very Sensitive"/>
    <n v="1"/>
    <n v="7"/>
    <s v="High"/>
    <s v="Tablet"/>
    <s v="Credit Card"/>
    <d v="2024-05-17T00:00:00"/>
    <b v="1"/>
    <x v="1"/>
    <s v="Planned"/>
    <s v="Standard"/>
    <n v="1"/>
  </r>
  <r>
    <x v="445"/>
    <x v="445"/>
    <x v="26"/>
    <x v="0"/>
    <x v="0"/>
    <x v="0"/>
    <x v="0"/>
    <x v="0"/>
    <x v="1"/>
    <x v="437"/>
    <s v="Ugra"/>
    <s v="Ugra"/>
    <s v="Baby Products"/>
    <n v="324.41000000000003"/>
    <n v="7"/>
    <s v="Mixed"/>
    <x v="4"/>
    <n v="4"/>
    <n v="1"/>
    <s v="None"/>
    <s v="Not Sensitive"/>
    <n v="0"/>
    <n v="5"/>
    <s v="Medium"/>
    <s v="Tablet"/>
    <s v="Debit Card"/>
    <d v="2024-04-29T00:00:00"/>
    <b v="1"/>
    <x v="1"/>
    <s v="Need-based"/>
    <s v="No Preference"/>
    <n v="4"/>
  </r>
  <r>
    <x v="446"/>
    <x v="446"/>
    <x v="15"/>
    <x v="1"/>
    <x v="1"/>
    <x v="1"/>
    <x v="2"/>
    <x v="1"/>
    <x v="0"/>
    <x v="438"/>
    <s v="Montreuil"/>
    <s v="Montreuil"/>
    <s v="Travel &amp; Leisure (Flights"/>
    <n v="342.39"/>
    <n v="8"/>
    <s v="In-Store"/>
    <x v="3"/>
    <n v="5"/>
    <n v="2"/>
    <s v="Low"/>
    <s v="Very Sensitive"/>
    <n v="2"/>
    <n v="3"/>
    <s v="High"/>
    <s v="Desktop"/>
    <s v="Other"/>
    <d v="2024-01-04T00:00:00"/>
    <b v="0"/>
    <x v="0"/>
    <s v="Need-based"/>
    <s v="Standard"/>
    <n v="9"/>
  </r>
  <r>
    <x v="447"/>
    <x v="447"/>
    <x v="25"/>
    <x v="0"/>
    <x v="0"/>
    <x v="1"/>
    <x v="3"/>
    <x v="0"/>
    <x v="1"/>
    <x v="439"/>
    <s v="Garibaldi"/>
    <s v="Garibaldi"/>
    <s v="Health Care"/>
    <n v="446.86"/>
    <n v="9"/>
    <s v="In-Store"/>
    <x v="2"/>
    <n v="1"/>
    <n v="2"/>
    <s v="None"/>
    <s v="Very Sensitive"/>
    <n v="0"/>
    <n v="2"/>
    <s v="Medium"/>
    <s v="Desktop"/>
    <s v="PayPal"/>
    <d v="2024-11-07T00:00:00"/>
    <b v="0"/>
    <x v="0"/>
    <s v="Wants-based"/>
    <s v="No Preference"/>
    <n v="5"/>
  </r>
  <r>
    <x v="448"/>
    <x v="448"/>
    <x v="1"/>
    <x v="1"/>
    <x v="1"/>
    <x v="1"/>
    <x v="3"/>
    <x v="2"/>
    <x v="1"/>
    <x v="440"/>
    <s v="Tiang"/>
    <s v="Tiang"/>
    <s v="Electronics"/>
    <n v="463.15"/>
    <n v="3"/>
    <s v="Mixed"/>
    <x v="3"/>
    <n v="1"/>
    <n v="1"/>
    <s v="None"/>
    <s v="Somewhat Sensitive"/>
    <n v="1"/>
    <n v="9"/>
    <s v="High"/>
    <s v="Smartphone"/>
    <s v="Debit Card"/>
    <d v="2024-04-25T00:00:00"/>
    <b v="1"/>
    <x v="1"/>
    <s v="Need-based"/>
    <s v="Standard"/>
    <n v="9"/>
  </r>
  <r>
    <x v="449"/>
    <x v="449"/>
    <x v="23"/>
    <x v="0"/>
    <x v="0"/>
    <x v="1"/>
    <x v="3"/>
    <x v="0"/>
    <x v="1"/>
    <x v="441"/>
    <s v="Mouquim"/>
    <s v="Mouquim"/>
    <s v="Groceries"/>
    <n v="122.99"/>
    <n v="12"/>
    <s v="In-Store"/>
    <x v="3"/>
    <n v="5"/>
    <n v="1"/>
    <s v="High"/>
    <s v="Very Sensitive"/>
    <n v="1"/>
    <n v="8"/>
    <s v="None"/>
    <s v="Desktop"/>
    <s v="Cash"/>
    <d v="2024-10-03T00:00:00"/>
    <b v="1"/>
    <x v="0"/>
    <s v="Planned"/>
    <s v="No Preference"/>
    <n v="1"/>
  </r>
  <r>
    <x v="450"/>
    <x v="450"/>
    <x v="20"/>
    <x v="1"/>
    <x v="1"/>
    <x v="1"/>
    <x v="2"/>
    <x v="2"/>
    <x v="1"/>
    <x v="442"/>
    <s v="Montecristi"/>
    <s v="Montecristi"/>
    <s v="Beauty &amp; Personal Care"/>
    <n v="322.39999999999998"/>
    <n v="7"/>
    <s v="Mixed"/>
    <x v="4"/>
    <n v="2"/>
    <n v="1"/>
    <s v="Medium"/>
    <s v="Very Sensitive"/>
    <n v="2"/>
    <n v="3"/>
    <s v="Medium"/>
    <s v="Tablet"/>
    <s v="Cash"/>
    <d v="2024-08-07T00:00:00"/>
    <b v="1"/>
    <x v="1"/>
    <s v="Need-based"/>
    <s v="Express"/>
    <n v="2"/>
  </r>
  <r>
    <x v="451"/>
    <x v="451"/>
    <x v="24"/>
    <x v="0"/>
    <x v="0"/>
    <x v="1"/>
    <x v="0"/>
    <x v="1"/>
    <x v="0"/>
    <x v="443"/>
    <s v="Prince Albert"/>
    <s v="Prince Albert"/>
    <s v="Health Care"/>
    <n v="73.19"/>
    <n v="5"/>
    <s v="Mixed"/>
    <x v="2"/>
    <n v="5"/>
    <n v="1"/>
    <s v="Low"/>
    <s v="Not Sensitive"/>
    <n v="2"/>
    <n v="8"/>
    <s v="High"/>
    <s v="Smartphone"/>
    <s v="PayPal"/>
    <d v="2024-04-11T00:00:00"/>
    <b v="0"/>
    <x v="1"/>
    <s v="Need-based"/>
    <s v="No Preference"/>
    <n v="3"/>
  </r>
  <r>
    <x v="452"/>
    <x v="452"/>
    <x v="30"/>
    <x v="0"/>
    <x v="0"/>
    <x v="0"/>
    <x v="0"/>
    <x v="2"/>
    <x v="1"/>
    <x v="377"/>
    <s v="Gteborg"/>
    <s v="Gأ¶teborg"/>
    <s v="Toys &amp; Games"/>
    <n v="279.08"/>
    <n v="10"/>
    <s v="Online"/>
    <x v="4"/>
    <n v="2"/>
    <n v="1"/>
    <s v="High"/>
    <s v="Not Sensitive"/>
    <n v="2"/>
    <n v="7"/>
    <s v="Medium"/>
    <s v="Smartphone"/>
    <s v="Credit Card"/>
    <d v="2024-04-25T00:00:00"/>
    <b v="0"/>
    <x v="1"/>
    <s v="Wants-based"/>
    <s v="No Preference"/>
    <n v="3"/>
  </r>
  <r>
    <x v="453"/>
    <x v="453"/>
    <x v="3"/>
    <x v="0"/>
    <x v="0"/>
    <x v="0"/>
    <x v="1"/>
    <x v="1"/>
    <x v="0"/>
    <x v="444"/>
    <s v="Zajeov"/>
    <s v="Zajeؤچov"/>
    <s v="Travel &amp; Leisure (Flights"/>
    <n v="478.85"/>
    <n v="10"/>
    <s v="In-Store"/>
    <x v="4"/>
    <n v="2"/>
    <n v="2"/>
    <s v="None"/>
    <s v="Not Sensitive"/>
    <n v="2"/>
    <n v="2"/>
    <s v="None"/>
    <s v="Desktop"/>
    <s v="Cash"/>
    <d v="2024-04-28T00:00:00"/>
    <b v="0"/>
    <x v="0"/>
    <s v="Planned"/>
    <s v="No Preference"/>
    <n v="4"/>
  </r>
  <r>
    <x v="454"/>
    <x v="454"/>
    <x v="8"/>
    <x v="1"/>
    <x v="1"/>
    <x v="1"/>
    <x v="2"/>
    <x v="2"/>
    <x v="1"/>
    <x v="445"/>
    <s v="Liushun"/>
    <s v="Liushun"/>
    <s v="Food &amp; Beverages"/>
    <n v="86.39"/>
    <n v="5"/>
    <s v="Mixed"/>
    <x v="4"/>
    <n v="5"/>
    <n v="1"/>
    <s v="High"/>
    <s v="Somewhat Sensitive"/>
    <n v="1"/>
    <n v="1"/>
    <s v="Medium"/>
    <s v="Desktop"/>
    <s v="Debit Card"/>
    <d v="2024-09-09T00:00:00"/>
    <b v="0"/>
    <x v="0"/>
    <s v="Need-based"/>
    <s v="Standard"/>
    <n v="7"/>
  </r>
  <r>
    <x v="455"/>
    <x v="455"/>
    <x v="5"/>
    <x v="1"/>
    <x v="1"/>
    <x v="1"/>
    <x v="2"/>
    <x v="0"/>
    <x v="0"/>
    <x v="446"/>
    <s v="Sancha"/>
    <s v="Sancha"/>
    <s v="Baby Products"/>
    <n v="192.35"/>
    <n v="11"/>
    <s v="Mixed"/>
    <x v="1"/>
    <n v="5"/>
    <n v="2"/>
    <s v="High"/>
    <s v="Not Sensitive"/>
    <n v="2"/>
    <n v="1"/>
    <s v="High"/>
    <s v="Smartphone"/>
    <s v="Credit Card"/>
    <d v="2024-05-08T00:00:00"/>
    <b v="1"/>
    <x v="0"/>
    <s v="Impulsive"/>
    <s v="Express"/>
    <n v="11"/>
  </r>
  <r>
    <x v="456"/>
    <x v="456"/>
    <x v="15"/>
    <x v="0"/>
    <x v="0"/>
    <x v="0"/>
    <x v="3"/>
    <x v="0"/>
    <x v="1"/>
    <x v="447"/>
    <s v="Damnoen Saduak"/>
    <s v="Damnoen Saduak"/>
    <s v="Beauty &amp; Personal Care"/>
    <n v="235.32"/>
    <n v="7"/>
    <s v="Online"/>
    <x v="2"/>
    <n v="1"/>
    <n v="1"/>
    <s v="Medium"/>
    <s v="Very Sensitive"/>
    <n v="1"/>
    <n v="10"/>
    <s v="High"/>
    <s v="Desktop"/>
    <s v="PayPal"/>
    <d v="2024-06-09T00:00:00"/>
    <b v="0"/>
    <x v="1"/>
    <s v="Impulsive"/>
    <s v="Express"/>
    <n v="11"/>
  </r>
  <r>
    <x v="457"/>
    <x v="457"/>
    <x v="6"/>
    <x v="0"/>
    <x v="0"/>
    <x v="1"/>
    <x v="2"/>
    <x v="1"/>
    <x v="1"/>
    <x v="448"/>
    <s v="Cianorte"/>
    <s v="Cianorte"/>
    <s v="Electronics"/>
    <n v="212.63"/>
    <n v="8"/>
    <s v="Online"/>
    <x v="4"/>
    <n v="2"/>
    <n v="1"/>
    <s v="Low"/>
    <s v="Very Sensitive"/>
    <n v="0"/>
    <n v="4"/>
    <s v="High"/>
    <s v="Desktop"/>
    <s v="Debit Card"/>
    <d v="2024-08-27T00:00:00"/>
    <b v="0"/>
    <x v="1"/>
    <s v="Need-based"/>
    <s v="No Preference"/>
    <n v="6"/>
  </r>
  <r>
    <x v="458"/>
    <x v="458"/>
    <x v="26"/>
    <x v="0"/>
    <x v="0"/>
    <x v="0"/>
    <x v="2"/>
    <x v="2"/>
    <x v="1"/>
    <x v="449"/>
    <s v="Liuzuo"/>
    <s v="Liuzuo"/>
    <s v="Food &amp; Beverages"/>
    <n v="246.63"/>
    <n v="8"/>
    <s v="In-Store"/>
    <x v="2"/>
    <n v="3"/>
    <n v="1"/>
    <s v="None"/>
    <s v="Somewhat Sensitive"/>
    <n v="2"/>
    <n v="3"/>
    <s v="None"/>
    <s v="Tablet"/>
    <s v="Credit Card"/>
    <d v="2024-04-01T00:00:00"/>
    <b v="1"/>
    <x v="0"/>
    <s v="Impulsive"/>
    <s v="Express"/>
    <n v="10"/>
  </r>
  <r>
    <x v="459"/>
    <x v="459"/>
    <x v="29"/>
    <x v="0"/>
    <x v="0"/>
    <x v="0"/>
    <x v="2"/>
    <x v="0"/>
    <x v="1"/>
    <x v="82"/>
    <s v="Pameungpeuk"/>
    <s v="Pameungpeuk"/>
    <s v="Toys &amp; Games"/>
    <n v="228.47"/>
    <n v="9"/>
    <s v="Online"/>
    <x v="1"/>
    <n v="3"/>
    <n v="1"/>
    <s v="None"/>
    <s v="Very Sensitive"/>
    <n v="1"/>
    <n v="7"/>
    <s v="None"/>
    <s v="Desktop"/>
    <s v="Credit Card"/>
    <d v="2024-08-29T00:00:00"/>
    <b v="0"/>
    <x v="1"/>
    <s v="Impulsive"/>
    <s v="Express"/>
    <n v="12"/>
  </r>
  <r>
    <x v="460"/>
    <x v="460"/>
    <x v="8"/>
    <x v="0"/>
    <x v="0"/>
    <x v="0"/>
    <x v="1"/>
    <x v="2"/>
    <x v="1"/>
    <x v="450"/>
    <s v="Kshmar"/>
    <s v="Kؤپshmar"/>
    <s v="Gardening &amp; Outdoors"/>
    <n v="343.77"/>
    <n v="6"/>
    <s v="Online"/>
    <x v="4"/>
    <n v="3"/>
    <n v="2"/>
    <s v="Low"/>
    <s v="Somewhat Sensitive"/>
    <n v="2"/>
    <n v="9"/>
    <s v="High"/>
    <s v="Desktop"/>
    <s v="Cash"/>
    <d v="2024-09-18T00:00:00"/>
    <b v="1"/>
    <x v="1"/>
    <s v="Wants-based"/>
    <s v="Express"/>
    <n v="6"/>
  </r>
  <r>
    <x v="461"/>
    <x v="461"/>
    <x v="29"/>
    <x v="2"/>
    <x v="2"/>
    <x v="0"/>
    <x v="0"/>
    <x v="0"/>
    <x v="1"/>
    <x v="451"/>
    <s v="Arad"/>
    <s v="â€کArad"/>
    <s v="Groceries"/>
    <n v="339.32"/>
    <n v="9"/>
    <s v="In-Store"/>
    <x v="2"/>
    <n v="4"/>
    <n v="0"/>
    <s v="Medium"/>
    <s v="Very Sensitive"/>
    <n v="1"/>
    <n v="4"/>
    <s v="High"/>
    <s v="Tablet"/>
    <s v="Other"/>
    <d v="2024-09-05T00:00:00"/>
    <b v="0"/>
    <x v="0"/>
    <s v="Need-based"/>
    <s v="No Preference"/>
    <n v="7"/>
  </r>
  <r>
    <x v="462"/>
    <x v="462"/>
    <x v="10"/>
    <x v="1"/>
    <x v="1"/>
    <x v="1"/>
    <x v="3"/>
    <x v="0"/>
    <x v="0"/>
    <x v="452"/>
    <s v="Lenart v Slov. Goricah"/>
    <s v="Lenart v Slov. Goricah"/>
    <s v="Clothing"/>
    <n v="327.05"/>
    <n v="9"/>
    <s v="Mixed"/>
    <x v="0"/>
    <n v="4"/>
    <n v="0"/>
    <s v="Low"/>
    <s v="Somewhat Sensitive"/>
    <n v="2"/>
    <n v="3"/>
    <s v="High"/>
    <s v="Desktop"/>
    <s v="Cash"/>
    <d v="2024-08-06T00:00:00"/>
    <b v="0"/>
    <x v="1"/>
    <s v="Need-based"/>
    <s v="No Preference"/>
    <n v="7"/>
  </r>
  <r>
    <x v="463"/>
    <x v="463"/>
    <x v="18"/>
    <x v="1"/>
    <x v="1"/>
    <x v="1"/>
    <x v="3"/>
    <x v="2"/>
    <x v="0"/>
    <x v="453"/>
    <s v="Bigaa"/>
    <s v="Bigaa"/>
    <s v="Toys &amp; Games"/>
    <n v="334.45"/>
    <n v="2"/>
    <s v="In-Store"/>
    <x v="2"/>
    <n v="5"/>
    <n v="0"/>
    <s v="Medium"/>
    <s v="Not Sensitive"/>
    <n v="2"/>
    <n v="9"/>
    <s v="High"/>
    <s v="Tablet"/>
    <s v="Credit Card"/>
    <d v="2024-06-18T00:00:00"/>
    <b v="1"/>
    <x v="0"/>
    <s v="Impulsive"/>
    <s v="No Preference"/>
    <n v="6"/>
  </r>
  <r>
    <x v="464"/>
    <x v="464"/>
    <x v="24"/>
    <x v="1"/>
    <x v="1"/>
    <x v="1"/>
    <x v="1"/>
    <x v="0"/>
    <x v="0"/>
    <x v="454"/>
    <s v="Guadalupe"/>
    <s v="Guadalupe"/>
    <s v="Food &amp; Beverages"/>
    <n v="366.16"/>
    <n v="12"/>
    <s v="Mixed"/>
    <x v="4"/>
    <n v="4"/>
    <n v="2"/>
    <s v="Medium"/>
    <s v="Somewhat Sensitive"/>
    <n v="1"/>
    <n v="5"/>
    <s v="Low"/>
    <s v="Desktop"/>
    <s v="Credit Card"/>
    <d v="2024-08-26T00:00:00"/>
    <b v="0"/>
    <x v="0"/>
    <s v="Need-based"/>
    <s v="No Preference"/>
    <n v="4"/>
  </r>
  <r>
    <x v="465"/>
    <x v="465"/>
    <x v="14"/>
    <x v="0"/>
    <x v="0"/>
    <x v="1"/>
    <x v="2"/>
    <x v="0"/>
    <x v="0"/>
    <x v="455"/>
    <s v="Xiaruyue"/>
    <s v="Xiaruyue"/>
    <s v="Groceries"/>
    <n v="481.78"/>
    <n v="8"/>
    <s v="In-Store"/>
    <x v="0"/>
    <n v="2"/>
    <n v="0"/>
    <s v="Medium"/>
    <s v="Very Sensitive"/>
    <n v="2"/>
    <n v="4"/>
    <s v="Low"/>
    <s v="Tablet"/>
    <s v="Debit Card"/>
    <d v="2024-04-24T00:00:00"/>
    <b v="1"/>
    <x v="1"/>
    <s v="Wants-based"/>
    <s v="Express"/>
    <n v="1"/>
  </r>
  <r>
    <x v="466"/>
    <x v="466"/>
    <x v="25"/>
    <x v="0"/>
    <x v="0"/>
    <x v="1"/>
    <x v="2"/>
    <x v="0"/>
    <x v="0"/>
    <x v="456"/>
    <s v="Gweedore"/>
    <s v="Gweedore"/>
    <s v="Gardening &amp; Outdoors"/>
    <n v="131.47999999999999"/>
    <n v="8"/>
    <s v="Mixed"/>
    <x v="1"/>
    <n v="5"/>
    <n v="0"/>
    <s v="None"/>
    <s v="Somewhat Sensitive"/>
    <n v="2"/>
    <n v="1"/>
    <s v="Low"/>
    <s v="Tablet"/>
    <s v="Credit Card"/>
    <d v="2024-08-08T00:00:00"/>
    <b v="1"/>
    <x v="1"/>
    <s v="Wants-based"/>
    <s v="No Preference"/>
    <n v="12"/>
  </r>
  <r>
    <x v="467"/>
    <x v="467"/>
    <x v="10"/>
    <x v="0"/>
    <x v="0"/>
    <x v="1"/>
    <x v="2"/>
    <x v="2"/>
    <x v="1"/>
    <x v="457"/>
    <s v="Przelewice"/>
    <s v="Przelewice"/>
    <s v="Health Care"/>
    <n v="402.86"/>
    <n v="11"/>
    <s v="In-Store"/>
    <x v="1"/>
    <n v="5"/>
    <n v="1"/>
    <s v="High"/>
    <s v="Not Sensitive"/>
    <n v="0"/>
    <n v="2"/>
    <s v="None"/>
    <s v="Desktop"/>
    <s v="Cash"/>
    <d v="2024-09-05T00:00:00"/>
    <b v="0"/>
    <x v="0"/>
    <s v="Impulsive"/>
    <s v="Standard"/>
    <n v="8"/>
  </r>
  <r>
    <x v="468"/>
    <x v="468"/>
    <x v="21"/>
    <x v="1"/>
    <x v="1"/>
    <x v="1"/>
    <x v="1"/>
    <x v="0"/>
    <x v="0"/>
    <x v="458"/>
    <s v="Dalumangcob"/>
    <s v="Dalumangcob"/>
    <s v="Gardening &amp; Outdoors"/>
    <n v="333.18"/>
    <n v="6"/>
    <s v="In-Store"/>
    <x v="3"/>
    <n v="1"/>
    <n v="0"/>
    <s v="Medium"/>
    <s v="Very Sensitive"/>
    <n v="2"/>
    <n v="5"/>
    <s v="Low"/>
    <s v="Smartphone"/>
    <s v="Other"/>
    <d v="2024-04-16T00:00:00"/>
    <b v="1"/>
    <x v="0"/>
    <s v="Planned"/>
    <s v="Express"/>
    <n v="8"/>
  </r>
  <r>
    <x v="469"/>
    <x v="469"/>
    <x v="31"/>
    <x v="0"/>
    <x v="0"/>
    <x v="1"/>
    <x v="2"/>
    <x v="2"/>
    <x v="0"/>
    <x v="459"/>
    <s v="Cravo Norte"/>
    <s v="Cravo Norte"/>
    <s v="Arts &amp; Crafts"/>
    <n v="73.23"/>
    <n v="8"/>
    <s v="Online"/>
    <x v="2"/>
    <n v="2"/>
    <n v="2"/>
    <s v="Low"/>
    <s v="Very Sensitive"/>
    <n v="1"/>
    <n v="2"/>
    <s v="Low"/>
    <s v="Smartphone"/>
    <s v="Credit Card"/>
    <d v="2024-07-17T00:00:00"/>
    <b v="1"/>
    <x v="1"/>
    <s v="Need-based"/>
    <s v="No Preference"/>
    <n v="6"/>
  </r>
  <r>
    <x v="470"/>
    <x v="470"/>
    <x v="31"/>
    <x v="1"/>
    <x v="1"/>
    <x v="1"/>
    <x v="3"/>
    <x v="2"/>
    <x v="0"/>
    <x v="460"/>
    <s v="Montera"/>
    <s v="Monterأ­a"/>
    <s v="Furniture"/>
    <n v="450.47"/>
    <n v="11"/>
    <s v="Online"/>
    <x v="0"/>
    <n v="2"/>
    <n v="2"/>
    <s v="None"/>
    <s v="Not Sensitive"/>
    <n v="2"/>
    <n v="3"/>
    <s v="None"/>
    <s v="Smartphone"/>
    <s v="Credit Card"/>
    <d v="2024-03-18T00:00:00"/>
    <b v="1"/>
    <x v="1"/>
    <s v="Wants-based"/>
    <s v="Express"/>
    <n v="10"/>
  </r>
  <r>
    <x v="471"/>
    <x v="471"/>
    <x v="4"/>
    <x v="1"/>
    <x v="1"/>
    <x v="0"/>
    <x v="1"/>
    <x v="1"/>
    <x v="1"/>
    <x v="461"/>
    <s v="Mikuna"/>
    <s v="Mikunâ€™"/>
    <s v="Food &amp; Beverages"/>
    <n v="175.74"/>
    <n v="5"/>
    <s v="Online"/>
    <x v="0"/>
    <n v="4"/>
    <n v="1"/>
    <s v="Medium"/>
    <s v="Not Sensitive"/>
    <n v="0"/>
    <n v="6"/>
    <s v="None"/>
    <s v="Tablet"/>
    <s v="Cash"/>
    <d v="2024-07-18T00:00:00"/>
    <b v="0"/>
    <x v="1"/>
    <s v="Impulsive"/>
    <s v="No Preference"/>
    <n v="6"/>
  </r>
  <r>
    <x v="472"/>
    <x v="472"/>
    <x v="16"/>
    <x v="0"/>
    <x v="0"/>
    <x v="0"/>
    <x v="1"/>
    <x v="2"/>
    <x v="1"/>
    <x v="462"/>
    <s v="Samamiya"/>
    <s v="Samamiya"/>
    <s v="Hotels"/>
    <n v="182.6"/>
    <n v="4"/>
    <s v="Online"/>
    <x v="0"/>
    <n v="2"/>
    <n v="0.3"/>
    <s v="Low"/>
    <s v="Not Sensitive"/>
    <n v="2"/>
    <n v="9"/>
    <s v="High"/>
    <s v="Tablet"/>
    <s v="PayPal"/>
    <d v="2024-05-31T00:00:00"/>
    <b v="0"/>
    <x v="1"/>
    <s v="Wants-based"/>
    <s v="Express"/>
    <n v="5"/>
  </r>
  <r>
    <x v="473"/>
    <x v="473"/>
    <x v="28"/>
    <x v="0"/>
    <x v="0"/>
    <x v="0"/>
    <x v="2"/>
    <x v="0"/>
    <x v="1"/>
    <x v="463"/>
    <s v="Tanahmerah"/>
    <s v="Tanahmerah"/>
    <s v="Jewelry &amp; Accessories"/>
    <n v="497.8"/>
    <n v="2"/>
    <s v="Online"/>
    <x v="1"/>
    <n v="5"/>
    <n v="0.2"/>
    <s v="High"/>
    <s v="Somewhat Sensitive"/>
    <n v="1"/>
    <n v="2"/>
    <s v="Medium"/>
    <s v="Smartphone"/>
    <s v="Other"/>
    <d v="2024-01-21T00:00:00"/>
    <b v="1"/>
    <x v="0"/>
    <s v="Wants-based"/>
    <s v="No Preference"/>
    <n v="9"/>
  </r>
  <r>
    <x v="474"/>
    <x v="474"/>
    <x v="11"/>
    <x v="1"/>
    <x v="1"/>
    <x v="1"/>
    <x v="3"/>
    <x v="1"/>
    <x v="1"/>
    <x v="464"/>
    <s v="Rebro"/>
    <s v="أ–rebro"/>
    <s v="Food &amp; Beverages"/>
    <n v="171.17"/>
    <n v="4"/>
    <s v="In-Store"/>
    <x v="3"/>
    <n v="3"/>
    <n v="0"/>
    <s v="High"/>
    <s v="Somewhat Sensitive"/>
    <n v="0"/>
    <n v="4"/>
    <s v="Medium"/>
    <s v="Desktop"/>
    <s v="Debit Card"/>
    <d v="2024-06-15T00:00:00"/>
    <b v="0"/>
    <x v="1"/>
    <s v="Wants-based"/>
    <s v="Standard"/>
    <n v="12"/>
  </r>
  <r>
    <x v="475"/>
    <x v="475"/>
    <x v="23"/>
    <x v="0"/>
    <x v="0"/>
    <x v="0"/>
    <x v="1"/>
    <x v="0"/>
    <x v="1"/>
    <x v="465"/>
    <s v="Kefar Yona"/>
    <s v="Kefar Yona"/>
    <s v="Jewelry &amp; Accessories"/>
    <n v="425.82"/>
    <n v="3"/>
    <s v="In-Store"/>
    <x v="4"/>
    <n v="5"/>
    <n v="1"/>
    <s v="Low"/>
    <s v="Not Sensitive"/>
    <n v="1"/>
    <n v="6"/>
    <s v="High"/>
    <s v="Smartphone"/>
    <s v="Cash"/>
    <d v="2024-04-19T00:00:00"/>
    <b v="1"/>
    <x v="1"/>
    <s v="Wants-based"/>
    <s v="Standard"/>
    <n v="11"/>
  </r>
  <r>
    <x v="476"/>
    <x v="476"/>
    <x v="24"/>
    <x v="0"/>
    <x v="0"/>
    <x v="0"/>
    <x v="2"/>
    <x v="0"/>
    <x v="0"/>
    <x v="466"/>
    <s v="Pasto"/>
    <s v="Pasto"/>
    <s v="Sports &amp; Outdoors"/>
    <n v="210.58"/>
    <n v="10"/>
    <s v="In-Store"/>
    <x v="0"/>
    <n v="1"/>
    <n v="2"/>
    <s v="Low"/>
    <s v="Somewhat Sensitive"/>
    <n v="1"/>
    <n v="3"/>
    <s v="Low"/>
    <s v="Tablet"/>
    <s v="Debit Card"/>
    <d v="2024-09-12T00:00:00"/>
    <b v="1"/>
    <x v="1"/>
    <s v="Planned"/>
    <s v="No Preference"/>
    <n v="8"/>
  </r>
  <r>
    <x v="477"/>
    <x v="477"/>
    <x v="17"/>
    <x v="1"/>
    <x v="1"/>
    <x v="0"/>
    <x v="1"/>
    <x v="1"/>
    <x v="0"/>
    <x v="467"/>
    <s v="Huangtan"/>
    <s v="Huangtan"/>
    <s v="Beauty &amp; Personal Care"/>
    <n v="199.64"/>
    <n v="11"/>
    <s v="Online"/>
    <x v="0"/>
    <n v="4"/>
    <n v="1"/>
    <s v="High"/>
    <s v="Somewhat Sensitive"/>
    <n v="1"/>
    <n v="5"/>
    <s v="High"/>
    <s v="Desktop"/>
    <s v="PayPal"/>
    <d v="2024-09-04T00:00:00"/>
    <b v="0"/>
    <x v="1"/>
    <s v="Planned"/>
    <s v="Express"/>
    <n v="8"/>
  </r>
  <r>
    <x v="478"/>
    <x v="478"/>
    <x v="13"/>
    <x v="2"/>
    <x v="5"/>
    <x v="1"/>
    <x v="0"/>
    <x v="0"/>
    <x v="0"/>
    <x v="468"/>
    <s v="Ilainskiy"/>
    <s v="Ilâ€™inskiy"/>
    <s v="Packages)"/>
    <n v="162.22"/>
    <n v="10"/>
    <s v="In-Store"/>
    <x v="0"/>
    <n v="5"/>
    <n v="0.2"/>
    <s v="High"/>
    <s v="Somewhat Sensitive"/>
    <n v="1"/>
    <n v="1"/>
    <s v="Medium"/>
    <s v="Desktop"/>
    <s v="Other"/>
    <d v="2024-04-28T00:00:00"/>
    <b v="1"/>
    <x v="1"/>
    <s v="Wants-based"/>
    <s v="No Preference"/>
    <n v="8"/>
  </r>
  <r>
    <x v="479"/>
    <x v="479"/>
    <x v="28"/>
    <x v="1"/>
    <x v="1"/>
    <x v="1"/>
    <x v="0"/>
    <x v="0"/>
    <x v="1"/>
    <x v="469"/>
    <s v="Ugljevik"/>
    <s v="Ugljevik"/>
    <s v="Sports &amp; Outdoors"/>
    <n v="401.75"/>
    <n v="8"/>
    <s v="Online"/>
    <x v="1"/>
    <n v="4"/>
    <n v="0.3"/>
    <s v="None"/>
    <s v="Somewhat Sensitive"/>
    <n v="1"/>
    <n v="8"/>
    <s v="High"/>
    <s v="Smartphone"/>
    <s v="PayPal"/>
    <d v="2024-12-08T00:00:00"/>
    <b v="0"/>
    <x v="1"/>
    <s v="Wants-based"/>
    <s v="Standard"/>
    <n v="6"/>
  </r>
  <r>
    <x v="480"/>
    <x v="480"/>
    <x v="2"/>
    <x v="0"/>
    <x v="0"/>
    <x v="0"/>
    <x v="0"/>
    <x v="2"/>
    <x v="0"/>
    <x v="470"/>
    <s v="Na Chaluai"/>
    <s v="Na Chaluai"/>
    <s v="Luxury Goods"/>
    <n v="365.88"/>
    <n v="12"/>
    <s v="Online"/>
    <x v="1"/>
    <n v="3"/>
    <n v="2"/>
    <s v="Medium"/>
    <s v="Very Sensitive"/>
    <n v="0"/>
    <n v="9"/>
    <s v="High"/>
    <s v="Smartphone"/>
    <s v="Other"/>
    <d v="2024-11-05T00:00:00"/>
    <b v="1"/>
    <x v="0"/>
    <s v="Need-based"/>
    <s v="Express"/>
    <n v="7"/>
  </r>
  <r>
    <x v="481"/>
    <x v="481"/>
    <x v="19"/>
    <x v="1"/>
    <x v="1"/>
    <x v="0"/>
    <x v="1"/>
    <x v="1"/>
    <x v="0"/>
    <x v="471"/>
    <s v="Marolambo"/>
    <s v="Marolambo"/>
    <s v="Beauty &amp; Personal Care"/>
    <n v="58.29"/>
    <n v="6"/>
    <s v="Mixed"/>
    <x v="2"/>
    <n v="3"/>
    <n v="2"/>
    <s v="Medium"/>
    <s v="Somewhat Sensitive"/>
    <n v="1"/>
    <n v="7"/>
    <s v="Low"/>
    <s v="Tablet"/>
    <s v="Other"/>
    <d v="2024-02-13T00:00:00"/>
    <b v="0"/>
    <x v="1"/>
    <s v="Impulsive"/>
    <s v="Standard"/>
    <n v="14"/>
  </r>
  <r>
    <x v="482"/>
    <x v="482"/>
    <x v="17"/>
    <x v="1"/>
    <x v="1"/>
    <x v="1"/>
    <x v="0"/>
    <x v="2"/>
    <x v="1"/>
    <x v="3"/>
    <s v="Wiwil"/>
    <s v="Wiwilأ­"/>
    <s v="Health Supplements"/>
    <n v="66.86"/>
    <n v="3"/>
    <s v="Mixed"/>
    <x v="3"/>
    <n v="1"/>
    <n v="1"/>
    <s v="Medium"/>
    <s v="Very Sensitive"/>
    <n v="0"/>
    <n v="10"/>
    <s v="Medium"/>
    <s v="Desktop"/>
    <s v="Other"/>
    <d v="2024-01-25T00:00:00"/>
    <b v="1"/>
    <x v="1"/>
    <s v="Wants-based"/>
    <s v="Express"/>
    <n v="9"/>
  </r>
  <r>
    <x v="483"/>
    <x v="483"/>
    <x v="3"/>
    <x v="0"/>
    <x v="0"/>
    <x v="1"/>
    <x v="1"/>
    <x v="0"/>
    <x v="0"/>
    <x v="472"/>
    <s v="Cali"/>
    <s v="Cali"/>
    <s v="Groceries"/>
    <n v="279.33999999999997"/>
    <n v="5"/>
    <s v="Mixed"/>
    <x v="1"/>
    <n v="1"/>
    <n v="0"/>
    <s v="Medium"/>
    <s v="Very Sensitive"/>
    <n v="2"/>
    <n v="6"/>
    <s v="Low"/>
    <s v="Tablet"/>
    <s v="PayPal"/>
    <d v="2024-08-22T00:00:00"/>
    <b v="0"/>
    <x v="1"/>
    <s v="Wants-based"/>
    <s v="No Preference"/>
    <n v="11"/>
  </r>
  <r>
    <x v="484"/>
    <x v="484"/>
    <x v="10"/>
    <x v="2"/>
    <x v="3"/>
    <x v="1"/>
    <x v="3"/>
    <x v="0"/>
    <x v="1"/>
    <x v="473"/>
    <s v="Tamana"/>
    <s v="Tamana"/>
    <s v="Electronics"/>
    <n v="358.5"/>
    <n v="3"/>
    <s v="Online"/>
    <x v="1"/>
    <n v="4"/>
    <n v="2"/>
    <s v="Medium"/>
    <s v="Very Sensitive"/>
    <n v="2"/>
    <n v="3"/>
    <s v="None"/>
    <s v="Tablet"/>
    <s v="Cash"/>
    <d v="2024-11-14T00:00:00"/>
    <b v="0"/>
    <x v="1"/>
    <s v="Impulsive"/>
    <s v="Standard"/>
    <n v="8"/>
  </r>
  <r>
    <x v="485"/>
    <x v="485"/>
    <x v="32"/>
    <x v="0"/>
    <x v="0"/>
    <x v="1"/>
    <x v="2"/>
    <x v="0"/>
    <x v="1"/>
    <x v="474"/>
    <s v="Miyazu"/>
    <s v="Miyazu"/>
    <s v="Jewelry &amp; Accessories"/>
    <n v="360.92"/>
    <n v="7"/>
    <s v="Online"/>
    <x v="2"/>
    <n v="1"/>
    <n v="2"/>
    <s v="None"/>
    <s v="Very Sensitive"/>
    <n v="0"/>
    <n v="9"/>
    <s v="Low"/>
    <s v="Smartphone"/>
    <s v="PayPal"/>
    <d v="2024-11-10T00:00:00"/>
    <b v="0"/>
    <x v="1"/>
    <s v="Impulsive"/>
    <s v="Standard"/>
    <n v="8"/>
  </r>
  <r>
    <x v="486"/>
    <x v="486"/>
    <x v="9"/>
    <x v="2"/>
    <x v="7"/>
    <x v="0"/>
    <x v="0"/>
    <x v="2"/>
    <x v="1"/>
    <x v="475"/>
    <s v="Gryfwlski"/>
    <s v="Gryfأ³w إڑlؤ…ski"/>
    <s v="Groceries"/>
    <n v="374.36"/>
    <n v="4"/>
    <s v="Online"/>
    <x v="2"/>
    <n v="2"/>
    <n v="0"/>
    <s v="None"/>
    <s v="Somewhat Sensitive"/>
    <n v="1"/>
    <n v="9"/>
    <s v="None"/>
    <s v="Smartphone"/>
    <s v="Other"/>
    <d v="2024-10-03T00:00:00"/>
    <b v="0"/>
    <x v="0"/>
    <s v="Wants-based"/>
    <s v="Standard"/>
    <n v="1"/>
  </r>
  <r>
    <x v="487"/>
    <x v="487"/>
    <x v="0"/>
    <x v="2"/>
    <x v="3"/>
    <x v="1"/>
    <x v="2"/>
    <x v="1"/>
    <x v="0"/>
    <x v="476"/>
    <s v="Pinagsibaan"/>
    <s v="Pinagsibaan"/>
    <s v="Baby Products"/>
    <n v="435.37"/>
    <n v="11"/>
    <s v="Online"/>
    <x v="4"/>
    <n v="2"/>
    <n v="1"/>
    <s v="Low"/>
    <s v="Very Sensitive"/>
    <n v="0"/>
    <n v="3"/>
    <s v="High"/>
    <s v="Tablet"/>
    <s v="Credit Card"/>
    <d v="2024-08-30T00:00:00"/>
    <b v="1"/>
    <x v="1"/>
    <s v="Planned"/>
    <s v="Standard"/>
    <n v="4"/>
  </r>
  <r>
    <x v="488"/>
    <x v="488"/>
    <x v="32"/>
    <x v="1"/>
    <x v="1"/>
    <x v="1"/>
    <x v="1"/>
    <x v="2"/>
    <x v="1"/>
    <x v="477"/>
    <s v="Jardin"/>
    <s v="Jardin"/>
    <s v="Home Appliances"/>
    <n v="459.3"/>
    <n v="9"/>
    <s v="Online"/>
    <x v="4"/>
    <n v="4"/>
    <n v="1"/>
    <s v="None"/>
    <s v="Somewhat Sensitive"/>
    <n v="2"/>
    <n v="5"/>
    <s v="Medium"/>
    <s v="Desktop"/>
    <s v="Other"/>
    <d v="2024-10-09T00:00:00"/>
    <b v="0"/>
    <x v="1"/>
    <s v="Planned"/>
    <s v="No Preference"/>
    <n v="1"/>
  </r>
  <r>
    <x v="489"/>
    <x v="489"/>
    <x v="20"/>
    <x v="0"/>
    <x v="0"/>
    <x v="1"/>
    <x v="3"/>
    <x v="2"/>
    <x v="0"/>
    <x v="478"/>
    <s v="Aguilares"/>
    <s v="Aguilares"/>
    <s v="Jewelry &amp; Accessories"/>
    <n v="426.89"/>
    <n v="2"/>
    <s v="Mixed"/>
    <x v="0"/>
    <n v="1"/>
    <n v="1"/>
    <s v="High"/>
    <s v="Not Sensitive"/>
    <n v="1"/>
    <n v="3"/>
    <s v="Low"/>
    <s v="Smartphone"/>
    <s v="PayPal"/>
    <d v="2024-11-02T00:00:00"/>
    <b v="1"/>
    <x v="0"/>
    <s v="Wants-based"/>
    <s v="Express"/>
    <n v="10"/>
  </r>
  <r>
    <x v="490"/>
    <x v="490"/>
    <x v="8"/>
    <x v="1"/>
    <x v="1"/>
    <x v="0"/>
    <x v="3"/>
    <x v="2"/>
    <x v="1"/>
    <x v="479"/>
    <s v="Muslyumovo"/>
    <s v="Muslyumovo"/>
    <s v="Animal Feed"/>
    <n v="365.37"/>
    <n v="6"/>
    <s v="Mixed"/>
    <x v="3"/>
    <n v="2"/>
    <n v="1"/>
    <s v="Low"/>
    <s v="Very Sensitive"/>
    <n v="1"/>
    <n v="5"/>
    <s v="Low"/>
    <s v="Smartphone"/>
    <s v="PayPal"/>
    <d v="2024-07-02T00:00:00"/>
    <b v="1"/>
    <x v="1"/>
    <s v="Wants-based"/>
    <s v="Express"/>
    <n v="7"/>
  </r>
  <r>
    <x v="491"/>
    <x v="491"/>
    <x v="6"/>
    <x v="0"/>
    <x v="0"/>
    <x v="0"/>
    <x v="3"/>
    <x v="2"/>
    <x v="1"/>
    <x v="480"/>
    <s v="Taiyuan"/>
    <s v="Taiyuan"/>
    <s v="Mobile Accessories"/>
    <n v="487.25"/>
    <n v="4"/>
    <s v="Online"/>
    <x v="1"/>
    <n v="2"/>
    <n v="1"/>
    <s v="High"/>
    <s v="Very Sensitive"/>
    <n v="0"/>
    <n v="4"/>
    <s v="High"/>
    <s v="Desktop"/>
    <s v="Cash"/>
    <d v="2024-10-08T00:00:00"/>
    <b v="0"/>
    <x v="0"/>
    <s v="Wants-based"/>
    <s v="Standard"/>
    <n v="1"/>
  </r>
  <r>
    <x v="492"/>
    <x v="492"/>
    <x v="3"/>
    <x v="0"/>
    <x v="0"/>
    <x v="0"/>
    <x v="0"/>
    <x v="1"/>
    <x v="1"/>
    <x v="481"/>
    <s v="Chatturat"/>
    <s v="Chatturat"/>
    <s v="Baby Products"/>
    <n v="187.22"/>
    <n v="10"/>
    <s v="Online"/>
    <x v="0"/>
    <n v="3"/>
    <n v="0"/>
    <s v="Medium"/>
    <s v="Very Sensitive"/>
    <n v="1"/>
    <n v="4"/>
    <s v="Low"/>
    <s v="Desktop"/>
    <s v="Credit Card"/>
    <d v="2024-06-04T00:00:00"/>
    <b v="0"/>
    <x v="0"/>
    <s v="Wants-based"/>
    <s v="Standard"/>
    <n v="4"/>
  </r>
  <r>
    <x v="493"/>
    <x v="493"/>
    <x v="30"/>
    <x v="1"/>
    <x v="1"/>
    <x v="1"/>
    <x v="3"/>
    <x v="2"/>
    <x v="1"/>
    <x v="482"/>
    <s v="Paisha"/>
    <s v="Paisha"/>
    <s v="Toys &amp; Games"/>
    <n v="396.82"/>
    <n v="7"/>
    <s v="Mixed"/>
    <x v="1"/>
    <n v="4"/>
    <n v="1"/>
    <s v="None"/>
    <s v="Somewhat Sensitive"/>
    <n v="1"/>
    <n v="9"/>
    <s v="High"/>
    <s v="Desktop"/>
    <s v="Credit Card"/>
    <d v="2024-08-13T00:00:00"/>
    <b v="1"/>
    <x v="1"/>
    <s v="Need-based"/>
    <s v="No Preference"/>
    <n v="9"/>
  </r>
  <r>
    <x v="494"/>
    <x v="494"/>
    <x v="9"/>
    <x v="2"/>
    <x v="3"/>
    <x v="1"/>
    <x v="3"/>
    <x v="2"/>
    <x v="1"/>
    <x v="483"/>
    <s v="Kadugadung"/>
    <s v="Kadugadung"/>
    <s v="Travel &amp; Leisure (Flights"/>
    <n v="246.74"/>
    <n v="10"/>
    <s v="Online"/>
    <x v="2"/>
    <n v="3"/>
    <n v="0"/>
    <s v="Medium"/>
    <s v="Not Sensitive"/>
    <n v="1"/>
    <n v="6"/>
    <s v="High"/>
    <s v="Desktop"/>
    <s v="PayPal"/>
    <d v="2024-03-27T00:00:00"/>
    <b v="0"/>
    <x v="0"/>
    <s v="Need-based"/>
    <s v="Express"/>
    <n v="8"/>
  </r>
  <r>
    <x v="495"/>
    <x v="495"/>
    <x v="29"/>
    <x v="1"/>
    <x v="1"/>
    <x v="1"/>
    <x v="2"/>
    <x v="0"/>
    <x v="1"/>
    <x v="484"/>
    <s v="Paris 15"/>
    <s v="Paris 15"/>
    <s v="Luxury Goods"/>
    <n v="128.74"/>
    <n v="12"/>
    <s v="Mixed"/>
    <x v="0"/>
    <n v="1"/>
    <n v="1"/>
    <s v="Medium"/>
    <s v="Somewhat Sensitive"/>
    <n v="1"/>
    <n v="8"/>
    <s v="High"/>
    <s v="Desktop"/>
    <s v="PayPal"/>
    <d v="2024-01-06T00:00:00"/>
    <b v="0"/>
    <x v="1"/>
    <s v="Planned"/>
    <s v="Standard"/>
    <n v="1"/>
  </r>
  <r>
    <x v="496"/>
    <x v="496"/>
    <x v="30"/>
    <x v="0"/>
    <x v="0"/>
    <x v="0"/>
    <x v="2"/>
    <x v="2"/>
    <x v="0"/>
    <x v="485"/>
    <s v="Dualing"/>
    <s v="Dualing"/>
    <s v="Toys &amp; Games"/>
    <n v="339.63"/>
    <n v="2"/>
    <s v="In-Store"/>
    <x v="1"/>
    <n v="3"/>
    <n v="2"/>
    <s v="Medium"/>
    <s v="Very Sensitive"/>
    <n v="2"/>
    <n v="1"/>
    <s v="Low"/>
    <s v="Tablet"/>
    <s v="PayPal"/>
    <d v="2024-08-26T00:00:00"/>
    <b v="1"/>
    <x v="0"/>
    <s v="Impulsive"/>
    <s v="No Preference"/>
    <n v="6"/>
  </r>
  <r>
    <x v="497"/>
    <x v="497"/>
    <x v="19"/>
    <x v="0"/>
    <x v="0"/>
    <x v="1"/>
    <x v="1"/>
    <x v="0"/>
    <x v="1"/>
    <x v="486"/>
    <s v="Adelaide"/>
    <s v="Adelaide"/>
    <s v="Sports &amp; Outdoors"/>
    <n v="223.58"/>
    <n v="11"/>
    <s v="Mixed"/>
    <x v="4"/>
    <n v="3"/>
    <n v="0"/>
    <s v="High"/>
    <s v="Very Sensitive"/>
    <n v="0"/>
    <n v="6"/>
    <s v="None"/>
    <s v="Tablet"/>
    <s v="PayPal"/>
    <d v="2024-05-20T00:00:00"/>
    <b v="0"/>
    <x v="0"/>
    <s v="Impulsive"/>
    <s v="No Preference"/>
    <n v="11"/>
  </r>
  <r>
    <x v="498"/>
    <x v="498"/>
    <x v="7"/>
    <x v="2"/>
    <x v="7"/>
    <x v="1"/>
    <x v="2"/>
    <x v="0"/>
    <x v="0"/>
    <x v="487"/>
    <s v="Pingshi"/>
    <s v="Pingshi"/>
    <s v="Gardening &amp; Outdoors"/>
    <n v="446.92"/>
    <n v="5"/>
    <s v="Mixed"/>
    <x v="3"/>
    <n v="1"/>
    <n v="1"/>
    <s v="Medium"/>
    <s v="Very Sensitive"/>
    <n v="2"/>
    <n v="6"/>
    <s v="None"/>
    <s v="Smartphone"/>
    <s v="PayPal"/>
    <d v="2024-07-19T00:00:00"/>
    <b v="1"/>
    <x v="0"/>
    <s v="Planned"/>
    <s v="Express"/>
    <n v="10"/>
  </r>
  <r>
    <x v="499"/>
    <x v="499"/>
    <x v="20"/>
    <x v="1"/>
    <x v="1"/>
    <x v="0"/>
    <x v="3"/>
    <x v="0"/>
    <x v="0"/>
    <x v="488"/>
    <s v="Renshan"/>
    <s v="Renshan"/>
    <s v="Electronics"/>
    <n v="175.65"/>
    <n v="11"/>
    <s v="Mixed"/>
    <x v="4"/>
    <n v="3"/>
    <n v="2"/>
    <s v="Low"/>
    <s v="Not Sensitive"/>
    <n v="1"/>
    <n v="7"/>
    <s v="None"/>
    <s v="Tablet"/>
    <s v="Other"/>
    <d v="2024-12-08T00:00:00"/>
    <b v="0"/>
    <x v="1"/>
    <s v="Wants-based"/>
    <s v="Express"/>
    <n v="8"/>
  </r>
  <r>
    <x v="500"/>
    <x v="500"/>
    <x v="32"/>
    <x v="2"/>
    <x v="3"/>
    <x v="0"/>
    <x v="0"/>
    <x v="0"/>
    <x v="0"/>
    <x v="489"/>
    <s v="Sobinka"/>
    <s v="Sobinka"/>
    <s v="Clothing"/>
    <n v="491.49"/>
    <n v="10"/>
    <s v="Mixed"/>
    <x v="3"/>
    <n v="1"/>
    <n v="0"/>
    <s v="Low"/>
    <s v="Somewhat Sensitive"/>
    <n v="2"/>
    <n v="7"/>
    <s v="None"/>
    <s v="Desktop"/>
    <s v="PayPal"/>
    <d v="2024-05-28T00:00:00"/>
    <b v="0"/>
    <x v="0"/>
    <s v="Planned"/>
    <s v="Standard"/>
    <n v="1"/>
  </r>
  <r>
    <x v="501"/>
    <x v="501"/>
    <x v="29"/>
    <x v="1"/>
    <x v="1"/>
    <x v="0"/>
    <x v="2"/>
    <x v="0"/>
    <x v="0"/>
    <x v="490"/>
    <s v="Narol"/>
    <s v="Narol"/>
    <s v="Beauty &amp; Personal Care"/>
    <n v="88.4"/>
    <n v="5"/>
    <s v="In-Store"/>
    <x v="0"/>
    <n v="2"/>
    <n v="0"/>
    <s v="Medium"/>
    <s v="Not Sensitive"/>
    <n v="0"/>
    <n v="4"/>
    <s v="Medium"/>
    <s v="Desktop"/>
    <s v="Cash"/>
    <d v="2024-05-26T00:00:00"/>
    <b v="1"/>
    <x v="0"/>
    <s v="Need-based"/>
    <s v="No Preference"/>
    <n v="4"/>
  </r>
  <r>
    <x v="502"/>
    <x v="502"/>
    <x v="3"/>
    <x v="1"/>
    <x v="1"/>
    <x v="0"/>
    <x v="2"/>
    <x v="2"/>
    <x v="1"/>
    <x v="491"/>
    <s v="Fresno"/>
    <s v="Fresno"/>
    <s v="Office Supplies"/>
    <n v="430.9"/>
    <n v="8"/>
    <s v="Online"/>
    <x v="4"/>
    <n v="5"/>
    <n v="1"/>
    <s v="High"/>
    <s v="Not Sensitive"/>
    <n v="0"/>
    <n v="6"/>
    <s v="None"/>
    <s v="Tablet"/>
    <s v="Credit Card"/>
    <d v="2024-06-06T00:00:00"/>
    <b v="0"/>
    <x v="0"/>
    <s v="Wants-based"/>
    <s v="Standard"/>
    <n v="11"/>
  </r>
  <r>
    <x v="503"/>
    <x v="503"/>
    <x v="17"/>
    <x v="1"/>
    <x v="1"/>
    <x v="1"/>
    <x v="2"/>
    <x v="1"/>
    <x v="1"/>
    <x v="492"/>
    <s v="Vabalninkas"/>
    <s v="Vabalninkas"/>
    <s v="Mobile Accessories"/>
    <n v="435.23"/>
    <n v="2"/>
    <s v="In-Store"/>
    <x v="2"/>
    <n v="4"/>
    <n v="0"/>
    <s v="None"/>
    <s v="Somewhat Sensitive"/>
    <n v="2"/>
    <n v="2"/>
    <s v="Medium"/>
    <s v="Smartphone"/>
    <s v="Cash"/>
    <d v="2024-02-27T00:00:00"/>
    <b v="0"/>
    <x v="1"/>
    <s v="Impulsive"/>
    <s v="Express"/>
    <n v="13"/>
  </r>
  <r>
    <x v="504"/>
    <x v="504"/>
    <x v="24"/>
    <x v="0"/>
    <x v="0"/>
    <x v="1"/>
    <x v="3"/>
    <x v="2"/>
    <x v="0"/>
    <x v="493"/>
    <s v="Jambuwerkrajan"/>
    <s v="Jambuwerkrajan"/>
    <s v="Toys &amp; Games"/>
    <n v="218.65"/>
    <n v="3"/>
    <s v="Online"/>
    <x v="4"/>
    <n v="2"/>
    <n v="2"/>
    <s v="Low"/>
    <s v="Very Sensitive"/>
    <n v="0"/>
    <n v="9"/>
    <s v="Medium"/>
    <s v="Smartphone"/>
    <s v="Credit Card"/>
    <d v="2024-07-17T00:00:00"/>
    <b v="1"/>
    <x v="1"/>
    <s v="Impulsive"/>
    <s v="Standard"/>
    <n v="4"/>
  </r>
  <r>
    <x v="505"/>
    <x v="505"/>
    <x v="23"/>
    <x v="1"/>
    <x v="1"/>
    <x v="1"/>
    <x v="2"/>
    <x v="1"/>
    <x v="0"/>
    <x v="494"/>
    <s v="Ozubulu"/>
    <s v="Ozubulu"/>
    <s v="Health Supplements"/>
    <n v="207.66"/>
    <n v="10"/>
    <s v="In-Store"/>
    <x v="2"/>
    <n v="3"/>
    <n v="1"/>
    <s v="High"/>
    <s v="Very Sensitive"/>
    <n v="2"/>
    <n v="2"/>
    <s v="Medium"/>
    <s v="Desktop"/>
    <s v="Other"/>
    <d v="2024-07-08T00:00:00"/>
    <b v="0"/>
    <x v="1"/>
    <s v="Wants-based"/>
    <s v="Standard"/>
    <n v="8"/>
  </r>
  <r>
    <x v="506"/>
    <x v="506"/>
    <x v="10"/>
    <x v="0"/>
    <x v="0"/>
    <x v="1"/>
    <x v="0"/>
    <x v="1"/>
    <x v="1"/>
    <x v="495"/>
    <s v="Nakhchivan"/>
    <s v="Nakhchivan"/>
    <s v="Arts &amp; Crafts"/>
    <n v="141.09"/>
    <n v="7"/>
    <s v="In-Store"/>
    <x v="1"/>
    <n v="4"/>
    <n v="0"/>
    <s v="High"/>
    <s v="Very Sensitive"/>
    <n v="2"/>
    <n v="3"/>
    <s v="High"/>
    <s v="Desktop"/>
    <s v="Debit Card"/>
    <d v="2024-06-19T00:00:00"/>
    <b v="0"/>
    <x v="1"/>
    <s v="Wants-based"/>
    <s v="Express"/>
    <n v="1"/>
  </r>
  <r>
    <x v="507"/>
    <x v="507"/>
    <x v="7"/>
    <x v="1"/>
    <x v="1"/>
    <x v="1"/>
    <x v="3"/>
    <x v="0"/>
    <x v="0"/>
    <x v="496"/>
    <s v="Curuman"/>
    <s v="Curumanأ­"/>
    <s v="Packages)"/>
    <n v="142.69999999999999"/>
    <n v="6"/>
    <s v="In-Store"/>
    <x v="1"/>
    <n v="2"/>
    <n v="1"/>
    <s v="None"/>
    <s v="Very Sensitive"/>
    <n v="0"/>
    <n v="4"/>
    <s v="None"/>
    <s v="Desktop"/>
    <s v="Credit Card"/>
    <d v="2024-05-17T00:00:00"/>
    <b v="0"/>
    <x v="1"/>
    <s v="Impulsive"/>
    <s v="No Preference"/>
    <n v="11"/>
  </r>
  <r>
    <x v="508"/>
    <x v="508"/>
    <x v="32"/>
    <x v="1"/>
    <x v="1"/>
    <x v="1"/>
    <x v="3"/>
    <x v="2"/>
    <x v="1"/>
    <x v="497"/>
    <s v="Praia"/>
    <s v="Praia"/>
    <s v="Animal Feed"/>
    <n v="64.09"/>
    <n v="10"/>
    <s v="Online"/>
    <x v="0"/>
    <n v="5"/>
    <n v="0"/>
    <s v="None"/>
    <s v="Somewhat Sensitive"/>
    <n v="0"/>
    <n v="6"/>
    <s v="Low"/>
    <s v="Desktop"/>
    <s v="Credit Card"/>
    <d v="2024-10-20T00:00:00"/>
    <b v="1"/>
    <x v="0"/>
    <s v="Need-based"/>
    <s v="Express"/>
    <n v="7"/>
  </r>
  <r>
    <x v="509"/>
    <x v="509"/>
    <x v="28"/>
    <x v="0"/>
    <x v="0"/>
    <x v="0"/>
    <x v="0"/>
    <x v="1"/>
    <x v="0"/>
    <x v="359"/>
    <s v="So Cristvo"/>
    <s v="Sأ£o Cristأ³vأ£o"/>
    <s v="Toys &amp; Games"/>
    <n v="126.26"/>
    <n v="2"/>
    <s v="Online"/>
    <x v="4"/>
    <n v="5"/>
    <n v="1"/>
    <s v="None"/>
    <s v="Somewhat Sensitive"/>
    <n v="1"/>
    <n v="6"/>
    <s v="None"/>
    <s v="Smartphone"/>
    <s v="Debit Card"/>
    <d v="2024-09-19T00:00:00"/>
    <b v="1"/>
    <x v="0"/>
    <s v="Planned"/>
    <s v="Standard"/>
    <n v="13"/>
  </r>
  <r>
    <x v="510"/>
    <x v="510"/>
    <x v="21"/>
    <x v="0"/>
    <x v="0"/>
    <x v="0"/>
    <x v="1"/>
    <x v="1"/>
    <x v="1"/>
    <x v="498"/>
    <s v="Pallisa"/>
    <s v="Pallisa"/>
    <s v="Hotels"/>
    <n v="195.05"/>
    <n v="5"/>
    <s v="In-Store"/>
    <x v="2"/>
    <n v="1"/>
    <n v="2"/>
    <s v="Medium"/>
    <s v="Not Sensitive"/>
    <n v="0"/>
    <n v="10"/>
    <s v="High"/>
    <s v="Smartphone"/>
    <s v="Other"/>
    <d v="2024-05-21T00:00:00"/>
    <b v="1"/>
    <x v="0"/>
    <s v="Impulsive"/>
    <s v="No Preference"/>
    <n v="11"/>
  </r>
  <r>
    <x v="511"/>
    <x v="511"/>
    <x v="0"/>
    <x v="0"/>
    <x v="0"/>
    <x v="0"/>
    <x v="0"/>
    <x v="2"/>
    <x v="1"/>
    <x v="499"/>
    <s v="San Pascual"/>
    <s v="San Pascual"/>
    <s v="Groceries"/>
    <n v="432.84"/>
    <n v="7"/>
    <s v="Mixed"/>
    <x v="4"/>
    <n v="5"/>
    <n v="2"/>
    <s v="High"/>
    <s v="Very Sensitive"/>
    <n v="0"/>
    <n v="1"/>
    <s v="High"/>
    <s v="Tablet"/>
    <s v="Debit Card"/>
    <d v="2024-02-05T00:00:00"/>
    <b v="0"/>
    <x v="0"/>
    <s v="Wants-based"/>
    <s v="No Preference"/>
    <n v="4"/>
  </r>
  <r>
    <x v="512"/>
    <x v="512"/>
    <x v="12"/>
    <x v="1"/>
    <x v="1"/>
    <x v="1"/>
    <x v="0"/>
    <x v="0"/>
    <x v="0"/>
    <x v="500"/>
    <s v="Arah ash Shamlyah"/>
    <s v="â€کAإںؤ«rah ash Shamؤپlؤ«yah"/>
    <s v="Jewelry &amp; Accessories"/>
    <n v="404.12"/>
    <n v="6"/>
    <s v="In-Store"/>
    <x v="3"/>
    <n v="3"/>
    <n v="1"/>
    <s v="High"/>
    <s v="Very Sensitive"/>
    <n v="0"/>
    <n v="4"/>
    <s v="Low"/>
    <s v="Smartphone"/>
    <s v="Debit Card"/>
    <d v="2024-02-29T00:00:00"/>
    <b v="0"/>
    <x v="0"/>
    <s v="Impulsive"/>
    <s v="Express"/>
    <n v="11"/>
  </r>
  <r>
    <x v="513"/>
    <x v="513"/>
    <x v="7"/>
    <x v="1"/>
    <x v="1"/>
    <x v="1"/>
    <x v="3"/>
    <x v="2"/>
    <x v="1"/>
    <x v="501"/>
    <s v="Dom Pedrito"/>
    <s v="Dom Pedrito"/>
    <s v="Groceries"/>
    <n v="438.26"/>
    <n v="10"/>
    <s v="In-Store"/>
    <x v="1"/>
    <n v="4"/>
    <n v="1"/>
    <s v="None"/>
    <s v="Somewhat Sensitive"/>
    <n v="1"/>
    <n v="3"/>
    <s v="Medium"/>
    <s v="Smartphone"/>
    <s v="Debit Card"/>
    <d v="2024-07-04T00:00:00"/>
    <b v="1"/>
    <x v="0"/>
    <s v="Planned"/>
    <s v="Express"/>
    <n v="10"/>
  </r>
  <r>
    <x v="514"/>
    <x v="514"/>
    <x v="24"/>
    <x v="0"/>
    <x v="0"/>
    <x v="1"/>
    <x v="1"/>
    <x v="0"/>
    <x v="1"/>
    <x v="502"/>
    <s v="San Sebastin de Yal"/>
    <s v="San Sebastiأ،n de Yalأ­"/>
    <s v="Jewelry &amp; Accessories"/>
    <n v="233.02"/>
    <n v="4"/>
    <s v="Mixed"/>
    <x v="1"/>
    <n v="3"/>
    <n v="1"/>
    <s v="Medium"/>
    <s v="Not Sensitive"/>
    <n v="0"/>
    <n v="3"/>
    <s v="Medium"/>
    <s v="Smartphone"/>
    <s v="Cash"/>
    <d v="2024-10-29T00:00:00"/>
    <b v="0"/>
    <x v="0"/>
    <s v="Impulsive"/>
    <s v="Standard"/>
    <n v="8"/>
  </r>
  <r>
    <x v="515"/>
    <x v="515"/>
    <x v="29"/>
    <x v="0"/>
    <x v="0"/>
    <x v="0"/>
    <x v="2"/>
    <x v="0"/>
    <x v="0"/>
    <x v="503"/>
    <s v="Shchkino"/>
    <s v="Shchأ«kino"/>
    <s v="Packages)"/>
    <n v="273.41000000000003"/>
    <n v="7"/>
    <s v="Online"/>
    <x v="1"/>
    <n v="5"/>
    <n v="2"/>
    <s v="Low"/>
    <s v="Very Sensitive"/>
    <n v="0"/>
    <n v="9"/>
    <s v="Medium"/>
    <s v="Tablet"/>
    <s v="Other"/>
    <d v="2024-10-17T00:00:00"/>
    <b v="1"/>
    <x v="0"/>
    <s v="Planned"/>
    <s v="Standard"/>
    <n v="2"/>
  </r>
  <r>
    <x v="516"/>
    <x v="516"/>
    <x v="6"/>
    <x v="0"/>
    <x v="0"/>
    <x v="1"/>
    <x v="0"/>
    <x v="1"/>
    <x v="0"/>
    <x v="504"/>
    <s v="Turkestan"/>
    <s v="Turkestan"/>
    <s v="Furniture"/>
    <n v="338.96"/>
    <n v="10"/>
    <s v="Online"/>
    <x v="3"/>
    <n v="4"/>
    <n v="2"/>
    <s v="High"/>
    <s v="Somewhat Sensitive"/>
    <n v="1"/>
    <n v="9"/>
    <s v="High"/>
    <s v="Desktop"/>
    <s v="Debit Card"/>
    <d v="2024-11-04T00:00:00"/>
    <b v="1"/>
    <x v="1"/>
    <s v="Wants-based"/>
    <s v="Standard"/>
    <n v="4"/>
  </r>
  <r>
    <x v="517"/>
    <x v="517"/>
    <x v="14"/>
    <x v="1"/>
    <x v="1"/>
    <x v="0"/>
    <x v="3"/>
    <x v="2"/>
    <x v="1"/>
    <x v="505"/>
    <s v="Rzeczenica"/>
    <s v="Rzeczenica"/>
    <s v="Luxury Goods"/>
    <n v="75.91"/>
    <n v="12"/>
    <s v="Mixed"/>
    <x v="1"/>
    <n v="5"/>
    <n v="2"/>
    <s v="Low"/>
    <s v="Very Sensitive"/>
    <n v="0"/>
    <n v="6"/>
    <s v="None"/>
    <s v="Desktop"/>
    <s v="PayPal"/>
    <d v="2024-11-21T00:00:00"/>
    <b v="1"/>
    <x v="1"/>
    <s v="Planned"/>
    <s v="No Preference"/>
    <n v="1"/>
  </r>
  <r>
    <x v="518"/>
    <x v="518"/>
    <x v="25"/>
    <x v="1"/>
    <x v="1"/>
    <x v="1"/>
    <x v="0"/>
    <x v="1"/>
    <x v="1"/>
    <x v="506"/>
    <s v="Perzw"/>
    <s v="Perzأ³w"/>
    <s v="Mobile Accessories"/>
    <n v="425.21"/>
    <n v="12"/>
    <s v="Online"/>
    <x v="2"/>
    <n v="4"/>
    <n v="2"/>
    <s v="Low"/>
    <s v="Somewhat Sensitive"/>
    <n v="0"/>
    <n v="4"/>
    <s v="High"/>
    <s v="Desktop"/>
    <s v="Other"/>
    <d v="2024-03-25T00:00:00"/>
    <b v="1"/>
    <x v="1"/>
    <s v="Planned"/>
    <s v="Express"/>
    <n v="12"/>
  </r>
  <r>
    <x v="519"/>
    <x v="519"/>
    <x v="19"/>
    <x v="1"/>
    <x v="1"/>
    <x v="0"/>
    <x v="0"/>
    <x v="2"/>
    <x v="0"/>
    <x v="507"/>
    <s v="Sabon Gari-Nangere"/>
    <s v="Sabon Gari-Nangere"/>
    <s v="Software &amp; Apps"/>
    <n v="268.8"/>
    <n v="2"/>
    <s v="In-Store"/>
    <x v="3"/>
    <n v="3"/>
    <n v="0"/>
    <s v="High"/>
    <s v="Very Sensitive"/>
    <n v="1"/>
    <n v="7"/>
    <s v="None"/>
    <s v="Desktop"/>
    <s v="Debit Card"/>
    <d v="2024-04-20T00:00:00"/>
    <b v="0"/>
    <x v="0"/>
    <s v="Need-based"/>
    <s v="Standard"/>
    <n v="12"/>
  </r>
  <r>
    <x v="520"/>
    <x v="520"/>
    <x v="22"/>
    <x v="0"/>
    <x v="0"/>
    <x v="0"/>
    <x v="3"/>
    <x v="2"/>
    <x v="1"/>
    <x v="508"/>
    <s v="Hengshui"/>
    <s v="Hengshui"/>
    <s v="Health Care"/>
    <n v="170.71"/>
    <n v="10"/>
    <s v="Mixed"/>
    <x v="0"/>
    <n v="3"/>
    <n v="0"/>
    <s v="Low"/>
    <s v="Somewhat Sensitive"/>
    <n v="1"/>
    <n v="9"/>
    <s v="Low"/>
    <s v="Desktop"/>
    <s v="Credit Card"/>
    <d v="2024-04-14T00:00:00"/>
    <b v="1"/>
    <x v="1"/>
    <s v="Planned"/>
    <s v="No Preference"/>
    <n v="7"/>
  </r>
  <r>
    <x v="521"/>
    <x v="521"/>
    <x v="4"/>
    <x v="2"/>
    <x v="4"/>
    <x v="0"/>
    <x v="2"/>
    <x v="1"/>
    <x v="0"/>
    <x v="509"/>
    <s v="Nantes"/>
    <s v="Nantes"/>
    <s v="Animal Feed"/>
    <n v="444.05"/>
    <n v="10"/>
    <s v="Online"/>
    <x v="0"/>
    <n v="4"/>
    <n v="0"/>
    <s v="Low"/>
    <s v="Not Sensitive"/>
    <n v="1"/>
    <n v="8"/>
    <s v="Medium"/>
    <s v="Desktop"/>
    <s v="PayPal"/>
    <d v="2024-06-04T00:00:00"/>
    <b v="1"/>
    <x v="1"/>
    <s v="Wants-based"/>
    <s v="Standard"/>
    <n v="8"/>
  </r>
  <r>
    <x v="522"/>
    <x v="522"/>
    <x v="26"/>
    <x v="1"/>
    <x v="1"/>
    <x v="0"/>
    <x v="3"/>
    <x v="1"/>
    <x v="0"/>
    <x v="510"/>
    <s v="Tamorot"/>
    <s v="Tamorot"/>
    <s v="Gardening &amp; Outdoors"/>
    <n v="255.1"/>
    <n v="5"/>
    <s v="Mixed"/>
    <x v="0"/>
    <n v="1"/>
    <n v="2"/>
    <s v="High"/>
    <s v="Very Sensitive"/>
    <n v="1"/>
    <n v="1"/>
    <s v="Low"/>
    <s v="Desktop"/>
    <s v="PayPal"/>
    <d v="2024-01-28T00:00:00"/>
    <b v="1"/>
    <x v="0"/>
    <s v="Planned"/>
    <s v="No Preference"/>
    <n v="14"/>
  </r>
  <r>
    <x v="523"/>
    <x v="523"/>
    <x v="11"/>
    <x v="1"/>
    <x v="1"/>
    <x v="1"/>
    <x v="2"/>
    <x v="0"/>
    <x v="1"/>
    <x v="511"/>
    <s v="Sinchao"/>
    <s v="Sinchao"/>
    <s v="Health Supplements"/>
    <n v="236.44"/>
    <n v="6"/>
    <s v="Mixed"/>
    <x v="4"/>
    <n v="4"/>
    <n v="0"/>
    <s v="Medium"/>
    <s v="Very Sensitive"/>
    <n v="2"/>
    <n v="2"/>
    <s v="None"/>
    <s v="Smartphone"/>
    <s v="PayPal"/>
    <d v="2024-05-15T00:00:00"/>
    <b v="0"/>
    <x v="0"/>
    <s v="Impulsive"/>
    <s v="Standard"/>
    <n v="6"/>
  </r>
  <r>
    <x v="524"/>
    <x v="524"/>
    <x v="28"/>
    <x v="1"/>
    <x v="1"/>
    <x v="0"/>
    <x v="2"/>
    <x v="0"/>
    <x v="1"/>
    <x v="512"/>
    <s v="Anding"/>
    <s v="Anding"/>
    <s v="Furniture"/>
    <n v="201.69"/>
    <n v="11"/>
    <s v="Mixed"/>
    <x v="4"/>
    <n v="5"/>
    <n v="0"/>
    <s v="High"/>
    <s v="Very Sensitive"/>
    <n v="2"/>
    <n v="8"/>
    <s v="Low"/>
    <s v="Tablet"/>
    <s v="Other"/>
    <d v="2024-07-19T00:00:00"/>
    <b v="1"/>
    <x v="0"/>
    <s v="Planned"/>
    <s v="No Preference"/>
    <n v="3"/>
  </r>
  <r>
    <x v="525"/>
    <x v="525"/>
    <x v="14"/>
    <x v="0"/>
    <x v="0"/>
    <x v="1"/>
    <x v="1"/>
    <x v="0"/>
    <x v="0"/>
    <x v="513"/>
    <s v="Rukem"/>
    <s v="Rukem"/>
    <s v="Arts &amp; Crafts"/>
    <n v="390.51"/>
    <n v="6"/>
    <s v="Online"/>
    <x v="1"/>
    <n v="2"/>
    <n v="0"/>
    <s v="Medium"/>
    <s v="Very Sensitive"/>
    <n v="0"/>
    <n v="2"/>
    <s v="High"/>
    <s v="Desktop"/>
    <s v="Cash"/>
    <d v="2024-04-15T00:00:00"/>
    <b v="0"/>
    <x v="0"/>
    <s v="Wants-based"/>
    <s v="Express"/>
    <n v="6"/>
  </r>
  <r>
    <x v="526"/>
    <x v="526"/>
    <x v="22"/>
    <x v="2"/>
    <x v="4"/>
    <x v="1"/>
    <x v="3"/>
    <x v="2"/>
    <x v="1"/>
    <x v="514"/>
    <s v="Bogovarovo"/>
    <s v="Bogovarovo"/>
    <s v="Clothing"/>
    <n v="442.29"/>
    <n v="9"/>
    <s v="Mixed"/>
    <x v="3"/>
    <n v="2"/>
    <n v="0"/>
    <s v="Medium"/>
    <s v="Somewhat Sensitive"/>
    <n v="1"/>
    <n v="2"/>
    <s v="Low"/>
    <s v="Tablet"/>
    <s v="PayPal"/>
    <d v="2024-09-11T00:00:00"/>
    <b v="0"/>
    <x v="0"/>
    <s v="Planned"/>
    <s v="Express"/>
    <n v="13"/>
  </r>
  <r>
    <x v="527"/>
    <x v="527"/>
    <x v="27"/>
    <x v="0"/>
    <x v="0"/>
    <x v="0"/>
    <x v="1"/>
    <x v="1"/>
    <x v="1"/>
    <x v="515"/>
    <s v="Valbo"/>
    <s v="Valbo"/>
    <s v="Furniture"/>
    <n v="89.6"/>
    <n v="7"/>
    <s v="In-Store"/>
    <x v="0"/>
    <n v="3"/>
    <n v="2"/>
    <s v="None"/>
    <s v="Not Sensitive"/>
    <n v="1"/>
    <n v="5"/>
    <s v="Low"/>
    <s v="Desktop"/>
    <s v="Cash"/>
    <d v="2024-03-10T00:00:00"/>
    <b v="0"/>
    <x v="0"/>
    <s v="Planned"/>
    <s v="Standard"/>
    <n v="8"/>
  </r>
  <r>
    <x v="528"/>
    <x v="528"/>
    <x v="23"/>
    <x v="1"/>
    <x v="1"/>
    <x v="0"/>
    <x v="2"/>
    <x v="1"/>
    <x v="1"/>
    <x v="516"/>
    <s v="Jaguaruana"/>
    <s v="Jaguaruana"/>
    <s v="Sports &amp; Outdoors"/>
    <n v="166.74"/>
    <n v="6"/>
    <s v="Mixed"/>
    <x v="2"/>
    <n v="5"/>
    <n v="0"/>
    <s v="High"/>
    <s v="Not Sensitive"/>
    <n v="0"/>
    <n v="6"/>
    <s v="Low"/>
    <s v="Desktop"/>
    <s v="Other"/>
    <d v="2024-01-14T00:00:00"/>
    <b v="0"/>
    <x v="0"/>
    <s v="Impulsive"/>
    <s v="No Preference"/>
    <n v="1"/>
  </r>
  <r>
    <x v="529"/>
    <x v="529"/>
    <x v="3"/>
    <x v="0"/>
    <x v="0"/>
    <x v="1"/>
    <x v="0"/>
    <x v="0"/>
    <x v="0"/>
    <x v="517"/>
    <s v="cqchah Khnah"/>
    <s v="إ¢ؤپqchah Khؤپnah"/>
    <s v="Mobile Accessories"/>
    <n v="299.27999999999997"/>
    <n v="12"/>
    <s v="Mixed"/>
    <x v="4"/>
    <n v="5"/>
    <n v="1"/>
    <s v="High"/>
    <s v="Somewhat Sensitive"/>
    <n v="0"/>
    <n v="9"/>
    <s v="High"/>
    <s v="Smartphone"/>
    <s v="Debit Card"/>
    <d v="2024-05-29T00:00:00"/>
    <b v="0"/>
    <x v="0"/>
    <s v="Wants-based"/>
    <s v="Standard"/>
    <n v="3"/>
  </r>
  <r>
    <x v="530"/>
    <x v="530"/>
    <x v="2"/>
    <x v="1"/>
    <x v="1"/>
    <x v="1"/>
    <x v="2"/>
    <x v="2"/>
    <x v="1"/>
    <x v="518"/>
    <s v="Lipovci"/>
    <s v="Lipovci"/>
    <s v="Sports &amp; Outdoors"/>
    <n v="404.57"/>
    <n v="5"/>
    <s v="Mixed"/>
    <x v="4"/>
    <n v="3"/>
    <n v="0"/>
    <s v="Medium"/>
    <s v="Not Sensitive"/>
    <n v="2"/>
    <n v="7"/>
    <s v="None"/>
    <s v="Smartphone"/>
    <s v="Debit Card"/>
    <d v="2024-08-31T00:00:00"/>
    <b v="0"/>
    <x v="1"/>
    <s v="Need-based"/>
    <s v="Express"/>
    <n v="14"/>
  </r>
  <r>
    <x v="531"/>
    <x v="531"/>
    <x v="23"/>
    <x v="1"/>
    <x v="1"/>
    <x v="1"/>
    <x v="1"/>
    <x v="0"/>
    <x v="1"/>
    <x v="519"/>
    <s v="Panagyurishte"/>
    <s v="Panagyurishte"/>
    <s v="Software &amp; Apps"/>
    <n v="344.81"/>
    <n v="10"/>
    <s v="In-Store"/>
    <x v="1"/>
    <n v="1"/>
    <n v="2"/>
    <s v="Low"/>
    <s v="Somewhat Sensitive"/>
    <n v="1"/>
    <n v="9"/>
    <s v="High"/>
    <s v="Desktop"/>
    <s v="Other"/>
    <d v="2024-12-23T00:00:00"/>
    <b v="1"/>
    <x v="1"/>
    <s v="Wants-based"/>
    <s v="Express"/>
    <n v="14"/>
  </r>
  <r>
    <x v="532"/>
    <x v="532"/>
    <x v="10"/>
    <x v="1"/>
    <x v="1"/>
    <x v="1"/>
    <x v="1"/>
    <x v="2"/>
    <x v="1"/>
    <x v="520"/>
    <s v="Thl Tryn Than Uyn"/>
    <s v="Thل»‹ Trل؛¥n Than Uyأھn"/>
    <s v="Health Care"/>
    <n v="217.84"/>
    <n v="10"/>
    <s v="Online"/>
    <x v="2"/>
    <n v="2"/>
    <n v="2"/>
    <s v="None"/>
    <s v="Very Sensitive"/>
    <n v="0"/>
    <n v="8"/>
    <s v="High"/>
    <s v="Tablet"/>
    <s v="Cash"/>
    <d v="2024-01-16T00:00:00"/>
    <b v="1"/>
    <x v="1"/>
    <s v="Wants-based"/>
    <s v="Standard"/>
    <n v="11"/>
  </r>
  <r>
    <x v="533"/>
    <x v="533"/>
    <x v="6"/>
    <x v="1"/>
    <x v="1"/>
    <x v="0"/>
    <x v="3"/>
    <x v="0"/>
    <x v="0"/>
    <x v="521"/>
    <s v="Clichy"/>
    <s v="Clichy"/>
    <s v="Sports &amp; Outdoors"/>
    <n v="445.34"/>
    <n v="9"/>
    <s v="In-Store"/>
    <x v="0"/>
    <n v="2"/>
    <n v="1"/>
    <s v="Low"/>
    <s v="Somewhat Sensitive"/>
    <n v="1"/>
    <n v="3"/>
    <s v="High"/>
    <s v="Tablet"/>
    <s v="Cash"/>
    <d v="2024-03-04T00:00:00"/>
    <b v="1"/>
    <x v="1"/>
    <s v="Impulsive"/>
    <s v="No Preference"/>
    <n v="3"/>
  </r>
  <r>
    <x v="534"/>
    <x v="534"/>
    <x v="27"/>
    <x v="1"/>
    <x v="1"/>
    <x v="1"/>
    <x v="2"/>
    <x v="1"/>
    <x v="1"/>
    <x v="522"/>
    <s v="Koczew"/>
    <s v="Kإ‚oczew"/>
    <s v="Home Appliances"/>
    <n v="151.72999999999999"/>
    <n v="3"/>
    <s v="In-Store"/>
    <x v="2"/>
    <n v="4"/>
    <n v="1"/>
    <s v="Medium"/>
    <s v="Very Sensitive"/>
    <n v="1"/>
    <n v="3"/>
    <s v="None"/>
    <s v="Smartphone"/>
    <s v="Other"/>
    <d v="2024-09-24T00:00:00"/>
    <b v="0"/>
    <x v="1"/>
    <s v="Wants-based"/>
    <s v="Express"/>
    <n v="11"/>
  </r>
  <r>
    <x v="535"/>
    <x v="535"/>
    <x v="17"/>
    <x v="2"/>
    <x v="2"/>
    <x v="1"/>
    <x v="0"/>
    <x v="1"/>
    <x v="1"/>
    <x v="523"/>
    <s v="Zhukovo"/>
    <s v="Zhukovo"/>
    <s v="Electronics"/>
    <n v="123.73"/>
    <n v="9"/>
    <s v="Online"/>
    <x v="3"/>
    <n v="4"/>
    <n v="0"/>
    <s v="High"/>
    <s v="Not Sensitive"/>
    <n v="2"/>
    <n v="5"/>
    <s v="High"/>
    <s v="Smartphone"/>
    <s v="Credit Card"/>
    <d v="2024-10-07T00:00:00"/>
    <b v="0"/>
    <x v="1"/>
    <s v="Need-based"/>
    <s v="No Preference"/>
    <n v="10"/>
  </r>
  <r>
    <x v="536"/>
    <x v="536"/>
    <x v="16"/>
    <x v="1"/>
    <x v="1"/>
    <x v="0"/>
    <x v="1"/>
    <x v="2"/>
    <x v="1"/>
    <x v="524"/>
    <s v="Nykping"/>
    <s v="Nykأ¶ping"/>
    <s v="Travel &amp; Leisure (Flights"/>
    <n v="370.54"/>
    <n v="2"/>
    <s v="In-Store"/>
    <x v="1"/>
    <n v="3"/>
    <n v="0"/>
    <s v="Low"/>
    <s v="Very Sensitive"/>
    <n v="1"/>
    <n v="9"/>
    <s v="Low"/>
    <s v="Smartphone"/>
    <s v="Credit Card"/>
    <d v="2024-03-25T00:00:00"/>
    <b v="1"/>
    <x v="0"/>
    <s v="Impulsive"/>
    <s v="No Preference"/>
    <n v="7"/>
  </r>
  <r>
    <x v="537"/>
    <x v="537"/>
    <x v="5"/>
    <x v="1"/>
    <x v="1"/>
    <x v="1"/>
    <x v="0"/>
    <x v="2"/>
    <x v="1"/>
    <x v="525"/>
    <s v="Jianmin"/>
    <s v="Jianmin"/>
    <s v="Baby Products"/>
    <n v="152.87"/>
    <n v="3"/>
    <s v="In-Store"/>
    <x v="3"/>
    <n v="5"/>
    <n v="2"/>
    <s v="High"/>
    <s v="Very Sensitive"/>
    <n v="1"/>
    <n v="8"/>
    <s v="None"/>
    <s v="Tablet"/>
    <s v="Debit Card"/>
    <d v="2024-08-20T00:00:00"/>
    <b v="0"/>
    <x v="0"/>
    <s v="Impulsive"/>
    <s v="Express"/>
    <n v="11"/>
  </r>
  <r>
    <x v="538"/>
    <x v="538"/>
    <x v="3"/>
    <x v="1"/>
    <x v="1"/>
    <x v="0"/>
    <x v="1"/>
    <x v="2"/>
    <x v="0"/>
    <x v="526"/>
    <s v="Bucaramanga"/>
    <s v="Bucaramanga"/>
    <s v="Health Supplements"/>
    <n v="295.75"/>
    <n v="4"/>
    <s v="Mixed"/>
    <x v="3"/>
    <n v="1"/>
    <n v="0"/>
    <s v="High"/>
    <s v="Somewhat Sensitive"/>
    <n v="1"/>
    <n v="10"/>
    <s v="Low"/>
    <s v="Tablet"/>
    <s v="Credit Card"/>
    <d v="2024-12-07T00:00:00"/>
    <b v="1"/>
    <x v="1"/>
    <s v="Need-based"/>
    <s v="Standard"/>
    <n v="8"/>
  </r>
  <r>
    <x v="539"/>
    <x v="539"/>
    <x v="15"/>
    <x v="1"/>
    <x v="1"/>
    <x v="1"/>
    <x v="2"/>
    <x v="1"/>
    <x v="0"/>
    <x v="527"/>
    <s v="Kudanding"/>
    <s v="Kudanding"/>
    <s v="Office Supplies"/>
    <n v="358.11"/>
    <n v="11"/>
    <s v="Mixed"/>
    <x v="0"/>
    <n v="1"/>
    <n v="0"/>
    <s v="High"/>
    <s v="Very Sensitive"/>
    <n v="0"/>
    <n v="3"/>
    <s v="High"/>
    <s v="Desktop"/>
    <s v="Credit Card"/>
    <d v="2024-09-03T00:00:00"/>
    <b v="0"/>
    <x v="0"/>
    <s v="Need-based"/>
    <s v="Standard"/>
    <n v="11"/>
  </r>
  <r>
    <x v="540"/>
    <x v="540"/>
    <x v="23"/>
    <x v="0"/>
    <x v="0"/>
    <x v="1"/>
    <x v="2"/>
    <x v="2"/>
    <x v="1"/>
    <x v="528"/>
    <s v="Kyoto"/>
    <s v="Kyoto"/>
    <s v="Jewelry &amp; Accessories"/>
    <n v="63.6"/>
    <n v="12"/>
    <s v="Mixed"/>
    <x v="0"/>
    <n v="1"/>
    <n v="0"/>
    <s v="High"/>
    <s v="Not Sensitive"/>
    <n v="2"/>
    <n v="1"/>
    <s v="None"/>
    <s v="Desktop"/>
    <s v="PayPal"/>
    <d v="2024-02-09T00:00:00"/>
    <b v="0"/>
    <x v="1"/>
    <s v="Wants-based"/>
    <s v="No Preference"/>
    <n v="6"/>
  </r>
  <r>
    <x v="541"/>
    <x v="541"/>
    <x v="2"/>
    <x v="1"/>
    <x v="1"/>
    <x v="1"/>
    <x v="1"/>
    <x v="1"/>
    <x v="0"/>
    <x v="529"/>
    <s v="Saraburi"/>
    <s v="Saraburi"/>
    <s v="Books"/>
    <n v="419.53"/>
    <n v="3"/>
    <s v="Mixed"/>
    <x v="3"/>
    <n v="5"/>
    <n v="2"/>
    <s v="High"/>
    <s v="Not Sensitive"/>
    <n v="2"/>
    <n v="10"/>
    <s v="Medium"/>
    <s v="Tablet"/>
    <s v="Other"/>
    <d v="2024-03-27T00:00:00"/>
    <b v="0"/>
    <x v="0"/>
    <s v="Wants-based"/>
    <s v="Express"/>
    <n v="6"/>
  </r>
  <r>
    <x v="542"/>
    <x v="542"/>
    <x v="1"/>
    <x v="2"/>
    <x v="6"/>
    <x v="1"/>
    <x v="2"/>
    <x v="1"/>
    <x v="0"/>
    <x v="530"/>
    <s v="Negeriagung"/>
    <s v="Negeriagung"/>
    <s v="Groceries"/>
    <n v="491.92"/>
    <n v="10"/>
    <s v="In-Store"/>
    <x v="0"/>
    <n v="3"/>
    <n v="0"/>
    <s v="Medium"/>
    <s v="Very Sensitive"/>
    <n v="1"/>
    <n v="1"/>
    <s v="Low"/>
    <s v="Desktop"/>
    <s v="Credit Card"/>
    <d v="2024-12-29T00:00:00"/>
    <b v="0"/>
    <x v="0"/>
    <s v="Wants-based"/>
    <s v="Standard"/>
    <n v="2"/>
  </r>
  <r>
    <x v="543"/>
    <x v="543"/>
    <x v="6"/>
    <x v="2"/>
    <x v="2"/>
    <x v="0"/>
    <x v="3"/>
    <x v="1"/>
    <x v="1"/>
    <x v="531"/>
    <s v="Latacunga"/>
    <s v="Latacunga"/>
    <s v="Sports &amp; Outdoors"/>
    <n v="114.44"/>
    <n v="4"/>
    <s v="Online"/>
    <x v="0"/>
    <n v="3"/>
    <n v="2"/>
    <s v="Low"/>
    <s v="Not Sensitive"/>
    <n v="1"/>
    <n v="9"/>
    <s v="None"/>
    <s v="Desktop"/>
    <s v="Credit Card"/>
    <d v="2024-10-20T00:00:00"/>
    <b v="0"/>
    <x v="0"/>
    <s v="Planned"/>
    <s v="Express"/>
    <n v="1"/>
  </r>
  <r>
    <x v="544"/>
    <x v="544"/>
    <x v="24"/>
    <x v="0"/>
    <x v="0"/>
    <x v="0"/>
    <x v="0"/>
    <x v="2"/>
    <x v="1"/>
    <x v="532"/>
    <s v="Guanzhou"/>
    <s v="Guanzhou"/>
    <s v="Mobile Accessories"/>
    <n v="388.82"/>
    <n v="10"/>
    <s v="Mixed"/>
    <x v="2"/>
    <n v="3"/>
    <n v="0"/>
    <s v="Low"/>
    <s v="Very Sensitive"/>
    <n v="0"/>
    <n v="8"/>
    <s v="Low"/>
    <s v="Desktop"/>
    <s v="Other"/>
    <d v="2024-09-03T00:00:00"/>
    <b v="0"/>
    <x v="0"/>
    <s v="Need-based"/>
    <s v="No Preference"/>
    <n v="6"/>
  </r>
  <r>
    <x v="545"/>
    <x v="545"/>
    <x v="25"/>
    <x v="0"/>
    <x v="0"/>
    <x v="0"/>
    <x v="0"/>
    <x v="0"/>
    <x v="1"/>
    <x v="533"/>
    <s v="Tabuc Pontevedra"/>
    <s v="Tabuc Pontevedra"/>
    <s v="Mobile Accessories"/>
    <n v="58.32"/>
    <n v="7"/>
    <s v="In-Store"/>
    <x v="3"/>
    <n v="5"/>
    <n v="0"/>
    <s v="Low"/>
    <s v="Not Sensitive"/>
    <n v="1"/>
    <n v="6"/>
    <s v="Low"/>
    <s v="Smartphone"/>
    <s v="PayPal"/>
    <d v="2024-03-13T00:00:00"/>
    <b v="1"/>
    <x v="1"/>
    <s v="Need-based"/>
    <s v="Standard"/>
    <n v="8"/>
  </r>
  <r>
    <x v="546"/>
    <x v="546"/>
    <x v="31"/>
    <x v="0"/>
    <x v="0"/>
    <x v="1"/>
    <x v="3"/>
    <x v="2"/>
    <x v="1"/>
    <x v="534"/>
    <s v="Kabale"/>
    <s v="Kabale"/>
    <s v="Groceries"/>
    <n v="464.76"/>
    <n v="2"/>
    <s v="Mixed"/>
    <x v="0"/>
    <n v="1"/>
    <n v="0"/>
    <s v="Low"/>
    <s v="Very Sensitive"/>
    <n v="0"/>
    <n v="3"/>
    <s v="Low"/>
    <s v="Desktop"/>
    <s v="Debit Card"/>
    <d v="2024-02-04T00:00:00"/>
    <b v="0"/>
    <x v="1"/>
    <s v="Need-based"/>
    <s v="No Preference"/>
    <n v="3"/>
  </r>
  <r>
    <x v="547"/>
    <x v="547"/>
    <x v="23"/>
    <x v="0"/>
    <x v="0"/>
    <x v="1"/>
    <x v="3"/>
    <x v="2"/>
    <x v="1"/>
    <x v="535"/>
    <s v="Malveira"/>
    <s v="Malveira"/>
    <s v="Home Appliances"/>
    <n v="116.92"/>
    <n v="7"/>
    <s v="Mixed"/>
    <x v="2"/>
    <n v="3"/>
    <n v="2"/>
    <s v="None"/>
    <s v="Very Sensitive"/>
    <n v="2"/>
    <n v="3"/>
    <s v="Low"/>
    <s v="Desktop"/>
    <s v="Debit Card"/>
    <d v="2024-03-31T00:00:00"/>
    <b v="1"/>
    <x v="0"/>
    <s v="Impulsive"/>
    <s v="No Preference"/>
    <n v="14"/>
  </r>
  <r>
    <x v="548"/>
    <x v="548"/>
    <x v="26"/>
    <x v="0"/>
    <x v="0"/>
    <x v="1"/>
    <x v="3"/>
    <x v="0"/>
    <x v="0"/>
    <x v="536"/>
    <s v="Veiga"/>
    <s v="Veiga"/>
    <s v="Jewelry &amp; Accessories"/>
    <n v="396.76"/>
    <n v="8"/>
    <s v="Online"/>
    <x v="1"/>
    <n v="3"/>
    <n v="1"/>
    <s v="None"/>
    <s v="Very Sensitive"/>
    <n v="2"/>
    <n v="4"/>
    <s v="High"/>
    <s v="Tablet"/>
    <s v="Cash"/>
    <d v="2024-07-17T00:00:00"/>
    <b v="1"/>
    <x v="1"/>
    <s v="Planned"/>
    <s v="Express"/>
    <n v="8"/>
  </r>
  <r>
    <x v="549"/>
    <x v="549"/>
    <x v="28"/>
    <x v="2"/>
    <x v="6"/>
    <x v="1"/>
    <x v="2"/>
    <x v="2"/>
    <x v="0"/>
    <x v="537"/>
    <s v="Jagistay"/>
    <s v="Jagistay"/>
    <s v="Packages)"/>
    <n v="393.35"/>
    <n v="7"/>
    <s v="Mixed"/>
    <x v="1"/>
    <n v="4"/>
    <n v="2"/>
    <s v="High"/>
    <s v="Not Sensitive"/>
    <n v="0"/>
    <n v="4"/>
    <s v="High"/>
    <s v="Tablet"/>
    <s v="Credit Card"/>
    <d v="2024-06-16T00:00:00"/>
    <b v="1"/>
    <x v="1"/>
    <s v="Need-based"/>
    <s v="No Preference"/>
    <n v="12"/>
  </r>
  <r>
    <x v="550"/>
    <x v="550"/>
    <x v="29"/>
    <x v="0"/>
    <x v="0"/>
    <x v="1"/>
    <x v="1"/>
    <x v="2"/>
    <x v="1"/>
    <x v="538"/>
    <s v="Yuannan"/>
    <s v="Yuannan"/>
    <s v="Electronics"/>
    <n v="114.03"/>
    <n v="7"/>
    <s v="Mixed"/>
    <x v="4"/>
    <n v="3"/>
    <n v="0"/>
    <s v="Medium"/>
    <s v="Not Sensitive"/>
    <n v="1"/>
    <n v="10"/>
    <s v="High"/>
    <s v="Tablet"/>
    <s v="Credit Card"/>
    <d v="2024-04-13T00:00:00"/>
    <b v="1"/>
    <x v="1"/>
    <s v="Planned"/>
    <s v="No Preference"/>
    <n v="6"/>
  </r>
  <r>
    <x v="551"/>
    <x v="551"/>
    <x v="1"/>
    <x v="1"/>
    <x v="1"/>
    <x v="1"/>
    <x v="1"/>
    <x v="0"/>
    <x v="0"/>
    <x v="539"/>
    <s v="Mount Darwin"/>
    <s v="Mount Darwin"/>
    <s v="Health Supplements"/>
    <n v="109.97"/>
    <n v="4"/>
    <s v="In-Store"/>
    <x v="4"/>
    <n v="4"/>
    <n v="1"/>
    <s v="None"/>
    <s v="Very Sensitive"/>
    <n v="1"/>
    <n v="5"/>
    <s v="None"/>
    <s v="Tablet"/>
    <s v="Credit Card"/>
    <d v="2024-08-12T00:00:00"/>
    <b v="1"/>
    <x v="0"/>
    <s v="Wants-based"/>
    <s v="No Preference"/>
    <n v="1"/>
  </r>
  <r>
    <x v="552"/>
    <x v="552"/>
    <x v="7"/>
    <x v="0"/>
    <x v="0"/>
    <x v="1"/>
    <x v="2"/>
    <x v="2"/>
    <x v="1"/>
    <x v="540"/>
    <s v="Qalaeh-ye Khvjeh"/>
    <s v="Qalâ€کeh-ye Khvؤپjeh"/>
    <s v="Beauty &amp; Personal Care"/>
    <n v="310.23"/>
    <n v="12"/>
    <s v="In-Store"/>
    <x v="3"/>
    <n v="4"/>
    <n v="0"/>
    <s v="None"/>
    <s v="Somewhat Sensitive"/>
    <n v="0"/>
    <n v="6"/>
    <s v="None"/>
    <s v="Desktop"/>
    <s v="PayPal"/>
    <d v="2024-12-17T00:00:00"/>
    <b v="1"/>
    <x v="0"/>
    <s v="Impulsive"/>
    <s v="Express"/>
    <n v="3"/>
  </r>
  <r>
    <x v="553"/>
    <x v="553"/>
    <x v="0"/>
    <x v="1"/>
    <x v="1"/>
    <x v="0"/>
    <x v="3"/>
    <x v="2"/>
    <x v="0"/>
    <x v="536"/>
    <s v="Veiga"/>
    <s v="Veiga"/>
    <s v="Travel &amp; Leisure (Flights"/>
    <n v="383.13"/>
    <n v="3"/>
    <s v="Mixed"/>
    <x v="4"/>
    <n v="5"/>
    <n v="0"/>
    <s v="Medium"/>
    <s v="Not Sensitive"/>
    <n v="2"/>
    <n v="6"/>
    <s v="None"/>
    <s v="Desktop"/>
    <s v="Cash"/>
    <d v="2024-09-25T00:00:00"/>
    <b v="0"/>
    <x v="0"/>
    <s v="Need-based"/>
    <s v="No Preference"/>
    <n v="7"/>
  </r>
  <r>
    <x v="554"/>
    <x v="554"/>
    <x v="8"/>
    <x v="1"/>
    <x v="1"/>
    <x v="1"/>
    <x v="1"/>
    <x v="1"/>
    <x v="0"/>
    <x v="541"/>
    <s v="Al Qarrah"/>
    <s v="Al Qarؤپrah"/>
    <s v="Health Supplements"/>
    <n v="434.86"/>
    <n v="11"/>
    <s v="In-Store"/>
    <x v="2"/>
    <n v="5"/>
    <n v="2"/>
    <s v="High"/>
    <s v="Somewhat Sensitive"/>
    <n v="0"/>
    <n v="4"/>
    <s v="Medium"/>
    <s v="Smartphone"/>
    <s v="Other"/>
    <d v="2024-06-24T00:00:00"/>
    <b v="1"/>
    <x v="0"/>
    <s v="Impulsive"/>
    <s v="Express"/>
    <n v="11"/>
  </r>
  <r>
    <x v="555"/>
    <x v="555"/>
    <x v="12"/>
    <x v="0"/>
    <x v="0"/>
    <x v="0"/>
    <x v="0"/>
    <x v="0"/>
    <x v="0"/>
    <x v="542"/>
    <s v="Fandriana"/>
    <s v="Fandriana"/>
    <s v="Office Supplies"/>
    <n v="489.1"/>
    <n v="9"/>
    <s v="Mixed"/>
    <x v="1"/>
    <n v="4"/>
    <n v="1"/>
    <s v="Low"/>
    <s v="Somewhat Sensitive"/>
    <n v="2"/>
    <n v="4"/>
    <s v="Medium"/>
    <s v="Smartphone"/>
    <s v="Credit Card"/>
    <d v="2024-11-18T00:00:00"/>
    <b v="1"/>
    <x v="0"/>
    <s v="Need-based"/>
    <s v="Standard"/>
    <n v="13"/>
  </r>
  <r>
    <x v="556"/>
    <x v="556"/>
    <x v="24"/>
    <x v="2"/>
    <x v="5"/>
    <x v="1"/>
    <x v="0"/>
    <x v="0"/>
    <x v="1"/>
    <x v="543"/>
    <s v="Carregueira"/>
    <s v="Carregueira"/>
    <s v="Jewelry &amp; Accessories"/>
    <n v="288.14999999999998"/>
    <n v="3"/>
    <s v="Online"/>
    <x v="3"/>
    <n v="4"/>
    <n v="1"/>
    <s v="High"/>
    <s v="Somewhat Sensitive"/>
    <n v="1"/>
    <n v="4"/>
    <s v="Medium"/>
    <s v="Tablet"/>
    <s v="Cash"/>
    <d v="2024-08-06T00:00:00"/>
    <b v="1"/>
    <x v="0"/>
    <s v="Impulsive"/>
    <s v="Standard"/>
    <n v="13"/>
  </r>
  <r>
    <x v="557"/>
    <x v="557"/>
    <x v="22"/>
    <x v="1"/>
    <x v="1"/>
    <x v="1"/>
    <x v="3"/>
    <x v="2"/>
    <x v="0"/>
    <x v="544"/>
    <s v="Lincheng"/>
    <s v="Lincheng"/>
    <s v="Clothing"/>
    <n v="105.87"/>
    <n v="12"/>
    <s v="Mixed"/>
    <x v="1"/>
    <n v="2"/>
    <n v="1"/>
    <s v="Low"/>
    <s v="Not Sensitive"/>
    <n v="1"/>
    <n v="1"/>
    <s v="Medium"/>
    <s v="Tablet"/>
    <s v="Cash"/>
    <d v="2024-09-15T00:00:00"/>
    <b v="0"/>
    <x v="0"/>
    <s v="Planned"/>
    <s v="Express"/>
    <n v="4"/>
  </r>
  <r>
    <x v="558"/>
    <x v="558"/>
    <x v="5"/>
    <x v="1"/>
    <x v="1"/>
    <x v="0"/>
    <x v="2"/>
    <x v="1"/>
    <x v="1"/>
    <x v="545"/>
    <s v="Semenivka"/>
    <s v="Semenivka"/>
    <s v="Luxury Goods"/>
    <n v="163.4"/>
    <n v="3"/>
    <s v="In-Store"/>
    <x v="1"/>
    <n v="5"/>
    <n v="1"/>
    <s v="High"/>
    <s v="Somewhat Sensitive"/>
    <n v="2"/>
    <n v="10"/>
    <s v="High"/>
    <s v="Desktop"/>
    <s v="Cash"/>
    <d v="2024-07-08T00:00:00"/>
    <b v="1"/>
    <x v="0"/>
    <s v="Planned"/>
    <s v="Standard"/>
    <n v="7"/>
  </r>
  <r>
    <x v="559"/>
    <x v="559"/>
    <x v="28"/>
    <x v="1"/>
    <x v="1"/>
    <x v="1"/>
    <x v="1"/>
    <x v="1"/>
    <x v="1"/>
    <x v="546"/>
    <s v="Ylne"/>
    <s v="Ylأ¤ne"/>
    <s v="Gardening &amp; Outdoors"/>
    <n v="422.92"/>
    <n v="6"/>
    <s v="Mixed"/>
    <x v="4"/>
    <n v="1"/>
    <n v="2"/>
    <s v="None"/>
    <s v="Somewhat Sensitive"/>
    <n v="0"/>
    <n v="6"/>
    <s v="Low"/>
    <s v="Desktop"/>
    <s v="Debit Card"/>
    <d v="2024-10-17T00:00:00"/>
    <b v="0"/>
    <x v="1"/>
    <s v="Planned"/>
    <s v="No Preference"/>
    <n v="6"/>
  </r>
  <r>
    <x v="560"/>
    <x v="560"/>
    <x v="18"/>
    <x v="1"/>
    <x v="1"/>
    <x v="0"/>
    <x v="3"/>
    <x v="1"/>
    <x v="1"/>
    <x v="547"/>
    <s v="Cendagah"/>
    <s v="Cendagah"/>
    <s v="Gardening &amp; Outdoors"/>
    <n v="361.48"/>
    <n v="10"/>
    <s v="Online"/>
    <x v="3"/>
    <n v="4"/>
    <n v="1"/>
    <s v="Medium"/>
    <s v="Somewhat Sensitive"/>
    <n v="2"/>
    <n v="9"/>
    <s v="High"/>
    <s v="Tablet"/>
    <s v="Cash"/>
    <d v="2024-06-16T00:00:00"/>
    <b v="1"/>
    <x v="1"/>
    <s v="Wants-based"/>
    <s v="Express"/>
    <n v="13"/>
  </r>
  <r>
    <x v="561"/>
    <x v="561"/>
    <x v="25"/>
    <x v="1"/>
    <x v="1"/>
    <x v="0"/>
    <x v="1"/>
    <x v="2"/>
    <x v="1"/>
    <x v="548"/>
    <s v="Frzbd"/>
    <s v="Fؤ«rإ«zؤپbؤپd"/>
    <s v="Hotels"/>
    <n v="270.82"/>
    <n v="2"/>
    <s v="In-Store"/>
    <x v="4"/>
    <n v="2"/>
    <n v="0"/>
    <s v="None"/>
    <s v="Somewhat Sensitive"/>
    <n v="1"/>
    <n v="8"/>
    <s v="Low"/>
    <s v="Tablet"/>
    <s v="Other"/>
    <d v="2024-10-30T00:00:00"/>
    <b v="1"/>
    <x v="0"/>
    <s v="Wants-based"/>
    <s v="Standard"/>
    <n v="13"/>
  </r>
  <r>
    <x v="562"/>
    <x v="562"/>
    <x v="1"/>
    <x v="0"/>
    <x v="0"/>
    <x v="1"/>
    <x v="2"/>
    <x v="1"/>
    <x v="1"/>
    <x v="549"/>
    <s v="Trondheim"/>
    <s v="Trondheim"/>
    <s v="Toys &amp; Games"/>
    <n v="372.26"/>
    <n v="11"/>
    <s v="In-Store"/>
    <x v="3"/>
    <n v="5"/>
    <n v="2"/>
    <s v="None"/>
    <s v="Very Sensitive"/>
    <n v="1"/>
    <n v="8"/>
    <s v="High"/>
    <s v="Smartphone"/>
    <s v="PayPal"/>
    <d v="2024-08-13T00:00:00"/>
    <b v="0"/>
    <x v="1"/>
    <s v="Wants-based"/>
    <s v="Express"/>
    <n v="6"/>
  </r>
  <r>
    <x v="563"/>
    <x v="563"/>
    <x v="25"/>
    <x v="0"/>
    <x v="0"/>
    <x v="0"/>
    <x v="2"/>
    <x v="0"/>
    <x v="1"/>
    <x v="550"/>
    <s v="Yakovlevo"/>
    <s v="Yakovlevo"/>
    <s v="Electronics"/>
    <n v="208.59"/>
    <n v="3"/>
    <s v="Mixed"/>
    <x v="3"/>
    <n v="1"/>
    <n v="2"/>
    <s v="Medium"/>
    <s v="Somewhat Sensitive"/>
    <n v="0"/>
    <n v="4"/>
    <s v="None"/>
    <s v="Desktop"/>
    <s v="PayPal"/>
    <d v="2024-09-03T00:00:00"/>
    <b v="1"/>
    <x v="0"/>
    <s v="Impulsive"/>
    <s v="Express"/>
    <n v="1"/>
  </r>
  <r>
    <x v="564"/>
    <x v="564"/>
    <x v="7"/>
    <x v="1"/>
    <x v="1"/>
    <x v="0"/>
    <x v="2"/>
    <x v="1"/>
    <x v="1"/>
    <x v="551"/>
    <s v="Katav-Ivanovsk"/>
    <s v="Katav-Ivanovsk"/>
    <s v="Gardening &amp; Outdoors"/>
    <n v="163.22"/>
    <n v="8"/>
    <s v="Online"/>
    <x v="0"/>
    <n v="3"/>
    <n v="0"/>
    <s v="High"/>
    <s v="Somewhat Sensitive"/>
    <n v="1"/>
    <n v="3"/>
    <s v="None"/>
    <s v="Smartphone"/>
    <s v="PayPal"/>
    <d v="2024-07-01T00:00:00"/>
    <b v="0"/>
    <x v="1"/>
    <s v="Wants-based"/>
    <s v="No Preference"/>
    <n v="8"/>
  </r>
  <r>
    <x v="565"/>
    <x v="565"/>
    <x v="5"/>
    <x v="1"/>
    <x v="1"/>
    <x v="1"/>
    <x v="0"/>
    <x v="1"/>
    <x v="1"/>
    <x v="552"/>
    <s v="Voznesenskoye"/>
    <s v="Voznesenskoye"/>
    <s v="Animal Feed"/>
    <n v="364.98"/>
    <n v="7"/>
    <s v="In-Store"/>
    <x v="4"/>
    <n v="1"/>
    <n v="0"/>
    <s v="Low"/>
    <s v="Very Sensitive"/>
    <n v="0"/>
    <n v="1"/>
    <s v="None"/>
    <s v="Desktop"/>
    <s v="Cash"/>
    <d v="2024-05-11T00:00:00"/>
    <b v="1"/>
    <x v="0"/>
    <s v="Wants-based"/>
    <s v="Standard"/>
    <n v="8"/>
  </r>
  <r>
    <x v="566"/>
    <x v="566"/>
    <x v="16"/>
    <x v="2"/>
    <x v="7"/>
    <x v="1"/>
    <x v="3"/>
    <x v="2"/>
    <x v="1"/>
    <x v="553"/>
    <s v="Voskhod"/>
    <s v="Voskhod"/>
    <s v="Groceries"/>
    <n v="142.43"/>
    <n v="3"/>
    <s v="In-Store"/>
    <x v="2"/>
    <n v="5"/>
    <n v="2"/>
    <s v="High"/>
    <s v="Very Sensitive"/>
    <n v="1"/>
    <n v="9"/>
    <s v="None"/>
    <s v="Desktop"/>
    <s v="PayPal"/>
    <d v="2024-09-28T00:00:00"/>
    <b v="1"/>
    <x v="0"/>
    <s v="Planned"/>
    <s v="Express"/>
    <n v="8"/>
  </r>
  <r>
    <x v="567"/>
    <x v="567"/>
    <x v="24"/>
    <x v="0"/>
    <x v="0"/>
    <x v="0"/>
    <x v="0"/>
    <x v="0"/>
    <x v="1"/>
    <x v="554"/>
    <s v="Gudja"/>
    <s v="Gudja"/>
    <s v="Electronics"/>
    <n v="449.72"/>
    <n v="3"/>
    <s v="Mixed"/>
    <x v="1"/>
    <n v="3"/>
    <n v="0"/>
    <s v="High"/>
    <s v="Somewhat Sensitive"/>
    <n v="1"/>
    <n v="9"/>
    <s v="None"/>
    <s v="Smartphone"/>
    <s v="Other"/>
    <d v="2024-02-18T00:00:00"/>
    <b v="1"/>
    <x v="1"/>
    <s v="Wants-based"/>
    <s v="Express"/>
    <n v="3"/>
  </r>
  <r>
    <x v="568"/>
    <x v="568"/>
    <x v="23"/>
    <x v="1"/>
    <x v="1"/>
    <x v="0"/>
    <x v="1"/>
    <x v="0"/>
    <x v="1"/>
    <x v="555"/>
    <s v="Gawul"/>
    <s v="Gawul"/>
    <s v="Gardening &amp; Outdoors"/>
    <n v="241.56"/>
    <n v="12"/>
    <s v="Mixed"/>
    <x v="1"/>
    <n v="2"/>
    <n v="0"/>
    <s v="High"/>
    <s v="Not Sensitive"/>
    <n v="0"/>
    <n v="5"/>
    <s v="High"/>
    <s v="Tablet"/>
    <s v="PayPal"/>
    <d v="2024-11-28T00:00:00"/>
    <b v="1"/>
    <x v="0"/>
    <s v="Need-based"/>
    <s v="Express"/>
    <n v="2"/>
  </r>
  <r>
    <x v="569"/>
    <x v="569"/>
    <x v="11"/>
    <x v="2"/>
    <x v="2"/>
    <x v="0"/>
    <x v="3"/>
    <x v="2"/>
    <x v="1"/>
    <x v="556"/>
    <s v="Sobeok"/>
    <s v="Sobeok"/>
    <s v="Clothing"/>
    <n v="249.73"/>
    <n v="5"/>
    <s v="Mixed"/>
    <x v="3"/>
    <n v="4"/>
    <n v="2"/>
    <s v="Low"/>
    <s v="Very Sensitive"/>
    <n v="1"/>
    <n v="4"/>
    <s v="Low"/>
    <s v="Desktop"/>
    <s v="Cash"/>
    <d v="2024-11-15T00:00:00"/>
    <b v="1"/>
    <x v="0"/>
    <s v="Wants-based"/>
    <s v="No Preference"/>
    <n v="1"/>
  </r>
  <r>
    <x v="570"/>
    <x v="570"/>
    <x v="2"/>
    <x v="1"/>
    <x v="1"/>
    <x v="0"/>
    <x v="0"/>
    <x v="2"/>
    <x v="1"/>
    <x v="557"/>
    <s v="Nanhuang"/>
    <s v="Nanhuang"/>
    <s v="Home Appliances"/>
    <n v="437.3"/>
    <n v="7"/>
    <s v="Mixed"/>
    <x v="2"/>
    <n v="4"/>
    <n v="0"/>
    <s v="High"/>
    <s v="Somewhat Sensitive"/>
    <n v="0"/>
    <n v="7"/>
    <s v="None"/>
    <s v="Tablet"/>
    <s v="Cash"/>
    <d v="2024-07-24T00:00:00"/>
    <b v="1"/>
    <x v="1"/>
    <s v="Impulsive"/>
    <s v="No Preference"/>
    <n v="1"/>
  </r>
  <r>
    <x v="571"/>
    <x v="571"/>
    <x v="0"/>
    <x v="1"/>
    <x v="1"/>
    <x v="0"/>
    <x v="0"/>
    <x v="2"/>
    <x v="1"/>
    <x v="558"/>
    <s v="Tanudan"/>
    <s v="Tanudan"/>
    <s v="Groceries"/>
    <n v="277.29000000000002"/>
    <n v="4"/>
    <s v="Mixed"/>
    <x v="3"/>
    <n v="4"/>
    <n v="1"/>
    <s v="None"/>
    <s v="Somewhat Sensitive"/>
    <n v="2"/>
    <n v="8"/>
    <s v="Low"/>
    <s v="Smartphone"/>
    <s v="Credit Card"/>
    <d v="2024-01-27T00:00:00"/>
    <b v="1"/>
    <x v="1"/>
    <s v="Wants-based"/>
    <s v="No Preference"/>
    <n v="4"/>
  </r>
  <r>
    <x v="572"/>
    <x v="572"/>
    <x v="19"/>
    <x v="1"/>
    <x v="1"/>
    <x v="1"/>
    <x v="1"/>
    <x v="1"/>
    <x v="0"/>
    <x v="559"/>
    <s v="Jiaozuo"/>
    <s v="Jiaozuo"/>
    <s v="Electronics"/>
    <n v="445.93"/>
    <n v="6"/>
    <s v="Online"/>
    <x v="0"/>
    <n v="5"/>
    <n v="2"/>
    <s v="High"/>
    <s v="Somewhat Sensitive"/>
    <n v="2"/>
    <n v="4"/>
    <s v="High"/>
    <s v="Smartphone"/>
    <s v="Debit Card"/>
    <d v="2024-05-15T00:00:00"/>
    <b v="0"/>
    <x v="1"/>
    <s v="Need-based"/>
    <s v="No Preference"/>
    <n v="13"/>
  </r>
  <r>
    <x v="573"/>
    <x v="573"/>
    <x v="14"/>
    <x v="0"/>
    <x v="0"/>
    <x v="0"/>
    <x v="0"/>
    <x v="0"/>
    <x v="0"/>
    <x v="560"/>
    <s v="Takb"/>
    <s v="Takؤپb"/>
    <s v="Software &amp; Apps"/>
    <n v="242.79"/>
    <n v="6"/>
    <s v="Mixed"/>
    <x v="2"/>
    <n v="4"/>
    <n v="0"/>
    <s v="High"/>
    <s v="Somewhat Sensitive"/>
    <n v="1"/>
    <n v="7"/>
    <s v="None"/>
    <s v="Smartphone"/>
    <s v="Other"/>
    <d v="2024-01-20T00:00:00"/>
    <b v="1"/>
    <x v="0"/>
    <s v="Impulsive"/>
    <s v="Express"/>
    <n v="7"/>
  </r>
  <r>
    <x v="574"/>
    <x v="574"/>
    <x v="10"/>
    <x v="1"/>
    <x v="1"/>
    <x v="1"/>
    <x v="1"/>
    <x v="0"/>
    <x v="1"/>
    <x v="561"/>
    <s v="Gualeguay"/>
    <s v="Gualeguay"/>
    <s v="Travel &amp; Leisure (Flights"/>
    <n v="393.09"/>
    <n v="8"/>
    <s v="Online"/>
    <x v="0"/>
    <n v="3"/>
    <n v="2"/>
    <s v="Medium"/>
    <s v="Somewhat Sensitive"/>
    <n v="0"/>
    <n v="3"/>
    <s v="Medium"/>
    <s v="Tablet"/>
    <s v="Cash"/>
    <d v="2024-04-11T00:00:00"/>
    <b v="0"/>
    <x v="1"/>
    <s v="Planned"/>
    <s v="Standard"/>
    <n v="1"/>
  </r>
  <r>
    <x v="575"/>
    <x v="575"/>
    <x v="11"/>
    <x v="1"/>
    <x v="1"/>
    <x v="0"/>
    <x v="1"/>
    <x v="2"/>
    <x v="1"/>
    <x v="562"/>
    <s v="Lagoa Seca"/>
    <s v="Lagoa Seca"/>
    <s v="Groceries"/>
    <n v="167.61"/>
    <n v="2"/>
    <s v="Online"/>
    <x v="1"/>
    <n v="5"/>
    <n v="1"/>
    <s v="None"/>
    <s v="Not Sensitive"/>
    <n v="2"/>
    <n v="2"/>
    <s v="Low"/>
    <s v="Desktop"/>
    <s v="Other"/>
    <d v="2024-11-10T00:00:00"/>
    <b v="1"/>
    <x v="0"/>
    <s v="Need-based"/>
    <s v="No Preference"/>
    <n v="13"/>
  </r>
  <r>
    <x v="576"/>
    <x v="576"/>
    <x v="32"/>
    <x v="1"/>
    <x v="1"/>
    <x v="1"/>
    <x v="3"/>
    <x v="1"/>
    <x v="0"/>
    <x v="563"/>
    <s v="Bugarama"/>
    <s v="Bugarama"/>
    <s v="Gardening &amp; Outdoors"/>
    <n v="324.22000000000003"/>
    <n v="2"/>
    <s v="In-Store"/>
    <x v="4"/>
    <n v="2"/>
    <n v="0"/>
    <s v="None"/>
    <s v="Somewhat Sensitive"/>
    <n v="1"/>
    <n v="6"/>
    <s v="Medium"/>
    <s v="Desktop"/>
    <s v="PayPal"/>
    <d v="2024-04-18T00:00:00"/>
    <b v="0"/>
    <x v="0"/>
    <s v="Wants-based"/>
    <s v="Express"/>
    <n v="14"/>
  </r>
  <r>
    <x v="577"/>
    <x v="577"/>
    <x v="2"/>
    <x v="0"/>
    <x v="0"/>
    <x v="0"/>
    <x v="3"/>
    <x v="0"/>
    <x v="0"/>
    <x v="564"/>
    <s v="Dicamay"/>
    <s v="Dicamay"/>
    <s v="Mobile Accessories"/>
    <n v="159.30000000000001"/>
    <n v="11"/>
    <s v="Mixed"/>
    <x v="0"/>
    <n v="4"/>
    <n v="0"/>
    <s v="Medium"/>
    <s v="Somewhat Sensitive"/>
    <n v="0"/>
    <n v="6"/>
    <s v="High"/>
    <s v="Tablet"/>
    <s v="PayPal"/>
    <d v="2024-04-24T00:00:00"/>
    <b v="0"/>
    <x v="1"/>
    <s v="Impulsive"/>
    <s v="Express"/>
    <n v="2"/>
  </r>
  <r>
    <x v="578"/>
    <x v="578"/>
    <x v="0"/>
    <x v="2"/>
    <x v="7"/>
    <x v="0"/>
    <x v="2"/>
    <x v="2"/>
    <x v="0"/>
    <x v="565"/>
    <s v="Xiluodu"/>
    <s v="Xiluodu"/>
    <s v="Luxury Goods"/>
    <n v="324.39"/>
    <n v="5"/>
    <s v="Online"/>
    <x v="2"/>
    <n v="2"/>
    <n v="0"/>
    <s v="High"/>
    <s v="Very Sensitive"/>
    <n v="1"/>
    <n v="6"/>
    <s v="Medium"/>
    <s v="Desktop"/>
    <s v="PayPal"/>
    <d v="2024-11-19T00:00:00"/>
    <b v="1"/>
    <x v="0"/>
    <s v="Need-based"/>
    <s v="Express"/>
    <n v="1"/>
  </r>
  <r>
    <x v="579"/>
    <x v="579"/>
    <x v="14"/>
    <x v="2"/>
    <x v="6"/>
    <x v="1"/>
    <x v="1"/>
    <x v="1"/>
    <x v="1"/>
    <x v="566"/>
    <s v="abbah"/>
    <s v="ل¸¨abؤپbah"/>
    <s v="Clothing"/>
    <n v="198.89"/>
    <n v="2"/>
    <s v="In-Store"/>
    <x v="2"/>
    <n v="2"/>
    <n v="0"/>
    <s v="High"/>
    <s v="Not Sensitive"/>
    <n v="0"/>
    <n v="4"/>
    <s v="Low"/>
    <s v="Tablet"/>
    <s v="Credit Card"/>
    <d v="2024-01-12T00:00:00"/>
    <b v="0"/>
    <x v="0"/>
    <s v="Impulsive"/>
    <s v="Standard"/>
    <n v="1"/>
  </r>
  <r>
    <x v="580"/>
    <x v="580"/>
    <x v="30"/>
    <x v="0"/>
    <x v="0"/>
    <x v="0"/>
    <x v="3"/>
    <x v="2"/>
    <x v="1"/>
    <x v="567"/>
    <s v="Lobuk"/>
    <s v="Lobuk"/>
    <s v="Clothing"/>
    <n v="287.18"/>
    <n v="7"/>
    <s v="In-Store"/>
    <x v="4"/>
    <n v="5"/>
    <n v="0"/>
    <s v="None"/>
    <s v="Not Sensitive"/>
    <n v="0"/>
    <n v="1"/>
    <s v="None"/>
    <s v="Tablet"/>
    <s v="Debit Card"/>
    <d v="2024-03-11T00:00:00"/>
    <b v="1"/>
    <x v="0"/>
    <s v="Planned"/>
    <s v="No Preference"/>
    <n v="8"/>
  </r>
  <r>
    <x v="581"/>
    <x v="581"/>
    <x v="11"/>
    <x v="1"/>
    <x v="1"/>
    <x v="1"/>
    <x v="3"/>
    <x v="1"/>
    <x v="0"/>
    <x v="568"/>
    <s v="Waiwukak"/>
    <s v="Waiwukak"/>
    <s v="Office Supplies"/>
    <n v="162.24"/>
    <n v="7"/>
    <s v="In-Store"/>
    <x v="0"/>
    <n v="3"/>
    <n v="1"/>
    <s v="None"/>
    <s v="Very Sensitive"/>
    <n v="2"/>
    <n v="6"/>
    <s v="Low"/>
    <s v="Smartphone"/>
    <s v="PayPal"/>
    <d v="2024-10-11T00:00:00"/>
    <b v="0"/>
    <x v="0"/>
    <s v="Wants-based"/>
    <s v="Express"/>
    <n v="7"/>
  </r>
  <r>
    <x v="582"/>
    <x v="582"/>
    <x v="14"/>
    <x v="0"/>
    <x v="0"/>
    <x v="1"/>
    <x v="3"/>
    <x v="0"/>
    <x v="1"/>
    <x v="569"/>
    <s v="Abaet"/>
    <s v="Abaetأ©"/>
    <s v="Arts &amp; Crafts"/>
    <n v="92.97"/>
    <n v="6"/>
    <s v="In-Store"/>
    <x v="0"/>
    <n v="5"/>
    <n v="0"/>
    <s v="Medium"/>
    <s v="Very Sensitive"/>
    <n v="0"/>
    <n v="7"/>
    <s v="Low"/>
    <s v="Desktop"/>
    <s v="Other"/>
    <d v="2024-12-15T00:00:00"/>
    <b v="0"/>
    <x v="1"/>
    <s v="Impulsive"/>
    <s v="Standard"/>
    <n v="7"/>
  </r>
  <r>
    <x v="583"/>
    <x v="583"/>
    <x v="30"/>
    <x v="1"/>
    <x v="1"/>
    <x v="0"/>
    <x v="2"/>
    <x v="1"/>
    <x v="0"/>
    <x v="570"/>
    <s v="Xiaqiao"/>
    <s v="Xiaqiao"/>
    <s v="Food &amp; Beverages"/>
    <n v="144.38999999999999"/>
    <n v="12"/>
    <s v="In-Store"/>
    <x v="0"/>
    <n v="3"/>
    <n v="2"/>
    <s v="High"/>
    <s v="Very Sensitive"/>
    <n v="0"/>
    <n v="4"/>
    <s v="Low"/>
    <s v="Desktop"/>
    <s v="Cash"/>
    <d v="2024-06-11T00:00:00"/>
    <b v="1"/>
    <x v="1"/>
    <s v="Impulsive"/>
    <s v="Standard"/>
    <n v="12"/>
  </r>
  <r>
    <x v="584"/>
    <x v="584"/>
    <x v="14"/>
    <x v="0"/>
    <x v="0"/>
    <x v="1"/>
    <x v="1"/>
    <x v="1"/>
    <x v="1"/>
    <x v="571"/>
    <s v="Zubbah"/>
    <s v="Zubإ«bah"/>
    <s v="Books"/>
    <n v="253.37"/>
    <n v="12"/>
    <s v="In-Store"/>
    <x v="2"/>
    <n v="5"/>
    <n v="0"/>
    <s v="None"/>
    <s v="Very Sensitive"/>
    <n v="0"/>
    <n v="9"/>
    <s v="Low"/>
    <s v="Tablet"/>
    <s v="Credit Card"/>
    <d v="2024-05-08T00:00:00"/>
    <b v="0"/>
    <x v="1"/>
    <s v="Planned"/>
    <s v="Express"/>
    <n v="6"/>
  </r>
  <r>
    <x v="585"/>
    <x v="585"/>
    <x v="20"/>
    <x v="1"/>
    <x v="1"/>
    <x v="0"/>
    <x v="2"/>
    <x v="1"/>
    <x v="1"/>
    <x v="572"/>
    <s v="Ksowo"/>
    <s v="Kؤ™sowo"/>
    <s v="Animal Feed"/>
    <n v="209.62"/>
    <n v="12"/>
    <s v="Mixed"/>
    <x v="3"/>
    <n v="2"/>
    <n v="1"/>
    <s v="Medium"/>
    <s v="Very Sensitive"/>
    <n v="0"/>
    <n v="7"/>
    <s v="Medium"/>
    <s v="Tablet"/>
    <s v="Other"/>
    <d v="2024-10-12T00:00:00"/>
    <b v="1"/>
    <x v="0"/>
    <s v="Planned"/>
    <s v="Standard"/>
    <n v="9"/>
  </r>
  <r>
    <x v="586"/>
    <x v="586"/>
    <x v="1"/>
    <x v="1"/>
    <x v="1"/>
    <x v="1"/>
    <x v="1"/>
    <x v="1"/>
    <x v="0"/>
    <x v="573"/>
    <s v="Colombo"/>
    <s v="Colombo"/>
    <s v="Baby Products"/>
    <n v="411.62"/>
    <n v="6"/>
    <s v="Mixed"/>
    <x v="2"/>
    <n v="1"/>
    <n v="0"/>
    <s v="Medium"/>
    <s v="Somewhat Sensitive"/>
    <n v="2"/>
    <n v="7"/>
    <s v="Medium"/>
    <s v="Tablet"/>
    <s v="PayPal"/>
    <d v="2024-10-05T00:00:00"/>
    <b v="1"/>
    <x v="0"/>
    <s v="Wants-based"/>
    <s v="Express"/>
    <n v="12"/>
  </r>
  <r>
    <x v="587"/>
    <x v="587"/>
    <x v="23"/>
    <x v="0"/>
    <x v="0"/>
    <x v="1"/>
    <x v="1"/>
    <x v="0"/>
    <x v="1"/>
    <x v="574"/>
    <s v="Messأ­ni"/>
    <s v="Messأ­ni"/>
    <s v="Food &amp; Beverages"/>
    <n v="388.01"/>
    <n v="2"/>
    <s v="Online"/>
    <x v="3"/>
    <n v="5"/>
    <n v="1"/>
    <s v="High"/>
    <s v="Very Sensitive"/>
    <n v="1"/>
    <n v="2"/>
    <s v="None"/>
    <s v="Tablet"/>
    <s v="PayPal"/>
    <d v="2024-11-19T00:00:00"/>
    <b v="0"/>
    <x v="1"/>
    <s v="Wants-based"/>
    <s v="Standard"/>
    <n v="10"/>
  </r>
  <r>
    <x v="588"/>
    <x v="588"/>
    <x v="30"/>
    <x v="1"/>
    <x v="1"/>
    <x v="0"/>
    <x v="2"/>
    <x v="1"/>
    <x v="1"/>
    <x v="575"/>
    <s v="Yishui"/>
    <s v="Yishui"/>
    <s v="Health Care"/>
    <n v="50.78"/>
    <n v="6"/>
    <s v="Online"/>
    <x v="0"/>
    <n v="1"/>
    <n v="1"/>
    <s v="Low"/>
    <s v="Somewhat Sensitive"/>
    <n v="1"/>
    <n v="8"/>
    <s v="None"/>
    <s v="Tablet"/>
    <s v="Debit Card"/>
    <d v="2024-01-12T00:00:00"/>
    <b v="0"/>
    <x v="1"/>
    <s v="Need-based"/>
    <s v="Standard"/>
    <n v="9"/>
  </r>
  <r>
    <x v="589"/>
    <x v="589"/>
    <x v="4"/>
    <x v="1"/>
    <x v="1"/>
    <x v="1"/>
    <x v="3"/>
    <x v="0"/>
    <x v="0"/>
    <x v="576"/>
    <s v="Nanyaojie"/>
    <s v="Nanyaojie"/>
    <s v="Packages)"/>
    <n v="159.82"/>
    <n v="2"/>
    <s v="In-Store"/>
    <x v="2"/>
    <n v="1"/>
    <n v="1"/>
    <s v="High"/>
    <s v="Very Sensitive"/>
    <n v="2"/>
    <n v="8"/>
    <s v="Medium"/>
    <s v="Tablet"/>
    <s v="Cash"/>
    <d v="2024-12-09T00:00:00"/>
    <b v="1"/>
    <x v="1"/>
    <s v="Planned"/>
    <s v="No Preference"/>
    <n v="10"/>
  </r>
  <r>
    <x v="590"/>
    <x v="590"/>
    <x v="19"/>
    <x v="1"/>
    <x v="1"/>
    <x v="0"/>
    <x v="3"/>
    <x v="2"/>
    <x v="0"/>
    <x v="577"/>
    <s v="Buzen"/>
    <s v="Buzen"/>
    <s v="Travel &amp; Leisure (Flights"/>
    <n v="79.430000000000007"/>
    <n v="3"/>
    <s v="In-Store"/>
    <x v="3"/>
    <n v="5"/>
    <n v="0"/>
    <s v="Medium"/>
    <s v="Somewhat Sensitive"/>
    <n v="2"/>
    <n v="7"/>
    <s v="None"/>
    <s v="Smartphone"/>
    <s v="PayPal"/>
    <d v="2024-01-15T00:00:00"/>
    <b v="0"/>
    <x v="0"/>
    <s v="Wants-based"/>
    <s v="No Preference"/>
    <n v="6"/>
  </r>
  <r>
    <x v="591"/>
    <x v="591"/>
    <x v="21"/>
    <x v="0"/>
    <x v="0"/>
    <x v="0"/>
    <x v="0"/>
    <x v="0"/>
    <x v="0"/>
    <x v="578"/>
    <s v="Bom Jesus do Itabapoana"/>
    <s v="Bom Jesus do Itabapoana"/>
    <s v="Travel &amp; Leisure (Flights"/>
    <n v="131.36000000000001"/>
    <n v="4"/>
    <s v="In-Store"/>
    <x v="4"/>
    <n v="4"/>
    <n v="2"/>
    <s v="None"/>
    <s v="Somewhat Sensitive"/>
    <n v="1"/>
    <n v="6"/>
    <s v="High"/>
    <s v="Smartphone"/>
    <s v="Debit Card"/>
    <d v="2024-11-21T00:00:00"/>
    <b v="0"/>
    <x v="0"/>
    <s v="Wants-based"/>
    <s v="Express"/>
    <n v="3"/>
  </r>
  <r>
    <x v="592"/>
    <x v="592"/>
    <x v="23"/>
    <x v="1"/>
    <x v="1"/>
    <x v="0"/>
    <x v="2"/>
    <x v="1"/>
    <x v="0"/>
    <x v="579"/>
    <s v="Centenario"/>
    <s v="Centenario"/>
    <s v="Beauty &amp; Personal Care"/>
    <n v="299.75"/>
    <n v="12"/>
    <s v="Mixed"/>
    <x v="2"/>
    <n v="5"/>
    <n v="0.3"/>
    <s v="Low"/>
    <s v="Very Sensitive"/>
    <n v="0"/>
    <n v="4"/>
    <s v="Low"/>
    <s v="Desktop"/>
    <s v="Credit Card"/>
    <d v="2024-07-05T00:00:00"/>
    <b v="0"/>
    <x v="1"/>
    <s v="Need-based"/>
    <s v="No Preference"/>
    <n v="7"/>
  </r>
  <r>
    <x v="593"/>
    <x v="593"/>
    <x v="3"/>
    <x v="1"/>
    <x v="1"/>
    <x v="1"/>
    <x v="3"/>
    <x v="0"/>
    <x v="0"/>
    <x v="580"/>
    <s v="Al Jzah"/>
    <s v="Al Jؤ«zah"/>
    <s v="Animal Feed"/>
    <n v="319.38"/>
    <n v="9"/>
    <s v="In-Store"/>
    <x v="4"/>
    <n v="1"/>
    <n v="0"/>
    <s v="Low"/>
    <s v="Not Sensitive"/>
    <n v="1"/>
    <n v="6"/>
    <s v="High"/>
    <s v="Tablet"/>
    <s v="PayPal"/>
    <d v="2024-11-15T00:00:00"/>
    <b v="1"/>
    <x v="1"/>
    <s v="Need-based"/>
    <s v="No Preference"/>
    <n v="8"/>
  </r>
  <r>
    <x v="594"/>
    <x v="594"/>
    <x v="9"/>
    <x v="1"/>
    <x v="1"/>
    <x v="1"/>
    <x v="1"/>
    <x v="2"/>
    <x v="0"/>
    <x v="581"/>
    <s v="Thl Tryn Cm Thsy"/>
    <s v="Thل»‹ Trل؛¥n Cل؛©m Thل»§y"/>
    <s v="Electronics"/>
    <n v="476.48"/>
    <n v="8"/>
    <s v="Online"/>
    <x v="0"/>
    <n v="2"/>
    <n v="1"/>
    <s v="None"/>
    <s v="Somewhat Sensitive"/>
    <n v="2"/>
    <n v="10"/>
    <s v="High"/>
    <s v="Desktop"/>
    <s v="PayPal"/>
    <d v="2024-07-06T00:00:00"/>
    <b v="0"/>
    <x v="1"/>
    <s v="Impulsive"/>
    <s v="Express"/>
    <n v="3"/>
  </r>
  <r>
    <x v="595"/>
    <x v="595"/>
    <x v="6"/>
    <x v="1"/>
    <x v="1"/>
    <x v="0"/>
    <x v="2"/>
    <x v="0"/>
    <x v="0"/>
    <x v="582"/>
    <s v="Curahkalak Tengah"/>
    <s v="Curahkalak Tengah"/>
    <s v="Gardening &amp; Outdoors"/>
    <n v="301.01"/>
    <n v="9"/>
    <s v="Mixed"/>
    <x v="2"/>
    <n v="1"/>
    <n v="2"/>
    <s v="High"/>
    <s v="Not Sensitive"/>
    <n v="2"/>
    <n v="8"/>
    <s v="Medium"/>
    <s v="Smartphone"/>
    <s v="Other"/>
    <d v="2024-08-23T00:00:00"/>
    <b v="0"/>
    <x v="1"/>
    <s v="Need-based"/>
    <s v="Express"/>
    <n v="13"/>
  </r>
  <r>
    <x v="596"/>
    <x v="596"/>
    <x v="27"/>
    <x v="1"/>
    <x v="1"/>
    <x v="0"/>
    <x v="1"/>
    <x v="0"/>
    <x v="0"/>
    <x v="583"/>
    <s v="Ebu"/>
    <s v="Ebu"/>
    <s v="Electronics"/>
    <n v="378.71"/>
    <n v="5"/>
    <s v="Online"/>
    <x v="4"/>
    <n v="1"/>
    <n v="2"/>
    <s v="Medium"/>
    <s v="Somewhat Sensitive"/>
    <n v="2"/>
    <n v="5"/>
    <s v="None"/>
    <s v="Desktop"/>
    <s v="Other"/>
    <d v="2024-08-30T00:00:00"/>
    <b v="1"/>
    <x v="1"/>
    <s v="Planned"/>
    <s v="Express"/>
    <n v="14"/>
  </r>
  <r>
    <x v="597"/>
    <x v="597"/>
    <x v="32"/>
    <x v="2"/>
    <x v="4"/>
    <x v="0"/>
    <x v="1"/>
    <x v="0"/>
    <x v="0"/>
    <x v="584"/>
    <s v="To Pujio"/>
    <s v="Tأ­o Pujio"/>
    <s v="Mobile Accessories"/>
    <n v="314.32"/>
    <n v="6"/>
    <s v="Online"/>
    <x v="3"/>
    <n v="4"/>
    <n v="2"/>
    <s v="High"/>
    <s v="Very Sensitive"/>
    <n v="2"/>
    <n v="5"/>
    <s v="Low"/>
    <s v="Smartphone"/>
    <s v="Credit Card"/>
    <d v="2024-03-16T00:00:00"/>
    <b v="1"/>
    <x v="0"/>
    <s v="Impulsive"/>
    <s v="Standard"/>
    <n v="7"/>
  </r>
  <r>
    <x v="598"/>
    <x v="598"/>
    <x v="0"/>
    <x v="1"/>
    <x v="1"/>
    <x v="0"/>
    <x v="0"/>
    <x v="1"/>
    <x v="1"/>
    <x v="313"/>
    <s v="Creteil"/>
    <s v="Crأ©teil"/>
    <s v="Office Supplies"/>
    <n v="210.9"/>
    <n v="12"/>
    <s v="In-Store"/>
    <x v="2"/>
    <n v="1"/>
    <n v="2"/>
    <s v="None"/>
    <s v="Somewhat Sensitive"/>
    <n v="1"/>
    <n v="1"/>
    <s v="None"/>
    <s v="Tablet"/>
    <s v="Debit Card"/>
    <d v="2024-08-17T00:00:00"/>
    <b v="0"/>
    <x v="0"/>
    <s v="Impulsive"/>
    <s v="Standard"/>
    <n v="12"/>
  </r>
  <r>
    <x v="599"/>
    <x v="599"/>
    <x v="27"/>
    <x v="0"/>
    <x v="0"/>
    <x v="0"/>
    <x v="3"/>
    <x v="1"/>
    <x v="1"/>
    <x v="585"/>
    <s v="Shaxi"/>
    <s v="Shaxi"/>
    <s v="Food &amp; Beverages"/>
    <n v="218.26"/>
    <n v="4"/>
    <s v="Mixed"/>
    <x v="1"/>
    <n v="1"/>
    <n v="2"/>
    <s v="Low"/>
    <s v="Very Sensitive"/>
    <n v="0"/>
    <n v="8"/>
    <s v="High"/>
    <s v="Smartphone"/>
    <s v="Debit Card"/>
    <d v="2024-02-27T00:00:00"/>
    <b v="0"/>
    <x v="0"/>
    <s v="Wants-based"/>
    <s v="Standard"/>
    <n v="12"/>
  </r>
  <r>
    <x v="600"/>
    <x v="600"/>
    <x v="2"/>
    <x v="0"/>
    <x v="0"/>
    <x v="0"/>
    <x v="2"/>
    <x v="2"/>
    <x v="0"/>
    <x v="586"/>
    <s v="Kelshd va Sdarjn"/>
    <s v="Kelؤ«shؤپd va Sإ«darjؤپn"/>
    <s v="Animal Feed"/>
    <n v="424.18"/>
    <n v="5"/>
    <s v="Mixed"/>
    <x v="4"/>
    <n v="4"/>
    <n v="1"/>
    <s v="None"/>
    <s v="Not Sensitive"/>
    <n v="2"/>
    <n v="4"/>
    <s v="Medium"/>
    <s v="Smartphone"/>
    <s v="Debit Card"/>
    <d v="2024-02-14T00:00:00"/>
    <b v="0"/>
    <x v="1"/>
    <s v="Need-based"/>
    <s v="Express"/>
    <n v="5"/>
  </r>
  <r>
    <x v="601"/>
    <x v="601"/>
    <x v="31"/>
    <x v="1"/>
    <x v="1"/>
    <x v="1"/>
    <x v="3"/>
    <x v="1"/>
    <x v="0"/>
    <x v="10"/>
    <s v="Punta Gorda"/>
    <s v="Punta Gorda"/>
    <s v="Luxury Goods"/>
    <n v="430.75"/>
    <n v="11"/>
    <s v="Online"/>
    <x v="3"/>
    <n v="3"/>
    <n v="1"/>
    <s v="Low"/>
    <s v="Somewhat Sensitive"/>
    <n v="0"/>
    <n v="8"/>
    <s v="High"/>
    <s v="Tablet"/>
    <s v="Credit Card"/>
    <d v="2024-06-24T00:00:00"/>
    <b v="1"/>
    <x v="0"/>
    <s v="Planned"/>
    <s v="No Preference"/>
    <n v="6"/>
  </r>
  <r>
    <x v="602"/>
    <x v="602"/>
    <x v="2"/>
    <x v="1"/>
    <x v="1"/>
    <x v="1"/>
    <x v="1"/>
    <x v="0"/>
    <x v="0"/>
    <x v="587"/>
    <s v="Segodim"/>
    <s v="Segodim"/>
    <s v="Mobile Accessories"/>
    <n v="162.94999999999999"/>
    <n v="11"/>
    <s v="In-Store"/>
    <x v="3"/>
    <n v="2"/>
    <n v="2"/>
    <s v="High"/>
    <s v="Very Sensitive"/>
    <n v="1"/>
    <n v="8"/>
    <s v="Low"/>
    <s v="Desktop"/>
    <s v="Cash"/>
    <d v="2024-07-21T00:00:00"/>
    <b v="0"/>
    <x v="1"/>
    <s v="Impulsive"/>
    <s v="Express"/>
    <n v="14"/>
  </r>
  <r>
    <x v="603"/>
    <x v="603"/>
    <x v="13"/>
    <x v="0"/>
    <x v="0"/>
    <x v="0"/>
    <x v="0"/>
    <x v="2"/>
    <x v="1"/>
    <x v="588"/>
    <s v="Yinying"/>
    <s v="Yinying"/>
    <s v="Health Supplements"/>
    <n v="209.68"/>
    <n v="2"/>
    <s v="Online"/>
    <x v="1"/>
    <n v="1"/>
    <n v="1"/>
    <s v="None"/>
    <s v="Not Sensitive"/>
    <n v="0"/>
    <n v="1"/>
    <s v="Medium"/>
    <s v="Smartphone"/>
    <s v="Other"/>
    <d v="2024-06-30T00:00:00"/>
    <b v="0"/>
    <x v="1"/>
    <s v="Impulsive"/>
    <s v="Express"/>
    <n v="8"/>
  </r>
  <r>
    <x v="604"/>
    <x v="604"/>
    <x v="17"/>
    <x v="1"/>
    <x v="1"/>
    <x v="1"/>
    <x v="2"/>
    <x v="0"/>
    <x v="0"/>
    <x v="589"/>
    <s v="Harembo"/>
    <s v="Harembo"/>
    <s v="Beauty &amp; Personal Care"/>
    <n v="97.97"/>
    <n v="2"/>
    <s v="In-Store"/>
    <x v="0"/>
    <n v="5"/>
    <n v="1"/>
    <s v="Low"/>
    <s v="Somewhat Sensitive"/>
    <n v="0"/>
    <n v="10"/>
    <s v="None"/>
    <s v="Desktop"/>
    <s v="Credit Card"/>
    <d v="2024-10-03T00:00:00"/>
    <b v="1"/>
    <x v="0"/>
    <s v="Planned"/>
    <s v="No Preference"/>
    <n v="1"/>
  </r>
  <r>
    <x v="605"/>
    <x v="605"/>
    <x v="1"/>
    <x v="1"/>
    <x v="1"/>
    <x v="0"/>
    <x v="2"/>
    <x v="2"/>
    <x v="1"/>
    <x v="590"/>
    <s v="Lazarevac"/>
    <s v="Lazarevac"/>
    <s v="Books"/>
    <n v="192.51"/>
    <n v="9"/>
    <s v="Mixed"/>
    <x v="2"/>
    <n v="5"/>
    <n v="2"/>
    <s v="Medium"/>
    <s v="Very Sensitive"/>
    <n v="0"/>
    <n v="2"/>
    <s v="Medium"/>
    <s v="Smartphone"/>
    <s v="Credit Card"/>
    <d v="2024-08-23T00:00:00"/>
    <b v="1"/>
    <x v="0"/>
    <s v="Need-based"/>
    <s v="Standard"/>
    <n v="9"/>
  </r>
  <r>
    <x v="606"/>
    <x v="606"/>
    <x v="22"/>
    <x v="1"/>
    <x v="1"/>
    <x v="0"/>
    <x v="2"/>
    <x v="2"/>
    <x v="0"/>
    <x v="580"/>
    <s v="Al Jzah"/>
    <s v="Al Jؤ«zah"/>
    <s v="Electronics"/>
    <n v="151.81"/>
    <n v="8"/>
    <s v="Online"/>
    <x v="1"/>
    <n v="4"/>
    <n v="0"/>
    <s v="Medium"/>
    <s v="Not Sensitive"/>
    <n v="1"/>
    <n v="10"/>
    <s v="None"/>
    <s v="Tablet"/>
    <s v="Debit Card"/>
    <d v="2024-01-13T00:00:00"/>
    <b v="0"/>
    <x v="0"/>
    <s v="Planned"/>
    <s v="No Preference"/>
    <n v="1"/>
  </r>
  <r>
    <x v="607"/>
    <x v="607"/>
    <x v="8"/>
    <x v="0"/>
    <x v="0"/>
    <x v="1"/>
    <x v="0"/>
    <x v="1"/>
    <x v="0"/>
    <x v="591"/>
    <s v="Zhongcun"/>
    <s v="Zhongcun"/>
    <s v="Furniture"/>
    <n v="239.28"/>
    <n v="8"/>
    <s v="Online"/>
    <x v="3"/>
    <n v="4"/>
    <n v="1"/>
    <s v="Medium"/>
    <s v="Somewhat Sensitive"/>
    <n v="2"/>
    <n v="5"/>
    <s v="Medium"/>
    <s v="Tablet"/>
    <s v="Other"/>
    <d v="2024-11-08T00:00:00"/>
    <b v="0"/>
    <x v="1"/>
    <s v="Impulsive"/>
    <s v="No Preference"/>
    <n v="10"/>
  </r>
  <r>
    <x v="608"/>
    <x v="608"/>
    <x v="13"/>
    <x v="0"/>
    <x v="0"/>
    <x v="1"/>
    <x v="2"/>
    <x v="1"/>
    <x v="1"/>
    <x v="592"/>
    <s v="Gaopeng"/>
    <s v="Gaopeng"/>
    <s v="Mobile Accessories"/>
    <n v="306.17"/>
    <n v="4"/>
    <s v="In-Store"/>
    <x v="1"/>
    <n v="5"/>
    <n v="1"/>
    <s v="Medium"/>
    <s v="Somewhat Sensitive"/>
    <n v="0"/>
    <n v="6"/>
    <s v="Medium"/>
    <s v="Tablet"/>
    <s v="PayPal"/>
    <d v="2024-01-29T00:00:00"/>
    <b v="0"/>
    <x v="1"/>
    <s v="Wants-based"/>
    <s v="Express"/>
    <n v="8"/>
  </r>
  <r>
    <x v="609"/>
    <x v="609"/>
    <x v="13"/>
    <x v="0"/>
    <x v="0"/>
    <x v="1"/>
    <x v="2"/>
    <x v="2"/>
    <x v="1"/>
    <x v="593"/>
    <s v="Tabonok"/>
    <s v="Tabonok"/>
    <s v="Electronics"/>
    <n v="370.38"/>
    <n v="11"/>
    <s v="In-Store"/>
    <x v="3"/>
    <n v="2"/>
    <n v="1"/>
    <s v="None"/>
    <s v="Not Sensitive"/>
    <n v="1"/>
    <n v="1"/>
    <s v="High"/>
    <s v="Desktop"/>
    <s v="Other"/>
    <d v="2024-03-04T00:00:00"/>
    <b v="1"/>
    <x v="1"/>
    <s v="Wants-based"/>
    <s v="No Preference"/>
    <n v="9"/>
  </r>
  <r>
    <x v="610"/>
    <x v="610"/>
    <x v="17"/>
    <x v="1"/>
    <x v="1"/>
    <x v="0"/>
    <x v="1"/>
    <x v="0"/>
    <x v="0"/>
    <x v="594"/>
    <s v="Tirana"/>
    <s v="Tirana"/>
    <s v="Arts &amp; Crafts"/>
    <n v="346.58"/>
    <n v="6"/>
    <s v="Mixed"/>
    <x v="0"/>
    <n v="1"/>
    <n v="1"/>
    <s v="High"/>
    <s v="Somewhat Sensitive"/>
    <n v="0"/>
    <n v="9"/>
    <s v="Low"/>
    <s v="Tablet"/>
    <s v="Other"/>
    <d v="2024-06-03T00:00:00"/>
    <b v="0"/>
    <x v="0"/>
    <s v="Impulsive"/>
    <s v="Express"/>
    <n v="7"/>
  </r>
  <r>
    <x v="611"/>
    <x v="611"/>
    <x v="2"/>
    <x v="1"/>
    <x v="1"/>
    <x v="0"/>
    <x v="1"/>
    <x v="1"/>
    <x v="0"/>
    <x v="595"/>
    <s v="Maralal"/>
    <s v="Maralal"/>
    <s v="Software &amp; Apps"/>
    <n v="292.64"/>
    <n v="5"/>
    <s v="In-Store"/>
    <x v="3"/>
    <n v="1"/>
    <n v="1"/>
    <s v="None"/>
    <s v="Somewhat Sensitive"/>
    <n v="2"/>
    <n v="10"/>
    <s v="Medium"/>
    <s v="Tablet"/>
    <s v="Credit Card"/>
    <d v="2024-12-06T00:00:00"/>
    <b v="1"/>
    <x v="0"/>
    <s v="Wants-based"/>
    <s v="Standard"/>
    <n v="1"/>
  </r>
  <r>
    <x v="612"/>
    <x v="612"/>
    <x v="12"/>
    <x v="0"/>
    <x v="0"/>
    <x v="0"/>
    <x v="0"/>
    <x v="0"/>
    <x v="1"/>
    <x v="596"/>
    <s v="Xinjiang"/>
    <s v="Xinjiang"/>
    <s v="Travel &amp; Leisure (Flights"/>
    <n v="102.91"/>
    <n v="12"/>
    <s v="Mixed"/>
    <x v="2"/>
    <n v="1"/>
    <n v="1"/>
    <s v="Medium"/>
    <s v="Very Sensitive"/>
    <n v="1"/>
    <n v="10"/>
    <s v="None"/>
    <s v="Desktop"/>
    <s v="PayPal"/>
    <d v="2024-03-26T00:00:00"/>
    <b v="1"/>
    <x v="0"/>
    <s v="Impulsive"/>
    <s v="Express"/>
    <n v="13"/>
  </r>
  <r>
    <x v="613"/>
    <x v="613"/>
    <x v="11"/>
    <x v="0"/>
    <x v="0"/>
    <x v="1"/>
    <x v="2"/>
    <x v="0"/>
    <x v="0"/>
    <x v="597"/>
    <s v="Mocho"/>
    <s v="Mocho"/>
    <s v="Home Appliances"/>
    <n v="283.77999999999997"/>
    <n v="4"/>
    <s v="Mixed"/>
    <x v="2"/>
    <n v="4"/>
    <n v="1.2"/>
    <s v="None"/>
    <s v="Somewhat Sensitive"/>
    <n v="0"/>
    <n v="6"/>
    <s v="None"/>
    <s v="Smartphone"/>
    <s v="Debit Card"/>
    <d v="2024-08-09T00:00:00"/>
    <b v="1"/>
    <x v="0"/>
    <s v="Need-based"/>
    <s v="Express"/>
    <n v="10"/>
  </r>
  <r>
    <x v="614"/>
    <x v="614"/>
    <x v="18"/>
    <x v="0"/>
    <x v="0"/>
    <x v="1"/>
    <x v="2"/>
    <x v="1"/>
    <x v="0"/>
    <x v="598"/>
    <s v="Likhoy"/>
    <s v="Likhoy"/>
    <s v="Beauty &amp; Personal Care"/>
    <n v="51.44"/>
    <n v="2"/>
    <s v="In-Store"/>
    <x v="3"/>
    <n v="3"/>
    <n v="2"/>
    <s v="High"/>
    <s v="Not Sensitive"/>
    <n v="0"/>
    <n v="1"/>
    <s v="High"/>
    <s v="Tablet"/>
    <s v="Other"/>
    <d v="2024-05-17T00:00:00"/>
    <b v="1"/>
    <x v="0"/>
    <s v="Planned"/>
    <s v="No Preference"/>
    <n v="5"/>
  </r>
  <r>
    <x v="615"/>
    <x v="615"/>
    <x v="32"/>
    <x v="0"/>
    <x v="0"/>
    <x v="1"/>
    <x v="0"/>
    <x v="0"/>
    <x v="1"/>
    <x v="599"/>
    <s v="Mineiros"/>
    <s v="Mineiros"/>
    <s v="Luxury Goods"/>
    <n v="405.7"/>
    <n v="12"/>
    <s v="Online"/>
    <x v="3"/>
    <n v="3"/>
    <n v="1"/>
    <s v="Low"/>
    <s v="Very Sensitive"/>
    <n v="2"/>
    <n v="10"/>
    <s v="Low"/>
    <s v="Tablet"/>
    <s v="Credit Card"/>
    <d v="2024-02-17T00:00:00"/>
    <b v="1"/>
    <x v="1"/>
    <s v="Wants-based"/>
    <s v="Standard"/>
    <n v="14"/>
  </r>
  <r>
    <x v="616"/>
    <x v="616"/>
    <x v="24"/>
    <x v="0"/>
    <x v="0"/>
    <x v="1"/>
    <x v="2"/>
    <x v="2"/>
    <x v="0"/>
    <x v="600"/>
    <s v="Noisy-le-Grand"/>
    <s v="Noisy-le-Grand"/>
    <s v="Groceries"/>
    <n v="311.74"/>
    <n v="11"/>
    <s v="Mixed"/>
    <x v="3"/>
    <n v="4"/>
    <n v="2"/>
    <s v="Low"/>
    <s v="Somewhat Sensitive"/>
    <n v="2"/>
    <n v="10"/>
    <s v="Medium"/>
    <s v="Smartphone"/>
    <s v="PayPal"/>
    <d v="2024-01-17T00:00:00"/>
    <b v="1"/>
    <x v="0"/>
    <s v="Impulsive"/>
    <s v="Express"/>
    <n v="11"/>
  </r>
  <r>
    <x v="617"/>
    <x v="617"/>
    <x v="7"/>
    <x v="1"/>
    <x v="1"/>
    <x v="0"/>
    <x v="2"/>
    <x v="0"/>
    <x v="1"/>
    <x v="601"/>
    <s v="Taoyuan"/>
    <s v="Taoyuan"/>
    <s v="Clothing"/>
    <n v="293.43"/>
    <n v="9"/>
    <s v="In-Store"/>
    <x v="4"/>
    <n v="4"/>
    <n v="1"/>
    <s v="Medium"/>
    <s v="Very Sensitive"/>
    <n v="0"/>
    <n v="5"/>
    <s v="None"/>
    <s v="Desktop"/>
    <s v="Cash"/>
    <d v="2024-07-05T00:00:00"/>
    <b v="0"/>
    <x v="1"/>
    <s v="Need-based"/>
    <s v="Standard"/>
    <n v="7"/>
  </r>
  <r>
    <x v="618"/>
    <x v="618"/>
    <x v="22"/>
    <x v="0"/>
    <x v="0"/>
    <x v="1"/>
    <x v="1"/>
    <x v="0"/>
    <x v="0"/>
    <x v="602"/>
    <s v="San Marcos de Coln"/>
    <s v="San Marcos de Colأ³n"/>
    <s v="Baby Products"/>
    <n v="418.51"/>
    <n v="6"/>
    <s v="Online"/>
    <x v="4"/>
    <n v="4"/>
    <n v="2"/>
    <s v="Low"/>
    <s v="Somewhat Sensitive"/>
    <n v="2"/>
    <n v="2"/>
    <s v="High"/>
    <s v="Desktop"/>
    <s v="Credit Card"/>
    <d v="2024-05-01T00:00:00"/>
    <b v="0"/>
    <x v="1"/>
    <s v="Need-based"/>
    <s v="Standard"/>
    <n v="3"/>
  </r>
  <r>
    <x v="619"/>
    <x v="619"/>
    <x v="7"/>
    <x v="1"/>
    <x v="1"/>
    <x v="0"/>
    <x v="1"/>
    <x v="2"/>
    <x v="0"/>
    <x v="603"/>
    <s v="Pokrovka"/>
    <s v="Pokrovka"/>
    <s v="Health Care"/>
    <n v="85.03"/>
    <n v="9"/>
    <s v="In-Store"/>
    <x v="0"/>
    <n v="4"/>
    <n v="1"/>
    <s v="Medium"/>
    <s v="Not Sensitive"/>
    <n v="0"/>
    <n v="9"/>
    <s v="High"/>
    <s v="Smartphone"/>
    <s v="Credit Card"/>
    <d v="2024-10-06T00:00:00"/>
    <b v="1"/>
    <x v="1"/>
    <s v="Wants-based"/>
    <s v="Express"/>
    <n v="8"/>
  </r>
  <r>
    <x v="620"/>
    <x v="620"/>
    <x v="16"/>
    <x v="1"/>
    <x v="1"/>
    <x v="0"/>
    <x v="0"/>
    <x v="2"/>
    <x v="1"/>
    <x v="604"/>
    <s v="Shuntian"/>
    <s v="Shuntian"/>
    <s v="Mobile Accessories"/>
    <n v="164.94"/>
    <n v="4"/>
    <s v="In-Store"/>
    <x v="4"/>
    <n v="4"/>
    <n v="2"/>
    <s v="High"/>
    <s v="Somewhat Sensitive"/>
    <n v="2"/>
    <n v="2"/>
    <s v="Low"/>
    <s v="Desktop"/>
    <s v="PayPal"/>
    <d v="2024-07-18T00:00:00"/>
    <b v="1"/>
    <x v="1"/>
    <s v="Wants-based"/>
    <s v="Express"/>
    <n v="6"/>
  </r>
  <r>
    <x v="621"/>
    <x v="621"/>
    <x v="9"/>
    <x v="0"/>
    <x v="0"/>
    <x v="1"/>
    <x v="2"/>
    <x v="0"/>
    <x v="0"/>
    <x v="605"/>
    <s v="Jo Cmara"/>
    <s v="Joأ£o Cأ¢mara"/>
    <s v="Groceries"/>
    <n v="89.32"/>
    <n v="11"/>
    <s v="Online"/>
    <x v="3"/>
    <n v="1"/>
    <n v="0.3"/>
    <s v="Low"/>
    <s v="Somewhat Sensitive"/>
    <n v="1"/>
    <n v="3"/>
    <s v="High"/>
    <s v="Desktop"/>
    <s v="Other"/>
    <d v="2024-04-23T00:00:00"/>
    <b v="1"/>
    <x v="0"/>
    <s v="Wants-based"/>
    <s v="No Preference"/>
    <n v="12"/>
  </r>
  <r>
    <x v="622"/>
    <x v="622"/>
    <x v="4"/>
    <x v="1"/>
    <x v="1"/>
    <x v="0"/>
    <x v="0"/>
    <x v="1"/>
    <x v="1"/>
    <x v="606"/>
    <s v="Cunha"/>
    <s v="Cunha"/>
    <s v="Clothing"/>
    <n v="388.26"/>
    <n v="2"/>
    <s v="Mixed"/>
    <x v="1"/>
    <n v="1"/>
    <n v="1"/>
    <s v="High"/>
    <s v="Not Sensitive"/>
    <n v="0"/>
    <n v="7"/>
    <s v="None"/>
    <s v="Smartphone"/>
    <s v="Credit Card"/>
    <d v="2024-04-02T00:00:00"/>
    <b v="0"/>
    <x v="0"/>
    <s v="Planned"/>
    <s v="No Preference"/>
    <n v="5"/>
  </r>
  <r>
    <x v="623"/>
    <x v="623"/>
    <x v="4"/>
    <x v="1"/>
    <x v="1"/>
    <x v="0"/>
    <x v="3"/>
    <x v="2"/>
    <x v="0"/>
    <x v="607"/>
    <s v="Fengyi"/>
    <s v="Fengyi"/>
    <s v="Jewelry &amp; Accessories"/>
    <n v="106.69"/>
    <n v="5"/>
    <s v="Online"/>
    <x v="1"/>
    <n v="4"/>
    <n v="1.3"/>
    <s v="Medium"/>
    <s v="Very Sensitive"/>
    <n v="2"/>
    <n v="10"/>
    <s v="None"/>
    <s v="Desktop"/>
    <s v="PayPal"/>
    <d v="2024-09-20T00:00:00"/>
    <b v="0"/>
    <x v="1"/>
    <s v="Wants-based"/>
    <s v="Standard"/>
    <n v="14"/>
  </r>
  <r>
    <x v="624"/>
    <x v="624"/>
    <x v="21"/>
    <x v="2"/>
    <x v="6"/>
    <x v="0"/>
    <x v="0"/>
    <x v="0"/>
    <x v="1"/>
    <x v="608"/>
    <s v="Myshkin"/>
    <s v="Myshkin"/>
    <s v="Packages)"/>
    <n v="301.16000000000003"/>
    <n v="10"/>
    <s v="Online"/>
    <x v="4"/>
    <n v="3"/>
    <n v="2"/>
    <s v="None"/>
    <s v="Very Sensitive"/>
    <n v="2"/>
    <n v="9"/>
    <s v="Medium"/>
    <s v="Tablet"/>
    <s v="Cash"/>
    <d v="2024-07-26T00:00:00"/>
    <b v="0"/>
    <x v="0"/>
    <s v="Need-based"/>
    <s v="Standard"/>
    <n v="1"/>
  </r>
  <r>
    <x v="625"/>
    <x v="625"/>
    <x v="1"/>
    <x v="1"/>
    <x v="1"/>
    <x v="0"/>
    <x v="3"/>
    <x v="1"/>
    <x v="1"/>
    <x v="609"/>
    <s v="Tewulike"/>
    <s v="Tewulike"/>
    <s v="Hotels"/>
    <n v="61.71"/>
    <n v="6"/>
    <s v="Mixed"/>
    <x v="2"/>
    <n v="5"/>
    <n v="1"/>
    <s v="Low"/>
    <s v="Very Sensitive"/>
    <n v="2"/>
    <n v="7"/>
    <s v="Low"/>
    <s v="Tablet"/>
    <s v="Cash"/>
    <d v="2024-10-03T00:00:00"/>
    <b v="0"/>
    <x v="0"/>
    <s v="Impulsive"/>
    <s v="No Preference"/>
    <n v="12"/>
  </r>
  <r>
    <x v="626"/>
    <x v="626"/>
    <x v="19"/>
    <x v="2"/>
    <x v="4"/>
    <x v="0"/>
    <x v="3"/>
    <x v="1"/>
    <x v="1"/>
    <x v="610"/>
    <s v="Bistrinci"/>
    <s v="Bistrinci"/>
    <s v="Sports &amp; Outdoors"/>
    <n v="83.33"/>
    <n v="11"/>
    <s v="In-Store"/>
    <x v="3"/>
    <n v="5"/>
    <n v="1"/>
    <s v="Medium"/>
    <s v="Very Sensitive"/>
    <n v="1"/>
    <n v="6"/>
    <s v="Low"/>
    <s v="Desktop"/>
    <s v="Debit Card"/>
    <d v="2024-02-27T00:00:00"/>
    <b v="1"/>
    <x v="1"/>
    <s v="Planned"/>
    <s v="Express"/>
    <n v="1"/>
  </r>
  <r>
    <x v="627"/>
    <x v="627"/>
    <x v="21"/>
    <x v="1"/>
    <x v="1"/>
    <x v="1"/>
    <x v="1"/>
    <x v="0"/>
    <x v="0"/>
    <x v="611"/>
    <s v="Chenguang"/>
    <s v="Chenguang"/>
    <s v="Books"/>
    <n v="411.81"/>
    <n v="4"/>
    <s v="Mixed"/>
    <x v="3"/>
    <n v="3"/>
    <n v="1"/>
    <s v="High"/>
    <s v="Somewhat Sensitive"/>
    <n v="1"/>
    <n v="1"/>
    <s v="High"/>
    <s v="Smartphone"/>
    <s v="Cash"/>
    <d v="2024-04-08T00:00:00"/>
    <b v="1"/>
    <x v="1"/>
    <s v="Planned"/>
    <s v="Standard"/>
    <n v="1"/>
  </r>
  <r>
    <x v="628"/>
    <x v="628"/>
    <x v="32"/>
    <x v="0"/>
    <x v="0"/>
    <x v="0"/>
    <x v="0"/>
    <x v="2"/>
    <x v="1"/>
    <x v="612"/>
    <s v="Muara"/>
    <s v="Muara"/>
    <s v="Luxury Goods"/>
    <n v="114.93"/>
    <n v="3"/>
    <s v="In-Store"/>
    <x v="4"/>
    <n v="3"/>
    <n v="1"/>
    <s v="High"/>
    <s v="Somewhat Sensitive"/>
    <n v="0"/>
    <n v="4"/>
    <s v="None"/>
    <s v="Desktop"/>
    <s v="Other"/>
    <d v="2024-08-23T00:00:00"/>
    <b v="1"/>
    <x v="1"/>
    <s v="Impulsive"/>
    <s v="Standard"/>
    <n v="4"/>
  </r>
  <r>
    <x v="629"/>
    <x v="629"/>
    <x v="4"/>
    <x v="0"/>
    <x v="0"/>
    <x v="1"/>
    <x v="3"/>
    <x v="2"/>
    <x v="0"/>
    <x v="613"/>
    <s v="Qorveh"/>
    <s v="Qorveh"/>
    <s v="Jewelry &amp; Accessories"/>
    <n v="438.42"/>
    <n v="11"/>
    <s v="Online"/>
    <x v="1"/>
    <n v="2"/>
    <n v="2"/>
    <s v="Medium"/>
    <s v="Very Sensitive"/>
    <n v="0"/>
    <n v="4"/>
    <s v="Low"/>
    <s v="Tablet"/>
    <s v="Cash"/>
    <d v="2024-09-10T00:00:00"/>
    <b v="1"/>
    <x v="0"/>
    <s v="Planned"/>
    <s v="Express"/>
    <n v="4"/>
  </r>
  <r>
    <x v="630"/>
    <x v="630"/>
    <x v="15"/>
    <x v="1"/>
    <x v="1"/>
    <x v="0"/>
    <x v="2"/>
    <x v="2"/>
    <x v="0"/>
    <x v="614"/>
    <s v="Bom Despacho"/>
    <s v="Bom Despacho"/>
    <s v="Luxury Goods"/>
    <n v="189.97"/>
    <n v="2"/>
    <s v="In-Store"/>
    <x v="2"/>
    <n v="3"/>
    <n v="1"/>
    <s v="High"/>
    <s v="Somewhat Sensitive"/>
    <n v="0"/>
    <n v="3"/>
    <s v="Medium"/>
    <s v="Smartphone"/>
    <s v="Credit Card"/>
    <d v="2024-03-06T00:00:00"/>
    <b v="1"/>
    <x v="0"/>
    <s v="Need-based"/>
    <s v="Standard"/>
    <n v="8"/>
  </r>
  <r>
    <x v="631"/>
    <x v="631"/>
    <x v="22"/>
    <x v="1"/>
    <x v="1"/>
    <x v="1"/>
    <x v="3"/>
    <x v="2"/>
    <x v="0"/>
    <x v="615"/>
    <s v="Arhust"/>
    <s v="Arhust"/>
    <s v="Health Supplements"/>
    <n v="227.03"/>
    <n v="12"/>
    <s v="Online"/>
    <x v="2"/>
    <n v="2"/>
    <n v="0"/>
    <s v="High"/>
    <s v="Very Sensitive"/>
    <n v="2"/>
    <n v="10"/>
    <s v="Low"/>
    <s v="Desktop"/>
    <s v="PayPal"/>
    <d v="2024-07-07T00:00:00"/>
    <b v="1"/>
    <x v="1"/>
    <s v="Planned"/>
    <s v="Standard"/>
    <n v="2"/>
  </r>
  <r>
    <x v="632"/>
    <x v="632"/>
    <x v="29"/>
    <x v="1"/>
    <x v="1"/>
    <x v="1"/>
    <x v="3"/>
    <x v="0"/>
    <x v="0"/>
    <x v="616"/>
    <s v="Thaton"/>
    <s v="Thaton"/>
    <s v="Home Appliances"/>
    <n v="278.49"/>
    <n v="4"/>
    <s v="Mixed"/>
    <x v="0"/>
    <n v="5"/>
    <n v="0"/>
    <s v="Low"/>
    <s v="Somewhat Sensitive"/>
    <n v="1"/>
    <n v="5"/>
    <s v="Low"/>
    <s v="Smartphone"/>
    <s v="Credit Card"/>
    <d v="2024-09-08T00:00:00"/>
    <b v="1"/>
    <x v="1"/>
    <s v="Need-based"/>
    <s v="Express"/>
    <n v="8"/>
  </r>
  <r>
    <x v="633"/>
    <x v="633"/>
    <x v="20"/>
    <x v="0"/>
    <x v="0"/>
    <x v="1"/>
    <x v="2"/>
    <x v="0"/>
    <x v="1"/>
    <x v="617"/>
    <s v="Changbai"/>
    <s v="Changbai"/>
    <s v="Animal Feed"/>
    <n v="120.56"/>
    <n v="5"/>
    <s v="Online"/>
    <x v="4"/>
    <n v="3"/>
    <n v="2"/>
    <s v="None"/>
    <s v="Not Sensitive"/>
    <n v="2"/>
    <n v="7"/>
    <s v="Low"/>
    <s v="Tablet"/>
    <s v="Debit Card"/>
    <d v="2024-06-03T00:00:00"/>
    <b v="0"/>
    <x v="0"/>
    <s v="Need-based"/>
    <s v="Express"/>
    <n v="7"/>
  </r>
  <r>
    <x v="634"/>
    <x v="634"/>
    <x v="8"/>
    <x v="1"/>
    <x v="1"/>
    <x v="1"/>
    <x v="3"/>
    <x v="0"/>
    <x v="0"/>
    <x v="618"/>
    <s v="Kragan"/>
    <s v="Kragan"/>
    <s v="Gardening &amp; Outdoors"/>
    <n v="320.94"/>
    <n v="11"/>
    <s v="Online"/>
    <x v="1"/>
    <n v="3"/>
    <n v="2"/>
    <s v="High"/>
    <s v="Not Sensitive"/>
    <n v="2"/>
    <n v="10"/>
    <s v="None"/>
    <s v="Smartphone"/>
    <s v="Cash"/>
    <d v="2024-11-08T00:00:00"/>
    <b v="0"/>
    <x v="0"/>
    <s v="Impulsive"/>
    <s v="No Preference"/>
    <n v="10"/>
  </r>
  <r>
    <x v="635"/>
    <x v="635"/>
    <x v="14"/>
    <x v="0"/>
    <x v="0"/>
    <x v="1"/>
    <x v="3"/>
    <x v="2"/>
    <x v="0"/>
    <x v="619"/>
    <s v="Bida"/>
    <s v="Bida"/>
    <s v="Jewelry &amp; Accessories"/>
    <n v="217.72"/>
    <n v="3"/>
    <s v="In-Store"/>
    <x v="4"/>
    <n v="4"/>
    <n v="2"/>
    <s v="Medium"/>
    <s v="Not Sensitive"/>
    <n v="1"/>
    <n v="4"/>
    <s v="High"/>
    <s v="Tablet"/>
    <s v="Debit Card"/>
    <d v="2024-10-16T00:00:00"/>
    <b v="0"/>
    <x v="1"/>
    <s v="Wants-based"/>
    <s v="No Preference"/>
    <n v="14"/>
  </r>
  <r>
    <x v="636"/>
    <x v="636"/>
    <x v="8"/>
    <x v="1"/>
    <x v="1"/>
    <x v="1"/>
    <x v="2"/>
    <x v="0"/>
    <x v="0"/>
    <x v="620"/>
    <s v="Pointe Michel"/>
    <s v="Pointe Michel"/>
    <s v="Home Appliances"/>
    <n v="222.61"/>
    <n v="3"/>
    <s v="Online"/>
    <x v="3"/>
    <n v="2"/>
    <n v="1"/>
    <s v="Medium"/>
    <s v="Very Sensitive"/>
    <n v="1"/>
    <n v="1"/>
    <s v="None"/>
    <s v="Desktop"/>
    <s v="PayPal"/>
    <d v="2024-07-03T00:00:00"/>
    <b v="0"/>
    <x v="1"/>
    <s v="Need-based"/>
    <s v="Standard"/>
    <n v="3"/>
  </r>
  <r>
    <x v="637"/>
    <x v="637"/>
    <x v="13"/>
    <x v="0"/>
    <x v="0"/>
    <x v="0"/>
    <x v="3"/>
    <x v="1"/>
    <x v="0"/>
    <x v="621"/>
    <s v="Juyuan"/>
    <s v="Juyuan"/>
    <s v="Beauty &amp; Personal Care"/>
    <n v="102.73"/>
    <n v="3"/>
    <s v="Mixed"/>
    <x v="4"/>
    <n v="5"/>
    <n v="0.3"/>
    <s v="None"/>
    <s v="Not Sensitive"/>
    <n v="2"/>
    <n v="5"/>
    <s v="None"/>
    <s v="Tablet"/>
    <s v="Debit Card"/>
    <d v="2024-07-18T00:00:00"/>
    <b v="0"/>
    <x v="0"/>
    <s v="Wants-based"/>
    <s v="Express"/>
    <n v="14"/>
  </r>
  <r>
    <x v="638"/>
    <x v="638"/>
    <x v="13"/>
    <x v="0"/>
    <x v="0"/>
    <x v="0"/>
    <x v="0"/>
    <x v="0"/>
    <x v="1"/>
    <x v="622"/>
    <s v="Sabugo"/>
    <s v="Sabugo"/>
    <s v="Sports &amp; Outdoors"/>
    <n v="426.87"/>
    <n v="2"/>
    <s v="In-Store"/>
    <x v="4"/>
    <n v="2"/>
    <n v="2"/>
    <s v="None"/>
    <s v="Not Sensitive"/>
    <n v="0"/>
    <n v="4"/>
    <s v="Medium"/>
    <s v="Smartphone"/>
    <s v="Debit Card"/>
    <d v="2024-03-14T00:00:00"/>
    <b v="0"/>
    <x v="0"/>
    <s v="Wants-based"/>
    <s v="No Preference"/>
    <n v="3"/>
  </r>
  <r>
    <x v="639"/>
    <x v="639"/>
    <x v="28"/>
    <x v="0"/>
    <x v="0"/>
    <x v="0"/>
    <x v="2"/>
    <x v="1"/>
    <x v="0"/>
    <x v="623"/>
    <s v="Huangjin"/>
    <s v="Huangjin"/>
    <s v="Jewelry &amp; Accessories"/>
    <n v="473.28"/>
    <n v="5"/>
    <s v="Online"/>
    <x v="0"/>
    <n v="5"/>
    <n v="1"/>
    <s v="Medium"/>
    <s v="Very Sensitive"/>
    <n v="1"/>
    <n v="9"/>
    <s v="None"/>
    <s v="Smartphone"/>
    <s v="Cash"/>
    <d v="2024-12-09T00:00:00"/>
    <b v="0"/>
    <x v="0"/>
    <s v="Need-based"/>
    <s v="Standard"/>
    <n v="13"/>
  </r>
  <r>
    <x v="640"/>
    <x v="640"/>
    <x v="7"/>
    <x v="1"/>
    <x v="1"/>
    <x v="1"/>
    <x v="2"/>
    <x v="0"/>
    <x v="1"/>
    <x v="624"/>
    <s v="Huquan"/>
    <s v="Huquan"/>
    <s v="Jewelry &amp; Accessories"/>
    <n v="446.03"/>
    <n v="9"/>
    <s v="In-Store"/>
    <x v="2"/>
    <n v="1"/>
    <n v="2"/>
    <s v="Low"/>
    <s v="Somewhat Sensitive"/>
    <n v="2"/>
    <n v="7"/>
    <s v="None"/>
    <s v="Tablet"/>
    <s v="Other"/>
    <d v="2024-06-26T00:00:00"/>
    <b v="1"/>
    <x v="1"/>
    <s v="Need-based"/>
    <s v="Express"/>
    <n v="12"/>
  </r>
  <r>
    <x v="641"/>
    <x v="641"/>
    <x v="24"/>
    <x v="0"/>
    <x v="0"/>
    <x v="1"/>
    <x v="1"/>
    <x v="0"/>
    <x v="1"/>
    <x v="625"/>
    <s v="Xinqiao"/>
    <s v="Xinqiao"/>
    <s v="Arts &amp; Crafts"/>
    <n v="287.95"/>
    <n v="3"/>
    <s v="Mixed"/>
    <x v="2"/>
    <n v="3"/>
    <n v="2"/>
    <s v="None"/>
    <s v="Very Sensitive"/>
    <n v="2"/>
    <n v="7"/>
    <s v="High"/>
    <s v="Tablet"/>
    <s v="PayPal"/>
    <d v="2024-11-12T00:00:00"/>
    <b v="1"/>
    <x v="1"/>
    <s v="Planned"/>
    <s v="Standard"/>
    <n v="11"/>
  </r>
  <r>
    <x v="642"/>
    <x v="642"/>
    <x v="16"/>
    <x v="0"/>
    <x v="0"/>
    <x v="0"/>
    <x v="2"/>
    <x v="2"/>
    <x v="1"/>
    <x v="626"/>
    <s v="Trzemeszno"/>
    <s v="Trzemeszno"/>
    <s v="Luxury Goods"/>
    <n v="132.52000000000001"/>
    <n v="6"/>
    <s v="Mixed"/>
    <x v="3"/>
    <n v="2"/>
    <n v="0"/>
    <s v="Medium"/>
    <s v="Somewhat Sensitive"/>
    <n v="2"/>
    <n v="10"/>
    <s v="Low"/>
    <s v="Smartphone"/>
    <s v="Debit Card"/>
    <d v="2024-12-20T00:00:00"/>
    <b v="1"/>
    <x v="1"/>
    <s v="Impulsive"/>
    <s v="Express"/>
    <n v="12"/>
  </r>
  <r>
    <x v="643"/>
    <x v="643"/>
    <x v="15"/>
    <x v="0"/>
    <x v="0"/>
    <x v="0"/>
    <x v="0"/>
    <x v="0"/>
    <x v="0"/>
    <x v="627"/>
    <s v="Dashkawka"/>
    <s v="Dashkawka"/>
    <s v="Sports &amp; Outdoors"/>
    <n v="379.2"/>
    <n v="7"/>
    <s v="Online"/>
    <x v="0"/>
    <n v="1"/>
    <n v="0"/>
    <s v="Medium"/>
    <s v="Very Sensitive"/>
    <n v="2"/>
    <n v="2"/>
    <s v="High"/>
    <s v="Smartphone"/>
    <s v="Debit Card"/>
    <d v="2024-05-28T00:00:00"/>
    <b v="1"/>
    <x v="1"/>
    <s v="Need-based"/>
    <s v="No Preference"/>
    <n v="7"/>
  </r>
  <r>
    <x v="644"/>
    <x v="644"/>
    <x v="16"/>
    <x v="2"/>
    <x v="3"/>
    <x v="0"/>
    <x v="0"/>
    <x v="1"/>
    <x v="1"/>
    <x v="628"/>
    <s v="Sakura"/>
    <s v="Sakura"/>
    <s v="Groceries"/>
    <n v="447.53"/>
    <n v="4"/>
    <s v="Online"/>
    <x v="2"/>
    <n v="1"/>
    <n v="2"/>
    <s v="High"/>
    <s v="Somewhat Sensitive"/>
    <n v="1"/>
    <n v="6"/>
    <s v="None"/>
    <s v="Smartphone"/>
    <s v="PayPal"/>
    <d v="2024-10-13T00:00:00"/>
    <b v="1"/>
    <x v="1"/>
    <s v="Wants-based"/>
    <s v="No Preference"/>
    <n v="3"/>
  </r>
  <r>
    <x v="645"/>
    <x v="645"/>
    <x v="5"/>
    <x v="0"/>
    <x v="0"/>
    <x v="1"/>
    <x v="3"/>
    <x v="0"/>
    <x v="0"/>
    <x v="629"/>
    <s v="Lianghu"/>
    <s v="Lianghu"/>
    <s v="Office Supplies"/>
    <n v="138.44"/>
    <n v="4"/>
    <s v="Mixed"/>
    <x v="0"/>
    <n v="1"/>
    <n v="1"/>
    <s v="None"/>
    <s v="Very Sensitive"/>
    <n v="1"/>
    <n v="2"/>
    <s v="None"/>
    <s v="Smartphone"/>
    <s v="Cash"/>
    <d v="2024-02-22T00:00:00"/>
    <b v="0"/>
    <x v="1"/>
    <s v="Wants-based"/>
    <s v="Express"/>
    <n v="1"/>
  </r>
  <r>
    <x v="646"/>
    <x v="646"/>
    <x v="5"/>
    <x v="2"/>
    <x v="6"/>
    <x v="0"/>
    <x v="1"/>
    <x v="1"/>
    <x v="0"/>
    <x v="630"/>
    <s v="Karabash"/>
    <s v="Karabash"/>
    <s v="Home Appliances"/>
    <n v="440.62"/>
    <n v="8"/>
    <s v="Mixed"/>
    <x v="2"/>
    <n v="2"/>
    <n v="2"/>
    <s v="None"/>
    <s v="Very Sensitive"/>
    <n v="1"/>
    <n v="3"/>
    <s v="Medium"/>
    <s v="Tablet"/>
    <s v="Debit Card"/>
    <d v="2024-02-01T00:00:00"/>
    <b v="1"/>
    <x v="1"/>
    <s v="Need-based"/>
    <s v="Express"/>
    <n v="6"/>
  </r>
  <r>
    <x v="647"/>
    <x v="647"/>
    <x v="25"/>
    <x v="0"/>
    <x v="0"/>
    <x v="1"/>
    <x v="3"/>
    <x v="2"/>
    <x v="1"/>
    <x v="631"/>
    <s v="Maomiaoji"/>
    <s v="Maomiaoji"/>
    <s v="Sports &amp; Outdoors"/>
    <n v="145.97999999999999"/>
    <n v="4"/>
    <s v="In-Store"/>
    <x v="3"/>
    <n v="2"/>
    <n v="1"/>
    <s v="Low"/>
    <s v="Very Sensitive"/>
    <n v="2"/>
    <n v="5"/>
    <s v="High"/>
    <s v="Desktop"/>
    <s v="Other"/>
    <d v="2024-09-16T00:00:00"/>
    <b v="0"/>
    <x v="0"/>
    <s v="Need-based"/>
    <s v="No Preference"/>
    <n v="1"/>
  </r>
  <r>
    <x v="648"/>
    <x v="648"/>
    <x v="31"/>
    <x v="1"/>
    <x v="1"/>
    <x v="0"/>
    <x v="0"/>
    <x v="1"/>
    <x v="1"/>
    <x v="632"/>
    <s v="Pingtian"/>
    <s v="Pingtian"/>
    <s v="Software &amp; Apps"/>
    <n v="405.66"/>
    <n v="11"/>
    <s v="Online"/>
    <x v="0"/>
    <n v="2"/>
    <n v="1"/>
    <s v="Medium"/>
    <s v="Somewhat Sensitive"/>
    <n v="1"/>
    <n v="3"/>
    <s v="High"/>
    <s v="Tablet"/>
    <s v="Cash"/>
    <d v="2024-04-27T00:00:00"/>
    <b v="1"/>
    <x v="0"/>
    <s v="Impulsive"/>
    <s v="Express"/>
    <n v="11"/>
  </r>
  <r>
    <x v="649"/>
    <x v="649"/>
    <x v="29"/>
    <x v="0"/>
    <x v="0"/>
    <x v="1"/>
    <x v="1"/>
    <x v="1"/>
    <x v="0"/>
    <x v="633"/>
    <s v="Tina"/>
    <s v="Tiإ،ina"/>
    <s v="Clothing"/>
    <n v="419.98"/>
    <n v="7"/>
    <s v="In-Store"/>
    <x v="4"/>
    <n v="4"/>
    <n v="0"/>
    <s v="None"/>
    <s v="Very Sensitive"/>
    <n v="0"/>
    <n v="10"/>
    <s v="Medium"/>
    <s v="Desktop"/>
    <s v="PayPal"/>
    <d v="2024-04-28T00:00:00"/>
    <b v="1"/>
    <x v="1"/>
    <s v="Impulsive"/>
    <s v="No Preference"/>
    <n v="14"/>
  </r>
  <r>
    <x v="650"/>
    <x v="650"/>
    <x v="17"/>
    <x v="0"/>
    <x v="0"/>
    <x v="0"/>
    <x v="3"/>
    <x v="2"/>
    <x v="1"/>
    <x v="634"/>
    <s v="Montceau-les-Mines"/>
    <s v="Montceau-les-Mines"/>
    <s v="Arts &amp; Crafts"/>
    <n v="260.14"/>
    <n v="5"/>
    <s v="Online"/>
    <x v="1"/>
    <n v="2"/>
    <n v="1"/>
    <s v="None"/>
    <s v="Somewhat Sensitive"/>
    <n v="1"/>
    <n v="7"/>
    <s v="Low"/>
    <s v="Smartphone"/>
    <s v="Other"/>
    <d v="2024-09-01T00:00:00"/>
    <b v="1"/>
    <x v="1"/>
    <s v="Need-based"/>
    <s v="Standard"/>
    <n v="7"/>
  </r>
  <r>
    <x v="651"/>
    <x v="651"/>
    <x v="15"/>
    <x v="0"/>
    <x v="0"/>
    <x v="0"/>
    <x v="2"/>
    <x v="0"/>
    <x v="1"/>
    <x v="635"/>
    <s v="Karengan"/>
    <s v="Karengan"/>
    <s v="Arts &amp; Crafts"/>
    <n v="368.91"/>
    <n v="10"/>
    <s v="In-Store"/>
    <x v="3"/>
    <n v="3"/>
    <n v="2"/>
    <s v="High"/>
    <s v="Not Sensitive"/>
    <n v="2"/>
    <n v="10"/>
    <s v="High"/>
    <s v="Desktop"/>
    <s v="Debit Card"/>
    <d v="2024-03-21T00:00:00"/>
    <b v="0"/>
    <x v="0"/>
    <s v="Need-based"/>
    <s v="No Preference"/>
    <n v="7"/>
  </r>
  <r>
    <x v="652"/>
    <x v="652"/>
    <x v="11"/>
    <x v="1"/>
    <x v="1"/>
    <x v="0"/>
    <x v="2"/>
    <x v="2"/>
    <x v="0"/>
    <x v="636"/>
    <s v="Sungai Raya"/>
    <s v="Sungai Raya"/>
    <s v="Home Appliances"/>
    <n v="100.32"/>
    <n v="2"/>
    <s v="In-Store"/>
    <x v="0"/>
    <n v="1"/>
    <n v="1"/>
    <s v="Low"/>
    <s v="Very Sensitive"/>
    <n v="0"/>
    <n v="1"/>
    <s v="Medium"/>
    <s v="Tablet"/>
    <s v="Credit Card"/>
    <d v="2024-12-11T00:00:00"/>
    <b v="0"/>
    <x v="1"/>
    <s v="Planned"/>
    <s v="Express"/>
    <n v="8"/>
  </r>
  <r>
    <x v="653"/>
    <x v="653"/>
    <x v="10"/>
    <x v="1"/>
    <x v="1"/>
    <x v="1"/>
    <x v="0"/>
    <x v="2"/>
    <x v="0"/>
    <x v="637"/>
    <s v="Zwedru"/>
    <s v="Zwedru"/>
    <s v="Food &amp; Beverages"/>
    <n v="107.82"/>
    <n v="7"/>
    <s v="Mixed"/>
    <x v="0"/>
    <n v="3"/>
    <n v="2"/>
    <s v="High"/>
    <s v="Very Sensitive"/>
    <n v="2"/>
    <n v="10"/>
    <s v="Low"/>
    <s v="Smartphone"/>
    <s v="Credit Card"/>
    <d v="2024-12-04T00:00:00"/>
    <b v="0"/>
    <x v="1"/>
    <s v="Wants-based"/>
    <s v="No Preference"/>
    <n v="2"/>
  </r>
  <r>
    <x v="654"/>
    <x v="654"/>
    <x v="17"/>
    <x v="1"/>
    <x v="1"/>
    <x v="0"/>
    <x v="0"/>
    <x v="1"/>
    <x v="0"/>
    <x v="638"/>
    <s v="ah"/>
    <s v="إ¢ahإ£ؤپ"/>
    <s v="Baby Products"/>
    <n v="83.88"/>
    <n v="11"/>
    <s v="Online"/>
    <x v="4"/>
    <n v="2"/>
    <n v="1"/>
    <s v="Medium"/>
    <s v="Not Sensitive"/>
    <n v="0"/>
    <n v="6"/>
    <s v="Low"/>
    <s v="Desktop"/>
    <s v="Other"/>
    <d v="2024-02-24T00:00:00"/>
    <b v="1"/>
    <x v="1"/>
    <s v="Planned"/>
    <s v="Express"/>
    <n v="4"/>
  </r>
  <r>
    <x v="655"/>
    <x v="655"/>
    <x v="2"/>
    <x v="0"/>
    <x v="0"/>
    <x v="0"/>
    <x v="2"/>
    <x v="0"/>
    <x v="0"/>
    <x v="639"/>
    <s v="Masaran"/>
    <s v="Masaran"/>
    <s v="Travel &amp; Leisure (Flights"/>
    <n v="81.25"/>
    <n v="9"/>
    <s v="Online"/>
    <x v="3"/>
    <n v="2"/>
    <n v="1"/>
    <s v="Low"/>
    <s v="Very Sensitive"/>
    <n v="2"/>
    <n v="8"/>
    <s v="Medium"/>
    <s v="Desktop"/>
    <s v="Cash"/>
    <d v="2024-05-24T00:00:00"/>
    <b v="1"/>
    <x v="1"/>
    <s v="Planned"/>
    <s v="No Preference"/>
    <n v="10"/>
  </r>
  <r>
    <x v="656"/>
    <x v="656"/>
    <x v="1"/>
    <x v="1"/>
    <x v="1"/>
    <x v="0"/>
    <x v="2"/>
    <x v="2"/>
    <x v="1"/>
    <x v="640"/>
    <s v="Huangtang"/>
    <s v="Huangtang"/>
    <s v="Home Appliances"/>
    <n v="125.8"/>
    <n v="12"/>
    <s v="In-Store"/>
    <x v="4"/>
    <n v="4"/>
    <n v="2"/>
    <s v="None"/>
    <s v="Somewhat Sensitive"/>
    <n v="0"/>
    <n v="8"/>
    <s v="High"/>
    <s v="Desktop"/>
    <s v="PayPal"/>
    <d v="2024-05-18T00:00:00"/>
    <b v="0"/>
    <x v="1"/>
    <s v="Planned"/>
    <s v="No Preference"/>
    <n v="1"/>
  </r>
  <r>
    <x v="657"/>
    <x v="657"/>
    <x v="27"/>
    <x v="0"/>
    <x v="0"/>
    <x v="0"/>
    <x v="1"/>
    <x v="0"/>
    <x v="0"/>
    <x v="641"/>
    <s v="Skotari"/>
    <s v="Skoأ؛tari"/>
    <s v="Health Supplements"/>
    <n v="197.9"/>
    <n v="11"/>
    <s v="Mixed"/>
    <x v="2"/>
    <n v="4"/>
    <n v="2"/>
    <s v="Medium"/>
    <s v="Not Sensitive"/>
    <n v="1"/>
    <n v="4"/>
    <s v="Low"/>
    <s v="Desktop"/>
    <s v="Debit Card"/>
    <d v="2024-04-02T00:00:00"/>
    <b v="1"/>
    <x v="1"/>
    <s v="Wants-based"/>
    <s v="Standard"/>
    <n v="5"/>
  </r>
  <r>
    <x v="658"/>
    <x v="658"/>
    <x v="32"/>
    <x v="1"/>
    <x v="1"/>
    <x v="1"/>
    <x v="3"/>
    <x v="1"/>
    <x v="0"/>
    <x v="642"/>
    <s v="Jelat"/>
    <s v="Jelat"/>
    <s v="Travel &amp; Leisure (Flights"/>
    <n v="299.08999999999997"/>
    <n v="8"/>
    <s v="In-Store"/>
    <x v="3"/>
    <n v="1"/>
    <n v="2"/>
    <s v="High"/>
    <s v="Very Sensitive"/>
    <n v="2"/>
    <n v="7"/>
    <s v="High"/>
    <s v="Tablet"/>
    <s v="Debit Card"/>
    <d v="2024-06-24T00:00:00"/>
    <b v="0"/>
    <x v="0"/>
    <s v="Impulsive"/>
    <s v="Standard"/>
    <n v="14"/>
  </r>
  <r>
    <x v="659"/>
    <x v="659"/>
    <x v="30"/>
    <x v="1"/>
    <x v="1"/>
    <x v="1"/>
    <x v="0"/>
    <x v="1"/>
    <x v="0"/>
    <x v="643"/>
    <s v="Doibang"/>
    <s v="Doibang"/>
    <s v="Travel &amp; Leisure (Flights"/>
    <n v="79.3"/>
    <n v="10"/>
    <s v="Online"/>
    <x v="1"/>
    <n v="2"/>
    <n v="1"/>
    <s v="Low"/>
    <s v="Somewhat Sensitive"/>
    <n v="2"/>
    <n v="4"/>
    <s v="High"/>
    <s v="Smartphone"/>
    <s v="Debit Card"/>
    <d v="2024-09-03T00:00:00"/>
    <b v="0"/>
    <x v="0"/>
    <s v="Planned"/>
    <s v="No Preference"/>
    <n v="2"/>
  </r>
  <r>
    <x v="660"/>
    <x v="660"/>
    <x v="4"/>
    <x v="1"/>
    <x v="1"/>
    <x v="1"/>
    <x v="3"/>
    <x v="1"/>
    <x v="1"/>
    <x v="644"/>
    <s v="Kazimierz Dolny"/>
    <s v="Kazimierz Dolny"/>
    <s v="Books"/>
    <n v="55.73"/>
    <n v="12"/>
    <s v="In-Store"/>
    <x v="4"/>
    <n v="3"/>
    <n v="0.3"/>
    <s v="Medium"/>
    <s v="Not Sensitive"/>
    <n v="1"/>
    <n v="3"/>
    <s v="High"/>
    <s v="Tablet"/>
    <s v="PayPal"/>
    <d v="2024-05-19T00:00:00"/>
    <b v="0"/>
    <x v="1"/>
    <s v="Need-based"/>
    <s v="Express"/>
    <n v="3"/>
  </r>
  <r>
    <x v="661"/>
    <x v="661"/>
    <x v="19"/>
    <x v="1"/>
    <x v="1"/>
    <x v="1"/>
    <x v="1"/>
    <x v="0"/>
    <x v="1"/>
    <x v="645"/>
    <s v="Margasari"/>
    <s v="Margasari"/>
    <s v="Software &amp; Apps"/>
    <n v="256.44"/>
    <n v="8"/>
    <s v="In-Store"/>
    <x v="4"/>
    <n v="1"/>
    <n v="2"/>
    <s v="High"/>
    <s v="Somewhat Sensitive"/>
    <n v="1"/>
    <n v="6"/>
    <s v="Medium"/>
    <s v="Tablet"/>
    <s v="Other"/>
    <d v="2024-08-04T00:00:00"/>
    <b v="0"/>
    <x v="0"/>
    <s v="Wants-based"/>
    <s v="Express"/>
    <n v="3"/>
  </r>
  <r>
    <x v="662"/>
    <x v="662"/>
    <x v="25"/>
    <x v="0"/>
    <x v="0"/>
    <x v="1"/>
    <x v="0"/>
    <x v="0"/>
    <x v="1"/>
    <x v="646"/>
    <s v="Gara"/>
    <s v="Garأ§a"/>
    <s v="Toys &amp; Games"/>
    <n v="337.21"/>
    <n v="12"/>
    <s v="Online"/>
    <x v="3"/>
    <n v="5"/>
    <n v="1"/>
    <s v="Low"/>
    <s v="Somewhat Sensitive"/>
    <n v="0"/>
    <n v="9"/>
    <s v="None"/>
    <s v="Smartphone"/>
    <s v="Debit Card"/>
    <d v="2024-10-24T00:00:00"/>
    <b v="1"/>
    <x v="1"/>
    <s v="Planned"/>
    <s v="Express"/>
    <n v="11"/>
  </r>
  <r>
    <x v="663"/>
    <x v="663"/>
    <x v="22"/>
    <x v="0"/>
    <x v="0"/>
    <x v="1"/>
    <x v="1"/>
    <x v="2"/>
    <x v="0"/>
    <x v="647"/>
    <s v="Muff"/>
    <s v="Muff"/>
    <s v="Software &amp; Apps"/>
    <n v="494.97"/>
    <n v="12"/>
    <s v="In-Store"/>
    <x v="0"/>
    <n v="4"/>
    <n v="2"/>
    <s v="Low"/>
    <s v="Not Sensitive"/>
    <n v="1"/>
    <n v="5"/>
    <s v="Low"/>
    <s v="Tablet"/>
    <s v="Debit Card"/>
    <d v="2024-08-16T00:00:00"/>
    <b v="0"/>
    <x v="0"/>
    <s v="Planned"/>
    <s v="No Preference"/>
    <n v="7"/>
  </r>
  <r>
    <x v="664"/>
    <x v="664"/>
    <x v="16"/>
    <x v="0"/>
    <x v="0"/>
    <x v="0"/>
    <x v="2"/>
    <x v="1"/>
    <x v="1"/>
    <x v="648"/>
    <s v="Kryva Hora"/>
    <s v="Kryva Hora"/>
    <s v="Arts &amp; Crafts"/>
    <n v="238.58"/>
    <n v="6"/>
    <s v="Online"/>
    <x v="1"/>
    <n v="2"/>
    <n v="2"/>
    <s v="Medium"/>
    <s v="Very Sensitive"/>
    <n v="2"/>
    <n v="9"/>
    <s v="Medium"/>
    <s v="Tablet"/>
    <s v="PayPal"/>
    <d v="2024-06-11T00:00:00"/>
    <b v="1"/>
    <x v="1"/>
    <s v="Wants-based"/>
    <s v="Standard"/>
    <n v="8"/>
  </r>
  <r>
    <x v="665"/>
    <x v="665"/>
    <x v="28"/>
    <x v="0"/>
    <x v="0"/>
    <x v="1"/>
    <x v="1"/>
    <x v="0"/>
    <x v="1"/>
    <x v="649"/>
    <s v="Pyra"/>
    <s v="Pyra"/>
    <s v="Sports &amp; Outdoors"/>
    <n v="131.9"/>
    <n v="8"/>
    <s v="Mixed"/>
    <x v="1"/>
    <n v="5"/>
    <n v="0"/>
    <s v="None"/>
    <s v="Not Sensitive"/>
    <n v="2"/>
    <n v="4"/>
    <s v="Medium"/>
    <s v="Tablet"/>
    <s v="Credit Card"/>
    <d v="2024-11-01T00:00:00"/>
    <b v="1"/>
    <x v="1"/>
    <s v="Planned"/>
    <s v="No Preference"/>
    <n v="4"/>
  </r>
  <r>
    <x v="666"/>
    <x v="666"/>
    <x v="1"/>
    <x v="0"/>
    <x v="0"/>
    <x v="0"/>
    <x v="0"/>
    <x v="0"/>
    <x v="1"/>
    <x v="650"/>
    <s v="General Lavalle"/>
    <s v="General Lavalle"/>
    <s v="Food &amp; Beverages"/>
    <n v="403.03"/>
    <n v="12"/>
    <s v="Mixed"/>
    <x v="3"/>
    <n v="5"/>
    <n v="1"/>
    <s v="Medium"/>
    <s v="Somewhat Sensitive"/>
    <n v="0"/>
    <n v="1"/>
    <s v="High"/>
    <s v="Tablet"/>
    <s v="Other"/>
    <d v="2024-08-22T00:00:00"/>
    <b v="1"/>
    <x v="1"/>
    <s v="Wants-based"/>
    <s v="Standard"/>
    <n v="2"/>
  </r>
  <r>
    <x v="667"/>
    <x v="667"/>
    <x v="29"/>
    <x v="0"/>
    <x v="0"/>
    <x v="1"/>
    <x v="2"/>
    <x v="0"/>
    <x v="1"/>
    <x v="651"/>
    <s v="Zhongzhang"/>
    <s v="Zhongzhang"/>
    <s v="Health Supplements"/>
    <n v="338.6"/>
    <n v="10"/>
    <s v="In-Store"/>
    <x v="3"/>
    <n v="3"/>
    <n v="2"/>
    <s v="Medium"/>
    <s v="Somewhat Sensitive"/>
    <n v="1"/>
    <n v="3"/>
    <s v="Medium"/>
    <s v="Desktop"/>
    <s v="Other"/>
    <d v="2024-08-24T00:00:00"/>
    <b v="0"/>
    <x v="0"/>
    <s v="Planned"/>
    <s v="No Preference"/>
    <n v="9"/>
  </r>
  <r>
    <x v="668"/>
    <x v="668"/>
    <x v="15"/>
    <x v="1"/>
    <x v="1"/>
    <x v="0"/>
    <x v="2"/>
    <x v="1"/>
    <x v="1"/>
    <x v="652"/>
    <s v="Estacion"/>
    <s v="Estacion"/>
    <s v="Furniture"/>
    <n v="365.38"/>
    <n v="11"/>
    <s v="Online"/>
    <x v="3"/>
    <n v="4"/>
    <n v="0"/>
    <s v="High"/>
    <s v="Somewhat Sensitive"/>
    <n v="0"/>
    <n v="9"/>
    <s v="Medium"/>
    <s v="Desktop"/>
    <s v="Cash"/>
    <d v="2024-08-01T00:00:00"/>
    <b v="0"/>
    <x v="0"/>
    <s v="Wants-based"/>
    <s v="Express"/>
    <n v="14"/>
  </r>
  <r>
    <x v="669"/>
    <x v="669"/>
    <x v="6"/>
    <x v="1"/>
    <x v="1"/>
    <x v="0"/>
    <x v="0"/>
    <x v="1"/>
    <x v="1"/>
    <x v="653"/>
    <s v="Xinglongchang"/>
    <s v="Xinglongchang"/>
    <s v="Sports &amp; Outdoors"/>
    <n v="433.99"/>
    <n v="11"/>
    <s v="Mixed"/>
    <x v="1"/>
    <n v="2"/>
    <n v="1"/>
    <s v="High"/>
    <s v="Not Sensitive"/>
    <n v="0"/>
    <n v="2"/>
    <s v="None"/>
    <s v="Desktop"/>
    <s v="Credit Card"/>
    <d v="2024-02-09T00:00:00"/>
    <b v="0"/>
    <x v="0"/>
    <s v="Need-based"/>
    <s v="No Preference"/>
    <n v="8"/>
  </r>
  <r>
    <x v="670"/>
    <x v="670"/>
    <x v="22"/>
    <x v="0"/>
    <x v="0"/>
    <x v="0"/>
    <x v="2"/>
    <x v="1"/>
    <x v="0"/>
    <x v="654"/>
    <s v="San Nicolas"/>
    <s v="San Nicolas"/>
    <s v="Health Care"/>
    <n v="495.95"/>
    <n v="5"/>
    <s v="In-Store"/>
    <x v="4"/>
    <n v="2"/>
    <n v="0"/>
    <s v="High"/>
    <s v="Very Sensitive"/>
    <n v="1"/>
    <n v="7"/>
    <s v="None"/>
    <s v="Smartphone"/>
    <s v="Other"/>
    <d v="2024-04-10T00:00:00"/>
    <b v="0"/>
    <x v="0"/>
    <s v="Planned"/>
    <s v="No Preference"/>
    <n v="6"/>
  </r>
  <r>
    <x v="671"/>
    <x v="671"/>
    <x v="30"/>
    <x v="1"/>
    <x v="1"/>
    <x v="1"/>
    <x v="0"/>
    <x v="1"/>
    <x v="0"/>
    <x v="655"/>
    <s v="Ropa"/>
    <s v="Ropa"/>
    <s v="Baby Products"/>
    <n v="356.22"/>
    <n v="7"/>
    <s v="In-Store"/>
    <x v="2"/>
    <n v="5"/>
    <n v="0"/>
    <s v="Medium"/>
    <s v="Very Sensitive"/>
    <n v="1"/>
    <n v="7"/>
    <s v="High"/>
    <s v="Smartphone"/>
    <s v="Credit Card"/>
    <d v="2024-06-10T00:00:00"/>
    <b v="0"/>
    <x v="1"/>
    <s v="Planned"/>
    <s v="Express"/>
    <n v="6"/>
  </r>
  <r>
    <x v="672"/>
    <x v="672"/>
    <x v="0"/>
    <x v="2"/>
    <x v="7"/>
    <x v="1"/>
    <x v="1"/>
    <x v="1"/>
    <x v="0"/>
    <x v="656"/>
    <s v="San Diego"/>
    <s v="San Diego"/>
    <s v="Health Supplements"/>
    <n v="156.4"/>
    <n v="7"/>
    <s v="In-Store"/>
    <x v="4"/>
    <n v="5"/>
    <n v="2"/>
    <s v="Low"/>
    <s v="Somewhat Sensitive"/>
    <n v="1"/>
    <n v="7"/>
    <s v="Low"/>
    <s v="Desktop"/>
    <s v="Credit Card"/>
    <d v="2024-11-07T00:00:00"/>
    <b v="0"/>
    <x v="1"/>
    <s v="Need-based"/>
    <s v="Standard"/>
    <n v="4"/>
  </r>
  <r>
    <x v="673"/>
    <x v="673"/>
    <x v="21"/>
    <x v="1"/>
    <x v="1"/>
    <x v="0"/>
    <x v="1"/>
    <x v="2"/>
    <x v="0"/>
    <x v="657"/>
    <s v="Pan-an"/>
    <s v="Pan-an"/>
    <s v="Sports &amp; Outdoors"/>
    <n v="454.36"/>
    <n v="3"/>
    <s v="In-Store"/>
    <x v="4"/>
    <n v="5"/>
    <n v="1"/>
    <s v="Low"/>
    <s v="Very Sensitive"/>
    <n v="1"/>
    <n v="8"/>
    <s v="Medium"/>
    <s v="Tablet"/>
    <s v="Cash"/>
    <d v="2024-09-16T00:00:00"/>
    <b v="1"/>
    <x v="0"/>
    <s v="Planned"/>
    <s v="No Preference"/>
    <n v="12"/>
  </r>
  <r>
    <x v="674"/>
    <x v="674"/>
    <x v="17"/>
    <x v="1"/>
    <x v="1"/>
    <x v="1"/>
    <x v="1"/>
    <x v="0"/>
    <x v="1"/>
    <x v="658"/>
    <s v="Shu"/>
    <s v="Shu"/>
    <s v="Software &amp; Apps"/>
    <n v="486.07"/>
    <n v="11"/>
    <s v="Mixed"/>
    <x v="0"/>
    <n v="1"/>
    <n v="0"/>
    <s v="Medium"/>
    <s v="Somewhat Sensitive"/>
    <n v="2"/>
    <n v="6"/>
    <s v="None"/>
    <s v="Tablet"/>
    <s v="Credit Card"/>
    <d v="2024-01-16T00:00:00"/>
    <b v="0"/>
    <x v="0"/>
    <s v="Planned"/>
    <s v="Standard"/>
    <n v="12"/>
  </r>
  <r>
    <x v="675"/>
    <x v="675"/>
    <x v="12"/>
    <x v="0"/>
    <x v="0"/>
    <x v="1"/>
    <x v="3"/>
    <x v="1"/>
    <x v="0"/>
    <x v="118"/>
    <s v="Tn nad Vltavou"/>
    <s v="Tأ½n nad Vltavou"/>
    <s v="Packages)"/>
    <n v="427.86"/>
    <n v="11"/>
    <s v="Mixed"/>
    <x v="4"/>
    <n v="3"/>
    <n v="1"/>
    <s v="Medium"/>
    <s v="Not Sensitive"/>
    <n v="0"/>
    <n v="6"/>
    <s v="Medium"/>
    <s v="Desktop"/>
    <s v="Debit Card"/>
    <d v="2024-03-03T00:00:00"/>
    <b v="1"/>
    <x v="1"/>
    <s v="Need-based"/>
    <s v="Express"/>
    <n v="8"/>
  </r>
  <r>
    <x v="676"/>
    <x v="676"/>
    <x v="1"/>
    <x v="0"/>
    <x v="0"/>
    <x v="1"/>
    <x v="3"/>
    <x v="2"/>
    <x v="1"/>
    <x v="659"/>
    <s v="Mojogajeh"/>
    <s v="Mojogajeh"/>
    <s v="Beauty &amp; Personal Care"/>
    <n v="235.13"/>
    <n v="10"/>
    <s v="Online"/>
    <x v="0"/>
    <n v="4"/>
    <n v="1"/>
    <s v="Medium"/>
    <s v="Very Sensitive"/>
    <n v="2"/>
    <n v="3"/>
    <s v="None"/>
    <s v="Smartphone"/>
    <s v="Other"/>
    <d v="2024-03-29T00:00:00"/>
    <b v="1"/>
    <x v="0"/>
    <s v="Planned"/>
    <s v="No Preference"/>
    <n v="6"/>
  </r>
  <r>
    <x v="677"/>
    <x v="677"/>
    <x v="13"/>
    <x v="0"/>
    <x v="0"/>
    <x v="0"/>
    <x v="3"/>
    <x v="0"/>
    <x v="0"/>
    <x v="660"/>
    <s v="Mawu"/>
    <s v="Mawu"/>
    <s v="Groceries"/>
    <n v="361.27"/>
    <n v="4"/>
    <s v="Online"/>
    <x v="1"/>
    <n v="3"/>
    <n v="1"/>
    <s v="None"/>
    <s v="Not Sensitive"/>
    <n v="0"/>
    <n v="5"/>
    <s v="High"/>
    <s v="Tablet"/>
    <s v="Credit Card"/>
    <d v="2024-09-15T00:00:00"/>
    <b v="1"/>
    <x v="0"/>
    <s v="Need-based"/>
    <s v="Standard"/>
    <n v="2"/>
  </r>
  <r>
    <x v="678"/>
    <x v="678"/>
    <x v="9"/>
    <x v="0"/>
    <x v="0"/>
    <x v="0"/>
    <x v="1"/>
    <x v="0"/>
    <x v="0"/>
    <x v="661"/>
    <s v="Genting"/>
    <s v="Genting"/>
    <s v="Furniture"/>
    <n v="195.83"/>
    <n v="10"/>
    <s v="Mixed"/>
    <x v="3"/>
    <n v="2"/>
    <n v="2"/>
    <s v="None"/>
    <s v="Not Sensitive"/>
    <n v="1"/>
    <n v="7"/>
    <s v="High"/>
    <s v="Desktop"/>
    <s v="Debit Card"/>
    <d v="2024-01-25T00:00:00"/>
    <b v="1"/>
    <x v="0"/>
    <s v="Need-based"/>
    <s v="No Preference"/>
    <n v="13"/>
  </r>
  <r>
    <x v="679"/>
    <x v="679"/>
    <x v="6"/>
    <x v="1"/>
    <x v="1"/>
    <x v="1"/>
    <x v="0"/>
    <x v="2"/>
    <x v="1"/>
    <x v="662"/>
    <s v="Madan"/>
    <s v="Madan"/>
    <s v="Sports &amp; Outdoors"/>
    <n v="340.31"/>
    <n v="10"/>
    <s v="Online"/>
    <x v="0"/>
    <n v="1"/>
    <n v="1"/>
    <s v="Low"/>
    <s v="Somewhat Sensitive"/>
    <n v="0"/>
    <n v="5"/>
    <s v="Low"/>
    <s v="Desktop"/>
    <s v="Other"/>
    <d v="2024-09-18T00:00:00"/>
    <b v="0"/>
    <x v="1"/>
    <s v="Impulsive"/>
    <s v="No Preference"/>
    <n v="14"/>
  </r>
  <r>
    <x v="680"/>
    <x v="680"/>
    <x v="13"/>
    <x v="1"/>
    <x v="1"/>
    <x v="1"/>
    <x v="3"/>
    <x v="2"/>
    <x v="1"/>
    <x v="663"/>
    <s v="Hexiangqiao"/>
    <s v="Hexiangqiao"/>
    <s v="Animal Feed"/>
    <n v="489.67"/>
    <n v="5"/>
    <s v="Mixed"/>
    <x v="0"/>
    <n v="5"/>
    <n v="1"/>
    <s v="None"/>
    <s v="Very Sensitive"/>
    <n v="1"/>
    <n v="5"/>
    <s v="Medium"/>
    <s v="Tablet"/>
    <s v="Debit Card"/>
    <d v="2024-12-21T00:00:00"/>
    <b v="0"/>
    <x v="0"/>
    <s v="Wants-based"/>
    <s v="Standard"/>
    <n v="11"/>
  </r>
  <r>
    <x v="681"/>
    <x v="681"/>
    <x v="29"/>
    <x v="1"/>
    <x v="1"/>
    <x v="1"/>
    <x v="3"/>
    <x v="2"/>
    <x v="0"/>
    <x v="664"/>
    <s v="Na Muen"/>
    <s v="Na Muen"/>
    <s v="Mobile Accessories"/>
    <n v="482.5"/>
    <n v="11"/>
    <s v="Mixed"/>
    <x v="3"/>
    <n v="1"/>
    <n v="1"/>
    <s v="None"/>
    <s v="Very Sensitive"/>
    <n v="2"/>
    <n v="1"/>
    <s v="None"/>
    <s v="Smartphone"/>
    <s v="Cash"/>
    <d v="2024-09-28T00:00:00"/>
    <b v="1"/>
    <x v="1"/>
    <s v="Need-based"/>
    <s v="No Preference"/>
    <n v="13"/>
  </r>
  <r>
    <x v="682"/>
    <x v="682"/>
    <x v="11"/>
    <x v="0"/>
    <x v="0"/>
    <x v="0"/>
    <x v="0"/>
    <x v="2"/>
    <x v="0"/>
    <x v="665"/>
    <s v="Gafargaon"/>
    <s v="Gafargaon"/>
    <s v="Jewelry &amp; Accessories"/>
    <n v="433.14"/>
    <n v="10"/>
    <s v="In-Store"/>
    <x v="1"/>
    <n v="1"/>
    <n v="2"/>
    <s v="Medium"/>
    <s v="Not Sensitive"/>
    <n v="2"/>
    <n v="3"/>
    <s v="High"/>
    <s v="Tablet"/>
    <s v="Debit Card"/>
    <d v="2024-07-09T00:00:00"/>
    <b v="0"/>
    <x v="0"/>
    <s v="Impulsive"/>
    <s v="No Preference"/>
    <n v="5"/>
  </r>
  <r>
    <x v="683"/>
    <x v="683"/>
    <x v="26"/>
    <x v="0"/>
    <x v="0"/>
    <x v="0"/>
    <x v="2"/>
    <x v="1"/>
    <x v="1"/>
    <x v="666"/>
    <s v="Qingban"/>
    <s v="Qingban"/>
    <s v="Jewelry &amp; Accessories"/>
    <n v="375.7"/>
    <n v="6"/>
    <s v="Online"/>
    <x v="1"/>
    <n v="1"/>
    <n v="2"/>
    <s v="Low"/>
    <s v="Very Sensitive"/>
    <n v="2"/>
    <n v="10"/>
    <s v="Medium"/>
    <s v="Tablet"/>
    <s v="Other"/>
    <d v="2024-09-27T00:00:00"/>
    <b v="1"/>
    <x v="0"/>
    <s v="Wants-based"/>
    <s v="No Preference"/>
    <n v="10"/>
  </r>
  <r>
    <x v="684"/>
    <x v="684"/>
    <x v="6"/>
    <x v="1"/>
    <x v="1"/>
    <x v="0"/>
    <x v="1"/>
    <x v="2"/>
    <x v="0"/>
    <x v="667"/>
    <s v="Labge"/>
    <s v="Labأ¨ge"/>
    <s v="Travel &amp; Leisure (Flights"/>
    <n v="381.3"/>
    <n v="12"/>
    <s v="Online"/>
    <x v="2"/>
    <n v="1"/>
    <n v="1"/>
    <s v="High"/>
    <s v="Very Sensitive"/>
    <n v="0"/>
    <n v="4"/>
    <s v="Low"/>
    <s v="Desktop"/>
    <s v="Credit Card"/>
    <d v="2024-01-09T00:00:00"/>
    <b v="0"/>
    <x v="0"/>
    <s v="Planned"/>
    <s v="Express"/>
    <n v="7"/>
  </r>
  <r>
    <x v="685"/>
    <x v="685"/>
    <x v="10"/>
    <x v="1"/>
    <x v="1"/>
    <x v="1"/>
    <x v="2"/>
    <x v="1"/>
    <x v="1"/>
    <x v="668"/>
    <s v="Port Elizabeth"/>
    <s v="Port Elizabeth"/>
    <s v="Electronics"/>
    <n v="210.21"/>
    <n v="4"/>
    <s v="Mixed"/>
    <x v="4"/>
    <n v="1"/>
    <n v="2"/>
    <s v="High"/>
    <s v="Very Sensitive"/>
    <n v="0"/>
    <n v="10"/>
    <s v="High"/>
    <s v="Desktop"/>
    <s v="PayPal"/>
    <d v="2024-07-05T00:00:00"/>
    <b v="0"/>
    <x v="1"/>
    <s v="Need-based"/>
    <s v="No Preference"/>
    <n v="14"/>
  </r>
  <r>
    <x v="686"/>
    <x v="686"/>
    <x v="3"/>
    <x v="1"/>
    <x v="1"/>
    <x v="0"/>
    <x v="2"/>
    <x v="2"/>
    <x v="1"/>
    <x v="669"/>
    <s v="Sauri"/>
    <s v="Sauri"/>
    <s v="Health Supplements"/>
    <n v="408.81"/>
    <n v="8"/>
    <s v="Mixed"/>
    <x v="0"/>
    <n v="4"/>
    <n v="2"/>
    <s v="Low"/>
    <s v="Very Sensitive"/>
    <n v="1"/>
    <n v="3"/>
    <s v="Medium"/>
    <s v="Desktop"/>
    <s v="Debit Card"/>
    <d v="2024-07-16T00:00:00"/>
    <b v="0"/>
    <x v="1"/>
    <s v="Wants-based"/>
    <s v="Express"/>
    <n v="12"/>
  </r>
  <r>
    <x v="687"/>
    <x v="687"/>
    <x v="28"/>
    <x v="0"/>
    <x v="0"/>
    <x v="0"/>
    <x v="3"/>
    <x v="0"/>
    <x v="1"/>
    <x v="670"/>
    <s v="Desakolot"/>
    <s v="Desakolot"/>
    <s v="Jewelry &amp; Accessories"/>
    <n v="118.65"/>
    <n v="10"/>
    <s v="Mixed"/>
    <x v="3"/>
    <n v="3"/>
    <n v="0"/>
    <s v="Low"/>
    <s v="Very Sensitive"/>
    <n v="0"/>
    <n v="2"/>
    <s v="Low"/>
    <s v="Smartphone"/>
    <s v="Credit Card"/>
    <d v="2024-01-09T00:00:00"/>
    <b v="1"/>
    <x v="1"/>
    <s v="Impulsive"/>
    <s v="Standard"/>
    <n v="13"/>
  </r>
  <r>
    <x v="688"/>
    <x v="688"/>
    <x v="17"/>
    <x v="1"/>
    <x v="1"/>
    <x v="1"/>
    <x v="3"/>
    <x v="0"/>
    <x v="0"/>
    <x v="671"/>
    <s v="Huambo"/>
    <s v="Huambo"/>
    <s v="Software &amp; Apps"/>
    <n v="166.45"/>
    <n v="7"/>
    <s v="Mixed"/>
    <x v="0"/>
    <n v="2"/>
    <n v="2"/>
    <s v="Low"/>
    <s v="Very Sensitive"/>
    <n v="2"/>
    <n v="1"/>
    <s v="High"/>
    <s v="Smartphone"/>
    <s v="Cash"/>
    <d v="2024-08-13T00:00:00"/>
    <b v="1"/>
    <x v="0"/>
    <s v="Planned"/>
    <s v="Express"/>
    <n v="12"/>
  </r>
  <r>
    <x v="689"/>
    <x v="689"/>
    <x v="3"/>
    <x v="0"/>
    <x v="0"/>
    <x v="0"/>
    <x v="3"/>
    <x v="2"/>
    <x v="1"/>
    <x v="672"/>
    <s v="Luoting"/>
    <s v="Luoting"/>
    <s v="Travel &amp; Leisure (Flights"/>
    <n v="385.32"/>
    <n v="10"/>
    <s v="Online"/>
    <x v="3"/>
    <n v="1"/>
    <n v="1"/>
    <s v="Low"/>
    <s v="Very Sensitive"/>
    <n v="0"/>
    <n v="1"/>
    <s v="Medium"/>
    <s v="Smartphone"/>
    <s v="PayPal"/>
    <d v="2024-09-05T00:00:00"/>
    <b v="1"/>
    <x v="1"/>
    <s v="Impulsive"/>
    <s v="Standard"/>
    <n v="9"/>
  </r>
  <r>
    <x v="690"/>
    <x v="690"/>
    <x v="8"/>
    <x v="2"/>
    <x v="4"/>
    <x v="0"/>
    <x v="0"/>
    <x v="0"/>
    <x v="1"/>
    <x v="673"/>
    <s v="Stepnogorsk"/>
    <s v="Stepnogorsk"/>
    <s v="Mobile Accessories"/>
    <n v="293.99"/>
    <n v="10"/>
    <s v="Mixed"/>
    <x v="1"/>
    <n v="4"/>
    <n v="0"/>
    <s v="None"/>
    <s v="Somewhat Sensitive"/>
    <n v="2"/>
    <n v="7"/>
    <s v="None"/>
    <s v="Tablet"/>
    <s v="Credit Card"/>
    <d v="2024-09-29T00:00:00"/>
    <b v="0"/>
    <x v="1"/>
    <s v="Wants-based"/>
    <s v="No Preference"/>
    <n v="5"/>
  </r>
  <r>
    <x v="691"/>
    <x v="691"/>
    <x v="14"/>
    <x v="1"/>
    <x v="1"/>
    <x v="0"/>
    <x v="2"/>
    <x v="1"/>
    <x v="0"/>
    <x v="674"/>
    <s v="Zarechnyy"/>
    <s v="Zarechnyy"/>
    <s v="Toys &amp; Games"/>
    <n v="161.41"/>
    <n v="9"/>
    <s v="Mixed"/>
    <x v="3"/>
    <n v="4"/>
    <n v="0"/>
    <s v="Low"/>
    <s v="Very Sensitive"/>
    <n v="1"/>
    <n v="8"/>
    <s v="High"/>
    <s v="Desktop"/>
    <s v="PayPal"/>
    <d v="2024-04-07T00:00:00"/>
    <b v="1"/>
    <x v="0"/>
    <s v="Impulsive"/>
    <s v="Standard"/>
    <n v="3"/>
  </r>
  <r>
    <x v="692"/>
    <x v="692"/>
    <x v="7"/>
    <x v="1"/>
    <x v="1"/>
    <x v="0"/>
    <x v="1"/>
    <x v="2"/>
    <x v="0"/>
    <x v="287"/>
    <s v="La Unin"/>
    <s v="La Uniأ³n"/>
    <s v="Groceries"/>
    <n v="130.91999999999999"/>
    <n v="2"/>
    <s v="Online"/>
    <x v="3"/>
    <n v="2"/>
    <n v="1"/>
    <s v="High"/>
    <s v="Very Sensitive"/>
    <n v="2"/>
    <n v="2"/>
    <s v="None"/>
    <s v="Tablet"/>
    <s v="Cash"/>
    <d v="2024-12-18T00:00:00"/>
    <b v="1"/>
    <x v="1"/>
    <s v="Impulsive"/>
    <s v="No Preference"/>
    <n v="9"/>
  </r>
  <r>
    <x v="693"/>
    <x v="693"/>
    <x v="18"/>
    <x v="0"/>
    <x v="0"/>
    <x v="0"/>
    <x v="3"/>
    <x v="0"/>
    <x v="1"/>
    <x v="675"/>
    <s v="Banjar Medura"/>
    <s v="Banjar Medura"/>
    <s v="Toys &amp; Games"/>
    <n v="468.6"/>
    <n v="4"/>
    <s v="Mixed"/>
    <x v="1"/>
    <n v="4"/>
    <n v="2"/>
    <s v="Medium"/>
    <s v="Somewhat Sensitive"/>
    <n v="0"/>
    <n v="6"/>
    <s v="None"/>
    <s v="Desktop"/>
    <s v="PayPal"/>
    <d v="2024-06-14T00:00:00"/>
    <b v="0"/>
    <x v="1"/>
    <s v="Need-based"/>
    <s v="No Preference"/>
    <n v="2"/>
  </r>
  <r>
    <x v="694"/>
    <x v="694"/>
    <x v="26"/>
    <x v="1"/>
    <x v="1"/>
    <x v="1"/>
    <x v="3"/>
    <x v="0"/>
    <x v="0"/>
    <x v="676"/>
    <s v="Arnprior"/>
    <s v="Arnprior"/>
    <s v="Toys &amp; Games"/>
    <n v="237.57"/>
    <n v="5"/>
    <s v="Online"/>
    <x v="1"/>
    <n v="3"/>
    <n v="0"/>
    <s v="Medium"/>
    <s v="Somewhat Sensitive"/>
    <n v="0"/>
    <n v="3"/>
    <s v="Medium"/>
    <s v="Smartphone"/>
    <s v="Cash"/>
    <d v="2024-04-25T00:00:00"/>
    <b v="1"/>
    <x v="1"/>
    <s v="Need-based"/>
    <s v="No Preference"/>
    <n v="11"/>
  </r>
  <r>
    <x v="695"/>
    <x v="695"/>
    <x v="17"/>
    <x v="0"/>
    <x v="0"/>
    <x v="0"/>
    <x v="3"/>
    <x v="1"/>
    <x v="1"/>
    <x v="677"/>
    <s v="Donglu"/>
    <s v="Donglu"/>
    <s v="Furniture"/>
    <n v="395.18"/>
    <n v="5"/>
    <s v="In-Store"/>
    <x v="2"/>
    <n v="2"/>
    <n v="1"/>
    <s v="None"/>
    <s v="Not Sensitive"/>
    <n v="0"/>
    <n v="5"/>
    <s v="High"/>
    <s v="Smartphone"/>
    <s v="Other"/>
    <d v="2024-07-20T00:00:00"/>
    <b v="1"/>
    <x v="1"/>
    <s v="Need-based"/>
    <s v="Standard"/>
    <n v="6"/>
  </r>
  <r>
    <x v="696"/>
    <x v="696"/>
    <x v="21"/>
    <x v="2"/>
    <x v="5"/>
    <x v="1"/>
    <x v="0"/>
    <x v="1"/>
    <x v="0"/>
    <x v="678"/>
    <s v="Inderka"/>
    <s v="Inderka"/>
    <s v="Electronics"/>
    <n v="427.94"/>
    <n v="12"/>
    <s v="Mixed"/>
    <x v="0"/>
    <n v="4"/>
    <n v="1.3"/>
    <s v="High"/>
    <s v="Not Sensitive"/>
    <n v="1"/>
    <n v="2"/>
    <s v="None"/>
    <s v="Smartphone"/>
    <s v="Other"/>
    <d v="2024-03-29T00:00:00"/>
    <b v="0"/>
    <x v="0"/>
    <s v="Impulsive"/>
    <s v="No Preference"/>
    <n v="10"/>
  </r>
  <r>
    <x v="697"/>
    <x v="697"/>
    <x v="31"/>
    <x v="0"/>
    <x v="0"/>
    <x v="1"/>
    <x v="1"/>
    <x v="0"/>
    <x v="1"/>
    <x v="679"/>
    <s v="Tochio-honch"/>
    <s v="Tochio-honchإچ"/>
    <s v="Hotels"/>
    <n v="81.23"/>
    <n v="9"/>
    <s v="Mixed"/>
    <x v="2"/>
    <n v="5"/>
    <n v="2"/>
    <s v="High"/>
    <s v="Not Sensitive"/>
    <n v="1"/>
    <n v="10"/>
    <s v="Medium"/>
    <s v="Tablet"/>
    <s v="Cash"/>
    <d v="2024-03-26T00:00:00"/>
    <b v="0"/>
    <x v="1"/>
    <s v="Wants-based"/>
    <s v="Standard"/>
    <n v="6"/>
  </r>
  <r>
    <x v="698"/>
    <x v="698"/>
    <x v="25"/>
    <x v="1"/>
    <x v="1"/>
    <x v="0"/>
    <x v="1"/>
    <x v="1"/>
    <x v="0"/>
    <x v="680"/>
    <s v="Pasadena"/>
    <s v="Pasadena"/>
    <s v="Hotels"/>
    <n v="257.43"/>
    <n v="5"/>
    <s v="Online"/>
    <x v="4"/>
    <n v="2"/>
    <n v="0"/>
    <s v="Low"/>
    <s v="Somewhat Sensitive"/>
    <n v="1"/>
    <n v="7"/>
    <s v="Low"/>
    <s v="Desktop"/>
    <s v="Other"/>
    <d v="2024-04-14T00:00:00"/>
    <b v="1"/>
    <x v="1"/>
    <s v="Need-based"/>
    <s v="Standard"/>
    <n v="13"/>
  </r>
  <r>
    <x v="699"/>
    <x v="699"/>
    <x v="21"/>
    <x v="1"/>
    <x v="1"/>
    <x v="1"/>
    <x v="3"/>
    <x v="1"/>
    <x v="1"/>
    <x v="681"/>
    <s v="Barishl"/>
    <s v="Barishؤپl"/>
    <s v="Arts &amp; Crafts"/>
    <n v="305.73"/>
    <n v="7"/>
    <s v="Mixed"/>
    <x v="2"/>
    <n v="5"/>
    <n v="1"/>
    <s v="Medium"/>
    <s v="Not Sensitive"/>
    <n v="2"/>
    <n v="8"/>
    <s v="Medium"/>
    <s v="Tablet"/>
    <s v="Cash"/>
    <d v="2024-12-14T00:00:00"/>
    <b v="1"/>
    <x v="0"/>
    <s v="Planned"/>
    <s v="Express"/>
    <n v="14"/>
  </r>
  <r>
    <x v="700"/>
    <x v="700"/>
    <x v="11"/>
    <x v="1"/>
    <x v="1"/>
    <x v="1"/>
    <x v="1"/>
    <x v="0"/>
    <x v="1"/>
    <x v="682"/>
    <s v="Kihurio"/>
    <s v="Kihurio"/>
    <s v="Toys &amp; Games"/>
    <n v="249.82"/>
    <n v="10"/>
    <s v="In-Store"/>
    <x v="0"/>
    <n v="3"/>
    <n v="1"/>
    <s v="High"/>
    <s v="Not Sensitive"/>
    <n v="2"/>
    <n v="6"/>
    <s v="Medium"/>
    <s v="Tablet"/>
    <s v="PayPal"/>
    <d v="2024-08-12T00:00:00"/>
    <b v="1"/>
    <x v="0"/>
    <s v="Wants-based"/>
    <s v="No Preference"/>
    <n v="10"/>
  </r>
  <r>
    <x v="701"/>
    <x v="701"/>
    <x v="4"/>
    <x v="1"/>
    <x v="1"/>
    <x v="0"/>
    <x v="3"/>
    <x v="0"/>
    <x v="1"/>
    <x v="683"/>
    <s v="Oekero"/>
    <s v="Oekero"/>
    <s v="Animal Feed"/>
    <n v="332.79"/>
    <n v="11"/>
    <s v="Online"/>
    <x v="1"/>
    <n v="5"/>
    <n v="2"/>
    <s v="None"/>
    <s v="Not Sensitive"/>
    <n v="2"/>
    <n v="1"/>
    <s v="High"/>
    <s v="Tablet"/>
    <s v="PayPal"/>
    <d v="2024-08-29T00:00:00"/>
    <b v="0"/>
    <x v="0"/>
    <s v="Wants-based"/>
    <s v="No Preference"/>
    <n v="4"/>
  </r>
  <r>
    <x v="702"/>
    <x v="702"/>
    <x v="11"/>
    <x v="1"/>
    <x v="1"/>
    <x v="1"/>
    <x v="1"/>
    <x v="0"/>
    <x v="0"/>
    <x v="684"/>
    <s v="Cluses"/>
    <s v="Cluses"/>
    <s v="Arts &amp; Crafts"/>
    <n v="78.900000000000006"/>
    <n v="3"/>
    <s v="In-Store"/>
    <x v="4"/>
    <n v="1"/>
    <n v="1"/>
    <s v="Low"/>
    <s v="Not Sensitive"/>
    <n v="0"/>
    <n v="1"/>
    <s v="Medium"/>
    <s v="Tablet"/>
    <s v="Debit Card"/>
    <d v="2024-09-07T00:00:00"/>
    <b v="0"/>
    <x v="1"/>
    <s v="Planned"/>
    <s v="Standard"/>
    <n v="10"/>
  </r>
  <r>
    <x v="703"/>
    <x v="703"/>
    <x v="3"/>
    <x v="1"/>
    <x v="1"/>
    <x v="1"/>
    <x v="2"/>
    <x v="1"/>
    <x v="1"/>
    <x v="685"/>
    <s v="Wrzsowice"/>
    <s v="Wrzؤ…sowice"/>
    <s v="Health Care"/>
    <n v="122.55"/>
    <n v="9"/>
    <s v="Mixed"/>
    <x v="2"/>
    <n v="4"/>
    <n v="0.3"/>
    <s v="Low"/>
    <s v="Not Sensitive"/>
    <n v="2"/>
    <n v="3"/>
    <s v="Medium"/>
    <s v="Desktop"/>
    <s v="Credit Card"/>
    <d v="2024-06-28T00:00:00"/>
    <b v="0"/>
    <x v="0"/>
    <s v="Impulsive"/>
    <s v="Express"/>
    <n v="4"/>
  </r>
  <r>
    <x v="704"/>
    <x v="704"/>
    <x v="8"/>
    <x v="2"/>
    <x v="4"/>
    <x v="1"/>
    <x v="3"/>
    <x v="0"/>
    <x v="0"/>
    <x v="686"/>
    <s v="Hengfeng"/>
    <s v="Hengfeng"/>
    <s v="Mobile Accessories"/>
    <n v="307.61"/>
    <n v="6"/>
    <s v="Mixed"/>
    <x v="3"/>
    <n v="1"/>
    <n v="0"/>
    <s v="Low"/>
    <s v="Somewhat Sensitive"/>
    <n v="0"/>
    <n v="9"/>
    <s v="Medium"/>
    <s v="Smartphone"/>
    <s v="PayPal"/>
    <d v="2024-09-12T00:00:00"/>
    <b v="1"/>
    <x v="1"/>
    <s v="Need-based"/>
    <s v="No Preference"/>
    <n v="10"/>
  </r>
  <r>
    <x v="705"/>
    <x v="705"/>
    <x v="30"/>
    <x v="0"/>
    <x v="0"/>
    <x v="1"/>
    <x v="3"/>
    <x v="0"/>
    <x v="0"/>
    <x v="687"/>
    <s v="Bor"/>
    <s v="Bor"/>
    <s v="Software &amp; Apps"/>
    <n v="152.33000000000001"/>
    <n v="2"/>
    <s v="In-Store"/>
    <x v="3"/>
    <n v="5"/>
    <n v="1"/>
    <s v="None"/>
    <s v="Not Sensitive"/>
    <n v="1"/>
    <n v="6"/>
    <s v="High"/>
    <s v="Smartphone"/>
    <s v="Debit Card"/>
    <d v="2024-01-19T00:00:00"/>
    <b v="0"/>
    <x v="1"/>
    <s v="Impulsive"/>
    <s v="No Preference"/>
    <n v="8"/>
  </r>
  <r>
    <x v="706"/>
    <x v="706"/>
    <x v="2"/>
    <x v="0"/>
    <x v="0"/>
    <x v="0"/>
    <x v="3"/>
    <x v="0"/>
    <x v="1"/>
    <x v="688"/>
    <s v="Nawu"/>
    <s v="Nawu"/>
    <s v="Mobile Accessories"/>
    <n v="465.07"/>
    <n v="8"/>
    <s v="Online"/>
    <x v="2"/>
    <n v="4"/>
    <n v="0"/>
    <s v="Medium"/>
    <s v="Not Sensitive"/>
    <n v="1"/>
    <n v="2"/>
    <s v="High"/>
    <s v="Desktop"/>
    <s v="Cash"/>
    <d v="2024-03-02T00:00:00"/>
    <b v="0"/>
    <x v="0"/>
    <s v="Wants-based"/>
    <s v="No Preference"/>
    <n v="8"/>
  </r>
  <r>
    <x v="707"/>
    <x v="707"/>
    <x v="11"/>
    <x v="0"/>
    <x v="0"/>
    <x v="1"/>
    <x v="1"/>
    <x v="2"/>
    <x v="0"/>
    <x v="689"/>
    <s v="Longotea"/>
    <s v="Longotea"/>
    <s v="Sports &amp; Outdoors"/>
    <n v="498.23"/>
    <n v="10"/>
    <s v="Online"/>
    <x v="0"/>
    <n v="2"/>
    <n v="0"/>
    <s v="None"/>
    <s v="Very Sensitive"/>
    <n v="0"/>
    <n v="7"/>
    <s v="Medium"/>
    <s v="Smartphone"/>
    <s v="Other"/>
    <d v="2024-01-08T00:00:00"/>
    <b v="1"/>
    <x v="0"/>
    <s v="Planned"/>
    <s v="No Preference"/>
    <n v="9"/>
  </r>
  <r>
    <x v="708"/>
    <x v="708"/>
    <x v="30"/>
    <x v="0"/>
    <x v="0"/>
    <x v="0"/>
    <x v="2"/>
    <x v="1"/>
    <x v="0"/>
    <x v="690"/>
    <s v="abl al Jabr"/>
    <s v="ل¸¨abؤ«l al Jabr"/>
    <s v="Luxury Goods"/>
    <n v="491.18"/>
    <n v="3"/>
    <s v="Mixed"/>
    <x v="4"/>
    <n v="4"/>
    <n v="1"/>
    <s v="High"/>
    <s v="Very Sensitive"/>
    <n v="0"/>
    <n v="6"/>
    <s v="None"/>
    <s v="Smartphone"/>
    <s v="Cash"/>
    <d v="2024-08-27T00:00:00"/>
    <b v="0"/>
    <x v="0"/>
    <s v="Impulsive"/>
    <s v="No Preference"/>
    <n v="14"/>
  </r>
  <r>
    <x v="709"/>
    <x v="709"/>
    <x v="27"/>
    <x v="1"/>
    <x v="1"/>
    <x v="0"/>
    <x v="3"/>
    <x v="0"/>
    <x v="0"/>
    <x v="691"/>
    <s v="Gueset"/>
    <s v="Gueset"/>
    <s v="Health Care"/>
    <n v="149.41999999999999"/>
    <n v="3"/>
    <s v="Mixed"/>
    <x v="3"/>
    <n v="1"/>
    <n v="2"/>
    <s v="Medium"/>
    <s v="Very Sensitive"/>
    <n v="0"/>
    <n v="6"/>
    <s v="None"/>
    <s v="Desktop"/>
    <s v="Cash"/>
    <d v="2024-01-03T00:00:00"/>
    <b v="1"/>
    <x v="0"/>
    <s v="Wants-based"/>
    <s v="Express"/>
    <n v="5"/>
  </r>
  <r>
    <x v="710"/>
    <x v="710"/>
    <x v="8"/>
    <x v="1"/>
    <x v="1"/>
    <x v="0"/>
    <x v="1"/>
    <x v="2"/>
    <x v="0"/>
    <x v="692"/>
    <s v="Lkak"/>
    <s v="Lؤ«kak"/>
    <s v="Furniture"/>
    <n v="82.13"/>
    <n v="9"/>
    <s v="Online"/>
    <x v="0"/>
    <n v="1"/>
    <n v="0"/>
    <s v="Medium"/>
    <s v="Somewhat Sensitive"/>
    <n v="2"/>
    <n v="6"/>
    <s v="High"/>
    <s v="Tablet"/>
    <s v="Debit Card"/>
    <d v="2024-04-09T00:00:00"/>
    <b v="1"/>
    <x v="1"/>
    <s v="Need-based"/>
    <s v="Express"/>
    <n v="6"/>
  </r>
  <r>
    <x v="711"/>
    <x v="711"/>
    <x v="1"/>
    <x v="1"/>
    <x v="1"/>
    <x v="0"/>
    <x v="3"/>
    <x v="0"/>
    <x v="1"/>
    <x v="693"/>
    <s v="Yuanguping"/>
    <s v="Yuanguping"/>
    <s v="Sports &amp; Outdoors"/>
    <n v="425.18"/>
    <n v="4"/>
    <s v="Mixed"/>
    <x v="2"/>
    <n v="1"/>
    <n v="0"/>
    <s v="Medium"/>
    <s v="Very Sensitive"/>
    <n v="1"/>
    <n v="8"/>
    <s v="Medium"/>
    <s v="Tablet"/>
    <s v="PayPal"/>
    <d v="2024-03-19T00:00:00"/>
    <b v="1"/>
    <x v="0"/>
    <s v="Wants-based"/>
    <s v="Standard"/>
    <n v="10"/>
  </r>
  <r>
    <x v="712"/>
    <x v="712"/>
    <x v="7"/>
    <x v="1"/>
    <x v="1"/>
    <x v="1"/>
    <x v="0"/>
    <x v="2"/>
    <x v="0"/>
    <x v="694"/>
    <s v="Coln"/>
    <s v="Colأ³n"/>
    <s v="Arts &amp; Crafts"/>
    <n v="176.12"/>
    <n v="8"/>
    <s v="Online"/>
    <x v="2"/>
    <n v="3"/>
    <n v="1.2"/>
    <s v="Medium"/>
    <s v="Somewhat Sensitive"/>
    <n v="1"/>
    <n v="10"/>
    <s v="Low"/>
    <s v="Desktop"/>
    <s v="Credit Card"/>
    <d v="2024-06-15T00:00:00"/>
    <b v="1"/>
    <x v="1"/>
    <s v="Impulsive"/>
    <s v="Standard"/>
    <n v="14"/>
  </r>
  <r>
    <x v="713"/>
    <x v="713"/>
    <x v="26"/>
    <x v="0"/>
    <x v="0"/>
    <x v="1"/>
    <x v="1"/>
    <x v="1"/>
    <x v="0"/>
    <x v="695"/>
    <s v="Lyon"/>
    <s v="Lyon"/>
    <s v="Jewelry &amp; Accessories"/>
    <n v="70.3"/>
    <n v="6"/>
    <s v="Online"/>
    <x v="1"/>
    <n v="5"/>
    <n v="0"/>
    <s v="None"/>
    <s v="Very Sensitive"/>
    <n v="1"/>
    <n v="8"/>
    <s v="Medium"/>
    <s v="Desktop"/>
    <s v="Cash"/>
    <d v="2024-03-03T00:00:00"/>
    <b v="1"/>
    <x v="1"/>
    <s v="Need-based"/>
    <s v="Standard"/>
    <n v="3"/>
  </r>
  <r>
    <x v="714"/>
    <x v="714"/>
    <x v="20"/>
    <x v="1"/>
    <x v="1"/>
    <x v="0"/>
    <x v="0"/>
    <x v="0"/>
    <x v="0"/>
    <x v="696"/>
    <s v="Chamical"/>
    <s v="Chamical"/>
    <s v="Luxury Goods"/>
    <n v="319.39"/>
    <n v="7"/>
    <s v="Mixed"/>
    <x v="4"/>
    <n v="5"/>
    <n v="0"/>
    <s v="None"/>
    <s v="Very Sensitive"/>
    <n v="1"/>
    <n v="10"/>
    <s v="High"/>
    <s v="Desktop"/>
    <s v="Credit Card"/>
    <d v="2024-11-17T00:00:00"/>
    <b v="0"/>
    <x v="1"/>
    <s v="Planned"/>
    <s v="Standard"/>
    <n v="3"/>
  </r>
  <r>
    <x v="715"/>
    <x v="715"/>
    <x v="9"/>
    <x v="0"/>
    <x v="0"/>
    <x v="1"/>
    <x v="2"/>
    <x v="1"/>
    <x v="1"/>
    <x v="697"/>
    <s v="gios Andras"/>
    <s v="أپgios Andrأ©as"/>
    <s v="Home Appliances"/>
    <n v="113.51"/>
    <n v="11"/>
    <s v="Mixed"/>
    <x v="4"/>
    <n v="1"/>
    <n v="1"/>
    <s v="High"/>
    <s v="Not Sensitive"/>
    <n v="2"/>
    <n v="2"/>
    <s v="Low"/>
    <s v="Desktop"/>
    <s v="Credit Card"/>
    <d v="2024-02-14T00:00:00"/>
    <b v="1"/>
    <x v="1"/>
    <s v="Planned"/>
    <s v="Express"/>
    <n v="8"/>
  </r>
  <r>
    <x v="716"/>
    <x v="716"/>
    <x v="13"/>
    <x v="0"/>
    <x v="0"/>
    <x v="1"/>
    <x v="1"/>
    <x v="0"/>
    <x v="0"/>
    <x v="698"/>
    <s v="Cibeusi"/>
    <s v="Cibeusi"/>
    <s v="Animal Feed"/>
    <n v="492.74"/>
    <n v="2"/>
    <s v="Mixed"/>
    <x v="3"/>
    <n v="5"/>
    <n v="2"/>
    <s v="Low"/>
    <s v="Very Sensitive"/>
    <n v="1"/>
    <n v="3"/>
    <s v="High"/>
    <s v="Tablet"/>
    <s v="Other"/>
    <d v="2024-02-29T00:00:00"/>
    <b v="1"/>
    <x v="0"/>
    <s v="Need-based"/>
    <s v="Express"/>
    <n v="13"/>
  </r>
  <r>
    <x v="717"/>
    <x v="717"/>
    <x v="4"/>
    <x v="1"/>
    <x v="1"/>
    <x v="0"/>
    <x v="3"/>
    <x v="2"/>
    <x v="0"/>
    <x v="699"/>
    <s v="Itsandzni"/>
    <s v="Itsandzأ©ni"/>
    <s v="Furniture"/>
    <n v="143.80000000000001"/>
    <n v="9"/>
    <s v="In-Store"/>
    <x v="2"/>
    <n v="2"/>
    <n v="2"/>
    <s v="Low"/>
    <s v="Somewhat Sensitive"/>
    <n v="0"/>
    <n v="7"/>
    <s v="None"/>
    <s v="Tablet"/>
    <s v="Debit Card"/>
    <d v="2024-02-22T00:00:00"/>
    <b v="1"/>
    <x v="0"/>
    <s v="Wants-based"/>
    <s v="No Preference"/>
    <n v="11"/>
  </r>
  <r>
    <x v="718"/>
    <x v="718"/>
    <x v="27"/>
    <x v="2"/>
    <x v="6"/>
    <x v="0"/>
    <x v="2"/>
    <x v="0"/>
    <x v="0"/>
    <x v="700"/>
    <s v="Kosh-Agach"/>
    <s v="Kosh-Agach"/>
    <s v="Arts &amp; Crafts"/>
    <n v="158.54"/>
    <n v="5"/>
    <s v="Online"/>
    <x v="2"/>
    <n v="1"/>
    <n v="1"/>
    <s v="Low"/>
    <s v="Not Sensitive"/>
    <n v="2"/>
    <n v="7"/>
    <s v="High"/>
    <s v="Smartphone"/>
    <s v="Debit Card"/>
    <d v="2024-03-31T00:00:00"/>
    <b v="0"/>
    <x v="0"/>
    <s v="Planned"/>
    <s v="Express"/>
    <n v="5"/>
  </r>
  <r>
    <x v="719"/>
    <x v="719"/>
    <x v="7"/>
    <x v="0"/>
    <x v="0"/>
    <x v="1"/>
    <x v="0"/>
    <x v="0"/>
    <x v="1"/>
    <x v="701"/>
    <s v="Kuafeu"/>
    <s v="Kuafeu"/>
    <s v="Furniture"/>
    <n v="213.39"/>
    <n v="6"/>
    <s v="Online"/>
    <x v="1"/>
    <n v="4"/>
    <n v="2"/>
    <s v="Medium"/>
    <s v="Not Sensitive"/>
    <n v="2"/>
    <n v="5"/>
    <s v="Medium"/>
    <s v="Desktop"/>
    <s v="Cash"/>
    <d v="2024-10-27T00:00:00"/>
    <b v="0"/>
    <x v="1"/>
    <s v="Planned"/>
    <s v="Standard"/>
    <n v="4"/>
  </r>
  <r>
    <x v="720"/>
    <x v="720"/>
    <x v="16"/>
    <x v="1"/>
    <x v="1"/>
    <x v="0"/>
    <x v="3"/>
    <x v="0"/>
    <x v="1"/>
    <x v="702"/>
    <s v="Xincheng"/>
    <s v="Xincheng"/>
    <s v="Health Supplements"/>
    <n v="127.18"/>
    <n v="2"/>
    <s v="In-Store"/>
    <x v="0"/>
    <n v="5"/>
    <n v="1"/>
    <s v="Medium"/>
    <s v="Somewhat Sensitive"/>
    <n v="0"/>
    <n v="2"/>
    <s v="Medium"/>
    <s v="Desktop"/>
    <s v="Debit Card"/>
    <d v="2024-12-21T00:00:00"/>
    <b v="0"/>
    <x v="0"/>
    <s v="Planned"/>
    <s v="Standard"/>
    <n v="4"/>
  </r>
  <r>
    <x v="721"/>
    <x v="721"/>
    <x v="23"/>
    <x v="1"/>
    <x v="1"/>
    <x v="0"/>
    <x v="3"/>
    <x v="2"/>
    <x v="1"/>
    <x v="703"/>
    <s v="Minneapolis"/>
    <s v="Minneapolis"/>
    <s v="Luxury Goods"/>
    <n v="476.63"/>
    <n v="9"/>
    <s v="In-Store"/>
    <x v="1"/>
    <n v="5"/>
    <n v="2"/>
    <s v="Medium"/>
    <s v="Not Sensitive"/>
    <n v="2"/>
    <n v="2"/>
    <s v="None"/>
    <s v="Desktop"/>
    <s v="Debit Card"/>
    <d v="2024-11-19T00:00:00"/>
    <b v="1"/>
    <x v="0"/>
    <s v="Impulsive"/>
    <s v="No Preference"/>
    <n v="1"/>
  </r>
  <r>
    <x v="722"/>
    <x v="722"/>
    <x v="16"/>
    <x v="0"/>
    <x v="0"/>
    <x v="1"/>
    <x v="1"/>
    <x v="0"/>
    <x v="0"/>
    <x v="704"/>
    <s v="Pfki"/>
    <s v="Pأ©fki"/>
    <s v="Animal Feed"/>
    <n v="56.02"/>
    <n v="3"/>
    <s v="Online"/>
    <x v="0"/>
    <n v="3"/>
    <n v="1"/>
    <s v="None"/>
    <s v="Very Sensitive"/>
    <n v="1"/>
    <n v="6"/>
    <s v="High"/>
    <s v="Desktop"/>
    <s v="PayPal"/>
    <d v="2024-09-13T00:00:00"/>
    <b v="0"/>
    <x v="1"/>
    <s v="Need-based"/>
    <s v="Standard"/>
    <n v="12"/>
  </r>
  <r>
    <x v="723"/>
    <x v="723"/>
    <x v="15"/>
    <x v="0"/>
    <x v="0"/>
    <x v="1"/>
    <x v="2"/>
    <x v="0"/>
    <x v="0"/>
    <x v="705"/>
    <s v="awall"/>
    <s v="ل¸¨awallؤ«"/>
    <s v="Electronics"/>
    <n v="398.97"/>
    <n v="3"/>
    <s v="Online"/>
    <x v="2"/>
    <n v="3"/>
    <n v="1"/>
    <s v="High"/>
    <s v="Not Sensitive"/>
    <n v="2"/>
    <n v="3"/>
    <s v="High"/>
    <s v="Tablet"/>
    <s v="Debit Card"/>
    <d v="2024-09-26T00:00:00"/>
    <b v="0"/>
    <x v="0"/>
    <s v="Impulsive"/>
    <s v="No Preference"/>
    <n v="9"/>
  </r>
  <r>
    <x v="724"/>
    <x v="724"/>
    <x v="23"/>
    <x v="0"/>
    <x v="0"/>
    <x v="0"/>
    <x v="3"/>
    <x v="1"/>
    <x v="0"/>
    <x v="400"/>
    <s v="So Mateus do Maranho"/>
    <s v="Sأ£o Mateus do Maranhأ£o"/>
    <s v="Groceries"/>
    <n v="53.45"/>
    <n v="6"/>
    <s v="Mixed"/>
    <x v="2"/>
    <n v="3"/>
    <n v="1"/>
    <s v="High"/>
    <s v="Somewhat Sensitive"/>
    <n v="1"/>
    <n v="9"/>
    <s v="High"/>
    <s v="Tablet"/>
    <s v="Debit Card"/>
    <d v="2024-07-14T00:00:00"/>
    <b v="0"/>
    <x v="0"/>
    <s v="Need-based"/>
    <s v="Standard"/>
    <n v="11"/>
  </r>
  <r>
    <x v="725"/>
    <x v="725"/>
    <x v="6"/>
    <x v="2"/>
    <x v="6"/>
    <x v="0"/>
    <x v="0"/>
    <x v="0"/>
    <x v="1"/>
    <x v="706"/>
    <s v="Imielin"/>
    <s v="Imielin"/>
    <s v="Groceries"/>
    <n v="61.19"/>
    <n v="2"/>
    <s v="Mixed"/>
    <x v="4"/>
    <n v="5"/>
    <n v="1"/>
    <s v="None"/>
    <s v="Not Sensitive"/>
    <n v="2"/>
    <n v="6"/>
    <s v="High"/>
    <s v="Desktop"/>
    <s v="PayPal"/>
    <d v="2024-08-12T00:00:00"/>
    <b v="1"/>
    <x v="1"/>
    <s v="Wants-based"/>
    <s v="No Preference"/>
    <n v="3"/>
  </r>
  <r>
    <x v="726"/>
    <x v="726"/>
    <x v="17"/>
    <x v="0"/>
    <x v="0"/>
    <x v="0"/>
    <x v="0"/>
    <x v="1"/>
    <x v="0"/>
    <x v="707"/>
    <s v="Przeworsk"/>
    <s v="Przeworsk"/>
    <s v="Luxury Goods"/>
    <n v="471.31"/>
    <n v="4"/>
    <s v="Mixed"/>
    <x v="3"/>
    <n v="5"/>
    <n v="2"/>
    <s v="High"/>
    <s v="Very Sensitive"/>
    <n v="0"/>
    <n v="8"/>
    <s v="None"/>
    <s v="Smartphone"/>
    <s v="Other"/>
    <d v="2024-12-17T00:00:00"/>
    <b v="0"/>
    <x v="1"/>
    <s v="Impulsive"/>
    <s v="Express"/>
    <n v="7"/>
  </r>
  <r>
    <x v="727"/>
    <x v="727"/>
    <x v="1"/>
    <x v="0"/>
    <x v="0"/>
    <x v="1"/>
    <x v="3"/>
    <x v="1"/>
    <x v="1"/>
    <x v="708"/>
    <s v="Amsterdam Nieuw West"/>
    <s v="Amsterdam Nieuw West"/>
    <s v="Health Care"/>
    <n v="179.19"/>
    <n v="10"/>
    <s v="In-Store"/>
    <x v="1"/>
    <n v="1"/>
    <n v="1"/>
    <s v="Low"/>
    <s v="Not Sensitive"/>
    <n v="2"/>
    <n v="7"/>
    <s v="None"/>
    <s v="Tablet"/>
    <s v="PayPal"/>
    <d v="2024-03-21T00:00:00"/>
    <b v="0"/>
    <x v="0"/>
    <s v="Impulsive"/>
    <s v="Express"/>
    <n v="12"/>
  </r>
  <r>
    <x v="728"/>
    <x v="728"/>
    <x v="20"/>
    <x v="0"/>
    <x v="0"/>
    <x v="1"/>
    <x v="3"/>
    <x v="1"/>
    <x v="0"/>
    <x v="709"/>
    <s v="Klishkivtsi"/>
    <s v="Klishkivtsi"/>
    <s v="Food &amp; Beverages"/>
    <n v="294.61"/>
    <n v="6"/>
    <s v="In-Store"/>
    <x v="2"/>
    <n v="1"/>
    <n v="0"/>
    <s v="None"/>
    <s v="Very Sensitive"/>
    <n v="0"/>
    <n v="2"/>
    <s v="None"/>
    <s v="Desktop"/>
    <s v="PayPal"/>
    <d v="2024-10-03T00:00:00"/>
    <b v="0"/>
    <x v="1"/>
    <s v="Wants-based"/>
    <s v="Express"/>
    <n v="4"/>
  </r>
  <r>
    <x v="729"/>
    <x v="729"/>
    <x v="22"/>
    <x v="2"/>
    <x v="4"/>
    <x v="1"/>
    <x v="2"/>
    <x v="0"/>
    <x v="1"/>
    <x v="710"/>
    <s v="Borova"/>
    <s v="Borova"/>
    <s v="Health Care"/>
    <n v="375.45"/>
    <n v="6"/>
    <s v="Online"/>
    <x v="1"/>
    <n v="4"/>
    <n v="0"/>
    <s v="High"/>
    <s v="Not Sensitive"/>
    <n v="1"/>
    <n v="8"/>
    <s v="Medium"/>
    <s v="Smartphone"/>
    <s v="Other"/>
    <d v="2024-04-14T00:00:00"/>
    <b v="0"/>
    <x v="1"/>
    <s v="Impulsive"/>
    <s v="Express"/>
    <n v="1"/>
  </r>
  <r>
    <x v="730"/>
    <x v="730"/>
    <x v="6"/>
    <x v="1"/>
    <x v="1"/>
    <x v="0"/>
    <x v="2"/>
    <x v="2"/>
    <x v="1"/>
    <x v="711"/>
    <s v="Vendargues"/>
    <s v="Vendargues"/>
    <s v="Electronics"/>
    <n v="83.5"/>
    <n v="12"/>
    <s v="In-Store"/>
    <x v="2"/>
    <n v="4"/>
    <n v="0"/>
    <s v="None"/>
    <s v="Not Sensitive"/>
    <n v="2"/>
    <n v="7"/>
    <s v="Low"/>
    <s v="Smartphone"/>
    <s v="Cash"/>
    <d v="2024-01-25T00:00:00"/>
    <b v="1"/>
    <x v="1"/>
    <s v="Need-based"/>
    <s v="Standard"/>
    <n v="10"/>
  </r>
  <r>
    <x v="731"/>
    <x v="731"/>
    <x v="10"/>
    <x v="1"/>
    <x v="1"/>
    <x v="1"/>
    <x v="0"/>
    <x v="1"/>
    <x v="0"/>
    <x v="712"/>
    <s v="Zilang"/>
    <s v="Zilang"/>
    <s v="Home Appliances"/>
    <n v="109.88"/>
    <n v="7"/>
    <s v="Online"/>
    <x v="4"/>
    <n v="4"/>
    <n v="1"/>
    <s v="Low"/>
    <s v="Very Sensitive"/>
    <n v="1"/>
    <n v="3"/>
    <s v="Medium"/>
    <s v="Smartphone"/>
    <s v="Credit Card"/>
    <d v="2024-01-05T00:00:00"/>
    <b v="0"/>
    <x v="1"/>
    <s v="Impulsive"/>
    <s v="Standard"/>
    <n v="11"/>
  </r>
  <r>
    <x v="732"/>
    <x v="732"/>
    <x v="6"/>
    <x v="0"/>
    <x v="0"/>
    <x v="1"/>
    <x v="0"/>
    <x v="1"/>
    <x v="1"/>
    <x v="713"/>
    <s v="Camalote"/>
    <s v="Camalote"/>
    <s v="Office Supplies"/>
    <n v="182.54"/>
    <n v="11"/>
    <s v="Mixed"/>
    <x v="0"/>
    <n v="5"/>
    <n v="1"/>
    <s v="Medium"/>
    <s v="Somewhat Sensitive"/>
    <n v="1"/>
    <n v="1"/>
    <s v="High"/>
    <s v="Tablet"/>
    <s v="Cash"/>
    <d v="2024-08-21T00:00:00"/>
    <b v="0"/>
    <x v="0"/>
    <s v="Need-based"/>
    <s v="Standard"/>
    <n v="13"/>
  </r>
  <r>
    <x v="733"/>
    <x v="733"/>
    <x v="25"/>
    <x v="0"/>
    <x v="0"/>
    <x v="1"/>
    <x v="2"/>
    <x v="0"/>
    <x v="1"/>
    <x v="714"/>
    <s v="Julayjilah"/>
    <s v="Julayjilah"/>
    <s v="Furniture"/>
    <n v="465.48"/>
    <n v="3"/>
    <s v="Mixed"/>
    <x v="1"/>
    <n v="3"/>
    <n v="2"/>
    <s v="Medium"/>
    <s v="Very Sensitive"/>
    <n v="1"/>
    <n v="8"/>
    <s v="Medium"/>
    <s v="Tablet"/>
    <s v="Cash"/>
    <d v="2024-06-21T00:00:00"/>
    <b v="0"/>
    <x v="0"/>
    <s v="Wants-based"/>
    <s v="No Preference"/>
    <n v="1"/>
  </r>
  <r>
    <x v="734"/>
    <x v="734"/>
    <x v="16"/>
    <x v="0"/>
    <x v="0"/>
    <x v="0"/>
    <x v="0"/>
    <x v="1"/>
    <x v="0"/>
    <x v="715"/>
    <s v="Badajoz"/>
    <s v="Badajoz"/>
    <s v="Health Care"/>
    <n v="224.52"/>
    <n v="8"/>
    <s v="Mixed"/>
    <x v="1"/>
    <n v="3"/>
    <n v="2"/>
    <s v="Low"/>
    <s v="Not Sensitive"/>
    <n v="1"/>
    <n v="5"/>
    <s v="High"/>
    <s v="Desktop"/>
    <s v="Credit Card"/>
    <d v="2024-11-29T00:00:00"/>
    <b v="1"/>
    <x v="0"/>
    <s v="Impulsive"/>
    <s v="Express"/>
    <n v="1"/>
  </r>
  <r>
    <x v="735"/>
    <x v="735"/>
    <x v="6"/>
    <x v="1"/>
    <x v="1"/>
    <x v="1"/>
    <x v="2"/>
    <x v="2"/>
    <x v="0"/>
    <x v="716"/>
    <s v="Fort Wayne"/>
    <s v="Fort Wayne"/>
    <s v="Beauty &amp; Personal Care"/>
    <n v="281.37"/>
    <n v="12"/>
    <s v="Online"/>
    <x v="2"/>
    <n v="3"/>
    <n v="2"/>
    <s v="Low"/>
    <s v="Very Sensitive"/>
    <n v="0"/>
    <n v="2"/>
    <s v="Low"/>
    <s v="Smartphone"/>
    <s v="Debit Card"/>
    <d v="2024-01-02T00:00:00"/>
    <b v="0"/>
    <x v="1"/>
    <s v="Impulsive"/>
    <s v="Express"/>
    <n v="14"/>
  </r>
  <r>
    <x v="736"/>
    <x v="736"/>
    <x v="0"/>
    <x v="0"/>
    <x v="0"/>
    <x v="0"/>
    <x v="0"/>
    <x v="0"/>
    <x v="0"/>
    <x v="717"/>
    <s v="Galn"/>
    <s v="Galأ،n"/>
    <s v="Office Supplies"/>
    <n v="125.68"/>
    <n v="2"/>
    <s v="Online"/>
    <x v="3"/>
    <n v="4"/>
    <n v="1"/>
    <s v="None"/>
    <s v="Not Sensitive"/>
    <n v="1"/>
    <n v="8"/>
    <s v="Medium"/>
    <s v="Smartphone"/>
    <s v="Debit Card"/>
    <d v="2024-06-21T00:00:00"/>
    <b v="1"/>
    <x v="0"/>
    <s v="Need-based"/>
    <s v="Express"/>
    <n v="9"/>
  </r>
  <r>
    <x v="737"/>
    <x v="737"/>
    <x v="9"/>
    <x v="0"/>
    <x v="0"/>
    <x v="1"/>
    <x v="1"/>
    <x v="1"/>
    <x v="1"/>
    <x v="718"/>
    <s v="Saint Joseph"/>
    <s v="Saint Joseph"/>
    <s v="Beauty &amp; Personal Care"/>
    <n v="178.21"/>
    <n v="7"/>
    <s v="In-Store"/>
    <x v="3"/>
    <n v="5"/>
    <n v="2"/>
    <s v="Low"/>
    <s v="Somewhat Sensitive"/>
    <n v="2"/>
    <n v="8"/>
    <s v="None"/>
    <s v="Desktop"/>
    <s v="PayPal"/>
    <d v="2024-05-24T00:00:00"/>
    <b v="0"/>
    <x v="0"/>
    <s v="Planned"/>
    <s v="No Preference"/>
    <n v="9"/>
  </r>
  <r>
    <x v="738"/>
    <x v="738"/>
    <x v="23"/>
    <x v="1"/>
    <x v="1"/>
    <x v="1"/>
    <x v="3"/>
    <x v="0"/>
    <x v="0"/>
    <x v="719"/>
    <s v="Hospitalet De Llobregatl"/>
    <s v="Hospitalet De Llobregat, L'"/>
    <s v="Health Care"/>
    <n v="483.23"/>
    <n v="7"/>
    <s v="Online"/>
    <x v="2"/>
    <n v="4"/>
    <n v="2"/>
    <s v="Medium"/>
    <s v="Somewhat Sensitive"/>
    <n v="0"/>
    <n v="5"/>
    <s v="High"/>
    <s v="Smartphone"/>
    <s v="PayPal"/>
    <d v="2024-12-19T00:00:00"/>
    <b v="1"/>
    <x v="0"/>
    <s v="Impulsive"/>
    <s v="Express"/>
    <n v="9"/>
  </r>
  <r>
    <x v="739"/>
    <x v="739"/>
    <x v="27"/>
    <x v="1"/>
    <x v="1"/>
    <x v="0"/>
    <x v="0"/>
    <x v="2"/>
    <x v="1"/>
    <x v="720"/>
    <s v="Palma De Mallorca"/>
    <s v="Palma De Mallorca"/>
    <s v="Home Appliances"/>
    <n v="415.3"/>
    <n v="11"/>
    <s v="In-Store"/>
    <x v="4"/>
    <n v="2"/>
    <n v="1"/>
    <s v="Low"/>
    <s v="Very Sensitive"/>
    <n v="1"/>
    <n v="9"/>
    <s v="None"/>
    <s v="Tablet"/>
    <s v="PayPal"/>
    <d v="2024-09-25T00:00:00"/>
    <b v="0"/>
    <x v="1"/>
    <s v="Impulsive"/>
    <s v="Standard"/>
    <n v="2"/>
  </r>
  <r>
    <x v="740"/>
    <x v="740"/>
    <x v="15"/>
    <x v="1"/>
    <x v="1"/>
    <x v="1"/>
    <x v="0"/>
    <x v="2"/>
    <x v="0"/>
    <x v="721"/>
    <s v="Pho Duc"/>
    <s v="Pho Duc"/>
    <s v="Electronics"/>
    <n v="85.52"/>
    <n v="7"/>
    <s v="Mixed"/>
    <x v="3"/>
    <n v="5"/>
    <n v="0"/>
    <s v="Medium"/>
    <s v="Somewhat Sensitive"/>
    <n v="1"/>
    <n v="3"/>
    <s v="Low"/>
    <s v="Smartphone"/>
    <s v="Other"/>
    <d v="2024-10-31T00:00:00"/>
    <b v="0"/>
    <x v="1"/>
    <s v="Planned"/>
    <s v="No Preference"/>
    <n v="7"/>
  </r>
  <r>
    <x v="741"/>
    <x v="741"/>
    <x v="32"/>
    <x v="0"/>
    <x v="0"/>
    <x v="0"/>
    <x v="2"/>
    <x v="1"/>
    <x v="1"/>
    <x v="722"/>
    <s v="eba"/>
    <s v="إپeba"/>
    <s v="Packages)"/>
    <n v="422.31"/>
    <n v="2"/>
    <s v="In-Store"/>
    <x v="1"/>
    <n v="4"/>
    <n v="1"/>
    <s v="Medium"/>
    <s v="Very Sensitive"/>
    <n v="0"/>
    <n v="6"/>
    <s v="None"/>
    <s v="Smartphone"/>
    <s v="Other"/>
    <d v="2024-08-09T00:00:00"/>
    <b v="1"/>
    <x v="1"/>
    <s v="Impulsive"/>
    <s v="No Preference"/>
    <n v="3"/>
  </r>
  <r>
    <x v="742"/>
    <x v="742"/>
    <x v="18"/>
    <x v="2"/>
    <x v="2"/>
    <x v="1"/>
    <x v="0"/>
    <x v="1"/>
    <x v="1"/>
    <x v="723"/>
    <s v="Yaguaraparo"/>
    <s v="Yaguaraparo"/>
    <s v="Arts &amp; Crafts"/>
    <n v="70.42"/>
    <n v="11"/>
    <s v="Online"/>
    <x v="4"/>
    <n v="5"/>
    <n v="1"/>
    <s v="High"/>
    <s v="Not Sensitive"/>
    <n v="2"/>
    <n v="7"/>
    <s v="Low"/>
    <s v="Desktop"/>
    <s v="Other"/>
    <d v="2024-10-01T00:00:00"/>
    <b v="0"/>
    <x v="1"/>
    <s v="Need-based"/>
    <s v="Express"/>
    <n v="14"/>
  </r>
  <r>
    <x v="743"/>
    <x v="743"/>
    <x v="25"/>
    <x v="0"/>
    <x v="0"/>
    <x v="0"/>
    <x v="2"/>
    <x v="2"/>
    <x v="0"/>
    <x v="724"/>
    <s v="Novoorsk"/>
    <s v="Novoorsk"/>
    <s v="Toys &amp; Games"/>
    <n v="437.4"/>
    <n v="6"/>
    <s v="Mixed"/>
    <x v="3"/>
    <n v="4"/>
    <n v="1"/>
    <s v="High"/>
    <s v="Somewhat Sensitive"/>
    <n v="2"/>
    <n v="5"/>
    <s v="Low"/>
    <s v="Tablet"/>
    <s v="Credit Card"/>
    <d v="2024-06-16T00:00:00"/>
    <b v="0"/>
    <x v="0"/>
    <s v="Planned"/>
    <s v="Express"/>
    <n v="1"/>
  </r>
  <r>
    <x v="744"/>
    <x v="744"/>
    <x v="22"/>
    <x v="1"/>
    <x v="1"/>
    <x v="0"/>
    <x v="3"/>
    <x v="0"/>
    <x v="0"/>
    <x v="725"/>
    <s v="Wuyang"/>
    <s v="Wuyang"/>
    <s v="Jewelry &amp; Accessories"/>
    <n v="207.11"/>
    <n v="4"/>
    <s v="Mixed"/>
    <x v="3"/>
    <n v="4"/>
    <n v="2"/>
    <s v="High"/>
    <s v="Not Sensitive"/>
    <n v="0"/>
    <n v="1"/>
    <s v="Low"/>
    <s v="Tablet"/>
    <s v="Other"/>
    <d v="2024-03-28T00:00:00"/>
    <b v="1"/>
    <x v="0"/>
    <s v="Need-based"/>
    <s v="No Preference"/>
    <n v="2"/>
  </r>
  <r>
    <x v="745"/>
    <x v="745"/>
    <x v="17"/>
    <x v="0"/>
    <x v="0"/>
    <x v="1"/>
    <x v="2"/>
    <x v="0"/>
    <x v="0"/>
    <x v="726"/>
    <s v="Pelasgأa"/>
    <s v="Pelasgأ­a"/>
    <s v="Animal Feed"/>
    <n v="378.87"/>
    <n v="2"/>
    <s v="Online"/>
    <x v="0"/>
    <n v="2"/>
    <n v="2"/>
    <s v="None"/>
    <s v="Very Sensitive"/>
    <n v="2"/>
    <n v="2"/>
    <s v="Medium"/>
    <s v="Desktop"/>
    <s v="Debit Card"/>
    <d v="2024-06-16T00:00:00"/>
    <b v="1"/>
    <x v="0"/>
    <s v="Planned"/>
    <s v="No Preference"/>
    <n v="9"/>
  </r>
  <r>
    <x v="746"/>
    <x v="746"/>
    <x v="12"/>
    <x v="0"/>
    <x v="0"/>
    <x v="1"/>
    <x v="3"/>
    <x v="1"/>
    <x v="1"/>
    <x v="727"/>
    <s v="Phc Th"/>
    <s v="Phأ؛c Thل»چ"/>
    <s v="Baby Products"/>
    <n v="349"/>
    <n v="10"/>
    <s v="Mixed"/>
    <x v="1"/>
    <n v="5"/>
    <n v="1"/>
    <s v="Low"/>
    <s v="Not Sensitive"/>
    <n v="1"/>
    <n v="5"/>
    <s v="Low"/>
    <s v="Desktop"/>
    <s v="PayPal"/>
    <d v="2024-01-15T00:00:00"/>
    <b v="0"/>
    <x v="1"/>
    <s v="Planned"/>
    <s v="No Preference"/>
    <n v="10"/>
  </r>
  <r>
    <x v="747"/>
    <x v="747"/>
    <x v="9"/>
    <x v="1"/>
    <x v="1"/>
    <x v="0"/>
    <x v="0"/>
    <x v="0"/>
    <x v="0"/>
    <x v="728"/>
    <s v="Vsevolozhsk"/>
    <s v="Vsevolozhsk"/>
    <s v="Hotels"/>
    <n v="330.27"/>
    <n v="3"/>
    <s v="In-Store"/>
    <x v="1"/>
    <n v="2"/>
    <n v="1"/>
    <s v="High"/>
    <s v="Not Sensitive"/>
    <n v="1"/>
    <n v="9"/>
    <s v="High"/>
    <s v="Smartphone"/>
    <s v="Other"/>
    <d v="2024-02-10T00:00:00"/>
    <b v="1"/>
    <x v="0"/>
    <s v="Impulsive"/>
    <s v="No Preference"/>
    <n v="9"/>
  </r>
  <r>
    <x v="748"/>
    <x v="748"/>
    <x v="21"/>
    <x v="1"/>
    <x v="1"/>
    <x v="0"/>
    <x v="0"/>
    <x v="2"/>
    <x v="0"/>
    <x v="729"/>
    <s v="Kara Suu"/>
    <s v="Kara Suu"/>
    <s v="Health Supplements"/>
    <n v="410.29"/>
    <n v="10"/>
    <s v="Online"/>
    <x v="2"/>
    <n v="4"/>
    <n v="1"/>
    <s v="Low"/>
    <s v="Not Sensitive"/>
    <n v="2"/>
    <n v="4"/>
    <s v="High"/>
    <s v="Smartphone"/>
    <s v="Credit Card"/>
    <d v="2024-09-02T00:00:00"/>
    <b v="1"/>
    <x v="0"/>
    <s v="Planned"/>
    <s v="Express"/>
    <n v="1"/>
  </r>
  <r>
    <x v="749"/>
    <x v="749"/>
    <x v="2"/>
    <x v="0"/>
    <x v="0"/>
    <x v="1"/>
    <x v="3"/>
    <x v="2"/>
    <x v="0"/>
    <x v="730"/>
    <s v="Beigucheng"/>
    <s v="Beigucheng"/>
    <s v="Hotels"/>
    <n v="400.86"/>
    <n v="7"/>
    <s v="Online"/>
    <x v="1"/>
    <n v="3"/>
    <n v="1"/>
    <s v="High"/>
    <s v="Very Sensitive"/>
    <n v="1"/>
    <n v="7"/>
    <s v="Low"/>
    <s v="Smartphone"/>
    <s v="Credit Card"/>
    <d v="2024-09-12T00:00:00"/>
    <b v="1"/>
    <x v="0"/>
    <s v="Planned"/>
    <s v="No Preference"/>
    <n v="5"/>
  </r>
  <r>
    <x v="750"/>
    <x v="750"/>
    <x v="23"/>
    <x v="0"/>
    <x v="0"/>
    <x v="1"/>
    <x v="0"/>
    <x v="2"/>
    <x v="0"/>
    <x v="731"/>
    <s v="Cerro"/>
    <s v="Cerro"/>
    <s v="Beauty &amp; Personal Care"/>
    <n v="225.12"/>
    <n v="11"/>
    <s v="In-Store"/>
    <x v="1"/>
    <n v="2"/>
    <n v="1"/>
    <s v="Medium"/>
    <s v="Somewhat Sensitive"/>
    <n v="0"/>
    <n v="1"/>
    <s v="None"/>
    <s v="Desktop"/>
    <s v="Cash"/>
    <d v="2024-08-31T00:00:00"/>
    <b v="1"/>
    <x v="0"/>
    <s v="Planned"/>
    <s v="Express"/>
    <n v="6"/>
  </r>
  <r>
    <x v="751"/>
    <x v="751"/>
    <x v="15"/>
    <x v="0"/>
    <x v="0"/>
    <x v="1"/>
    <x v="2"/>
    <x v="2"/>
    <x v="1"/>
    <x v="732"/>
    <s v="Yamaga"/>
    <s v="Yamaga"/>
    <s v="Beauty &amp; Personal Care"/>
    <n v="273.48"/>
    <n v="12"/>
    <s v="Online"/>
    <x v="0"/>
    <n v="3"/>
    <n v="2"/>
    <s v="Low"/>
    <s v="Very Sensitive"/>
    <n v="0"/>
    <n v="5"/>
    <s v="Medium"/>
    <s v="Smartphone"/>
    <s v="Other"/>
    <d v="2024-01-22T00:00:00"/>
    <b v="1"/>
    <x v="0"/>
    <s v="Wants-based"/>
    <s v="Express"/>
    <n v="5"/>
  </r>
  <r>
    <x v="752"/>
    <x v="752"/>
    <x v="24"/>
    <x v="2"/>
    <x v="2"/>
    <x v="1"/>
    <x v="1"/>
    <x v="2"/>
    <x v="0"/>
    <x v="733"/>
    <s v="Sacramento"/>
    <s v="Sacramento"/>
    <s v="Furniture"/>
    <n v="363.84"/>
    <n v="11"/>
    <s v="Online"/>
    <x v="1"/>
    <n v="2"/>
    <n v="1"/>
    <s v="Low"/>
    <s v="Not Sensitive"/>
    <n v="0"/>
    <n v="3"/>
    <s v="Medium"/>
    <s v="Desktop"/>
    <s v="Cash"/>
    <d v="2024-08-30T00:00:00"/>
    <b v="1"/>
    <x v="0"/>
    <s v="Impulsive"/>
    <s v="Express"/>
    <n v="5"/>
  </r>
  <r>
    <x v="753"/>
    <x v="753"/>
    <x v="2"/>
    <x v="0"/>
    <x v="0"/>
    <x v="1"/>
    <x v="1"/>
    <x v="0"/>
    <x v="0"/>
    <x v="734"/>
    <s v="Foso"/>
    <s v="Foso"/>
    <s v="Packages)"/>
    <n v="302.60000000000002"/>
    <n v="9"/>
    <s v="Online"/>
    <x v="3"/>
    <n v="4"/>
    <n v="2"/>
    <s v="Medium"/>
    <s v="Very Sensitive"/>
    <n v="2"/>
    <n v="10"/>
    <s v="None"/>
    <s v="Desktop"/>
    <s v="Debit Card"/>
    <d v="2024-07-23T00:00:00"/>
    <b v="0"/>
    <x v="1"/>
    <s v="Impulsive"/>
    <s v="Standard"/>
    <n v="2"/>
  </r>
  <r>
    <x v="754"/>
    <x v="754"/>
    <x v="22"/>
    <x v="1"/>
    <x v="1"/>
    <x v="1"/>
    <x v="3"/>
    <x v="1"/>
    <x v="1"/>
    <x v="735"/>
    <s v="Nowe Brzesko"/>
    <s v="Nowe Brzesko"/>
    <s v="Animal Feed"/>
    <n v="317.08999999999997"/>
    <n v="6"/>
    <s v="Online"/>
    <x v="3"/>
    <n v="1"/>
    <n v="1"/>
    <s v="High"/>
    <s v="Not Sensitive"/>
    <n v="2"/>
    <n v="2"/>
    <s v="High"/>
    <s v="Desktop"/>
    <s v="Other"/>
    <d v="2024-04-11T00:00:00"/>
    <b v="1"/>
    <x v="0"/>
    <s v="Impulsive"/>
    <s v="Standard"/>
    <n v="4"/>
  </r>
  <r>
    <x v="755"/>
    <x v="755"/>
    <x v="9"/>
    <x v="0"/>
    <x v="0"/>
    <x v="1"/>
    <x v="0"/>
    <x v="1"/>
    <x v="1"/>
    <x v="736"/>
    <s v="Konrak"/>
    <s v="Konؤپrak"/>
    <s v="Beauty &amp; Personal Care"/>
    <n v="193.32"/>
    <n v="9"/>
    <s v="Mixed"/>
    <x v="4"/>
    <n v="3"/>
    <n v="0"/>
    <s v="None"/>
    <s v="Very Sensitive"/>
    <n v="0"/>
    <n v="8"/>
    <s v="High"/>
    <s v="Tablet"/>
    <s v="PayPal"/>
    <d v="2024-07-11T00:00:00"/>
    <b v="0"/>
    <x v="1"/>
    <s v="Wants-based"/>
    <s v="Express"/>
    <n v="6"/>
  </r>
  <r>
    <x v="756"/>
    <x v="756"/>
    <x v="10"/>
    <x v="1"/>
    <x v="1"/>
    <x v="1"/>
    <x v="2"/>
    <x v="1"/>
    <x v="1"/>
    <x v="737"/>
    <s v="Qingshandi"/>
    <s v="Qingshandi"/>
    <s v="Software &amp; Apps"/>
    <n v="282.24"/>
    <n v="6"/>
    <s v="Online"/>
    <x v="2"/>
    <n v="3"/>
    <n v="2"/>
    <s v="None"/>
    <s v="Not Sensitive"/>
    <n v="1"/>
    <n v="7"/>
    <s v="Medium"/>
    <s v="Desktop"/>
    <s v="Credit Card"/>
    <d v="2024-09-16T00:00:00"/>
    <b v="1"/>
    <x v="1"/>
    <s v="Need-based"/>
    <s v="No Preference"/>
    <n v="1"/>
  </r>
  <r>
    <x v="757"/>
    <x v="757"/>
    <x v="3"/>
    <x v="0"/>
    <x v="0"/>
    <x v="1"/>
    <x v="3"/>
    <x v="2"/>
    <x v="0"/>
    <x v="738"/>
    <s v="Mbala"/>
    <s v="Mbala"/>
    <s v="Hotels"/>
    <n v="154.19"/>
    <n v="6"/>
    <s v="Online"/>
    <x v="0"/>
    <n v="4"/>
    <n v="1"/>
    <s v="Medium"/>
    <s v="Very Sensitive"/>
    <n v="2"/>
    <n v="1"/>
    <s v="None"/>
    <s v="Tablet"/>
    <s v="PayPal"/>
    <d v="2024-09-22T00:00:00"/>
    <b v="1"/>
    <x v="1"/>
    <s v="Need-based"/>
    <s v="No Preference"/>
    <n v="1"/>
  </r>
  <r>
    <x v="758"/>
    <x v="758"/>
    <x v="30"/>
    <x v="0"/>
    <x v="0"/>
    <x v="0"/>
    <x v="2"/>
    <x v="0"/>
    <x v="0"/>
    <x v="739"/>
    <s v="Shiqiao"/>
    <s v="Shiqiao"/>
    <s v="Furniture"/>
    <n v="84.15"/>
    <n v="10"/>
    <s v="In-Store"/>
    <x v="3"/>
    <n v="3"/>
    <n v="1"/>
    <s v="High"/>
    <s v="Not Sensitive"/>
    <n v="2"/>
    <n v="1"/>
    <s v="High"/>
    <s v="Desktop"/>
    <s v="PayPal"/>
    <d v="2024-11-03T00:00:00"/>
    <b v="1"/>
    <x v="1"/>
    <s v="Impulsive"/>
    <s v="Standard"/>
    <n v="1"/>
  </r>
  <r>
    <x v="759"/>
    <x v="759"/>
    <x v="30"/>
    <x v="1"/>
    <x v="1"/>
    <x v="0"/>
    <x v="3"/>
    <x v="1"/>
    <x v="1"/>
    <x v="740"/>
    <s v="Yatsuomachi-higashikumisaka"/>
    <s v="Yatsuomachi-higashikumisaka"/>
    <s v="Health Supplements"/>
    <n v="214.69"/>
    <n v="7"/>
    <s v="In-Store"/>
    <x v="4"/>
    <n v="4"/>
    <n v="0"/>
    <s v="Medium"/>
    <s v="Not Sensitive"/>
    <n v="1"/>
    <n v="7"/>
    <s v="None"/>
    <s v="Tablet"/>
    <s v="Credit Card"/>
    <d v="2024-05-15T00:00:00"/>
    <b v="1"/>
    <x v="1"/>
    <s v="Wants-based"/>
    <s v="Standard"/>
    <n v="9"/>
  </r>
  <r>
    <x v="760"/>
    <x v="760"/>
    <x v="11"/>
    <x v="1"/>
    <x v="1"/>
    <x v="1"/>
    <x v="0"/>
    <x v="0"/>
    <x v="1"/>
    <x v="741"/>
    <s v="Czarna Dbrwka"/>
    <s v="Czarna Dؤ…brأ³wka"/>
    <s v="Animal Feed"/>
    <n v="61.21"/>
    <n v="12"/>
    <s v="Mixed"/>
    <x v="0"/>
    <n v="5"/>
    <n v="0"/>
    <s v="None"/>
    <s v="Not Sensitive"/>
    <n v="0"/>
    <n v="5"/>
    <s v="Low"/>
    <s v="Smartphone"/>
    <s v="Credit Card"/>
    <d v="2024-11-24T00:00:00"/>
    <b v="1"/>
    <x v="0"/>
    <s v="Planned"/>
    <s v="Standard"/>
    <n v="13"/>
  </r>
  <r>
    <x v="761"/>
    <x v="761"/>
    <x v="15"/>
    <x v="0"/>
    <x v="0"/>
    <x v="0"/>
    <x v="1"/>
    <x v="1"/>
    <x v="1"/>
    <x v="742"/>
    <s v="Pasirmadang"/>
    <s v="Pasirmadang"/>
    <s v="Packages)"/>
    <n v="462.48"/>
    <n v="11"/>
    <s v="Online"/>
    <x v="3"/>
    <n v="3"/>
    <n v="0"/>
    <s v="Medium"/>
    <s v="Very Sensitive"/>
    <n v="2"/>
    <n v="2"/>
    <s v="Low"/>
    <s v="Smartphone"/>
    <s v="Debit Card"/>
    <d v="2024-03-31T00:00:00"/>
    <b v="0"/>
    <x v="0"/>
    <s v="Planned"/>
    <s v="Express"/>
    <n v="12"/>
  </r>
  <r>
    <x v="762"/>
    <x v="762"/>
    <x v="4"/>
    <x v="1"/>
    <x v="1"/>
    <x v="0"/>
    <x v="0"/>
    <x v="0"/>
    <x v="1"/>
    <x v="743"/>
    <s v="Mao"/>
    <s v="Maأ±o"/>
    <s v="Software &amp; Apps"/>
    <n v="449.18"/>
    <n v="3"/>
    <s v="Mixed"/>
    <x v="0"/>
    <n v="3"/>
    <n v="2"/>
    <s v="Medium"/>
    <s v="Somewhat Sensitive"/>
    <n v="0"/>
    <n v="8"/>
    <s v="High"/>
    <s v="Tablet"/>
    <s v="Credit Card"/>
    <d v="2024-03-21T00:00:00"/>
    <b v="1"/>
    <x v="1"/>
    <s v="Wants-based"/>
    <s v="Standard"/>
    <n v="10"/>
  </r>
  <r>
    <x v="763"/>
    <x v="763"/>
    <x v="8"/>
    <x v="0"/>
    <x v="0"/>
    <x v="0"/>
    <x v="0"/>
    <x v="2"/>
    <x v="0"/>
    <x v="744"/>
    <s v="Tiwi"/>
    <s v="Tiwi"/>
    <s v="Mobile Accessories"/>
    <n v="314.36"/>
    <n v="7"/>
    <s v="In-Store"/>
    <x v="1"/>
    <n v="5"/>
    <n v="2"/>
    <s v="Medium"/>
    <s v="Very Sensitive"/>
    <n v="1"/>
    <n v="4"/>
    <s v="None"/>
    <s v="Desktop"/>
    <s v="Cash"/>
    <d v="2024-07-03T00:00:00"/>
    <b v="1"/>
    <x v="0"/>
    <s v="Impulsive"/>
    <s v="Express"/>
    <n v="1"/>
  </r>
  <r>
    <x v="764"/>
    <x v="764"/>
    <x v="19"/>
    <x v="0"/>
    <x v="0"/>
    <x v="0"/>
    <x v="0"/>
    <x v="0"/>
    <x v="0"/>
    <x v="745"/>
    <s v="Ahar"/>
    <s v="Ahar"/>
    <s v="Jewelry &amp; Accessories"/>
    <n v="367.7"/>
    <n v="3"/>
    <s v="Mixed"/>
    <x v="1"/>
    <n v="5"/>
    <n v="2"/>
    <s v="None"/>
    <s v="Somewhat Sensitive"/>
    <n v="2"/>
    <n v="3"/>
    <s v="High"/>
    <s v="Desktop"/>
    <s v="Credit Card"/>
    <d v="2024-03-17T00:00:00"/>
    <b v="1"/>
    <x v="1"/>
    <s v="Need-based"/>
    <s v="No Preference"/>
    <n v="3"/>
  </r>
  <r>
    <x v="765"/>
    <x v="765"/>
    <x v="30"/>
    <x v="0"/>
    <x v="0"/>
    <x v="1"/>
    <x v="1"/>
    <x v="1"/>
    <x v="0"/>
    <x v="746"/>
    <s v="Dake"/>
    <s v="Dake"/>
    <s v="Sports &amp; Outdoors"/>
    <n v="229.97"/>
    <n v="7"/>
    <s v="Mixed"/>
    <x v="1"/>
    <n v="4"/>
    <n v="0"/>
    <s v="None"/>
    <s v="Very Sensitive"/>
    <n v="2"/>
    <n v="9"/>
    <s v="None"/>
    <s v="Desktop"/>
    <s v="Other"/>
    <d v="2024-11-21T00:00:00"/>
    <b v="0"/>
    <x v="1"/>
    <s v="Need-based"/>
    <s v="Standard"/>
    <n v="6"/>
  </r>
  <r>
    <x v="766"/>
    <x v="766"/>
    <x v="31"/>
    <x v="0"/>
    <x v="0"/>
    <x v="0"/>
    <x v="2"/>
    <x v="0"/>
    <x v="0"/>
    <x v="747"/>
    <s v="Harstad"/>
    <s v="Harstad"/>
    <s v="Home Appliances"/>
    <n v="226.53"/>
    <n v="3"/>
    <s v="Online"/>
    <x v="1"/>
    <n v="1"/>
    <n v="1"/>
    <s v="High"/>
    <s v="Not Sensitive"/>
    <n v="1"/>
    <n v="10"/>
    <s v="Medium"/>
    <s v="Desktop"/>
    <s v="PayPal"/>
    <d v="2024-08-02T00:00:00"/>
    <b v="1"/>
    <x v="0"/>
    <s v="Wants-based"/>
    <s v="No Preference"/>
    <n v="13"/>
  </r>
  <r>
    <x v="767"/>
    <x v="767"/>
    <x v="25"/>
    <x v="1"/>
    <x v="1"/>
    <x v="1"/>
    <x v="3"/>
    <x v="2"/>
    <x v="0"/>
    <x v="748"/>
    <s v="Perbaungan"/>
    <s v="Perbaungan"/>
    <s v="Software &amp; Apps"/>
    <n v="218.32"/>
    <n v="2"/>
    <s v="Mixed"/>
    <x v="0"/>
    <n v="3"/>
    <n v="0"/>
    <s v="High"/>
    <s v="Not Sensitive"/>
    <n v="2"/>
    <n v="7"/>
    <s v="Low"/>
    <s v="Desktop"/>
    <s v="PayPal"/>
    <d v="2024-09-24T00:00:00"/>
    <b v="0"/>
    <x v="0"/>
    <s v="Need-based"/>
    <s v="Express"/>
    <n v="3"/>
  </r>
  <r>
    <x v="768"/>
    <x v="768"/>
    <x v="18"/>
    <x v="0"/>
    <x v="0"/>
    <x v="1"/>
    <x v="2"/>
    <x v="1"/>
    <x v="1"/>
    <x v="749"/>
    <s v="Soroti"/>
    <s v="Soroti"/>
    <s v="Furniture"/>
    <n v="132.66999999999999"/>
    <n v="7"/>
    <s v="In-Store"/>
    <x v="2"/>
    <n v="5"/>
    <n v="1"/>
    <s v="Low"/>
    <s v="Very Sensitive"/>
    <n v="2"/>
    <n v="3"/>
    <s v="Low"/>
    <s v="Smartphone"/>
    <s v="Other"/>
    <d v="2024-12-18T00:00:00"/>
    <b v="1"/>
    <x v="0"/>
    <s v="Impulsive"/>
    <s v="Express"/>
    <n v="1"/>
  </r>
  <r>
    <x v="769"/>
    <x v="769"/>
    <x v="29"/>
    <x v="1"/>
    <x v="1"/>
    <x v="1"/>
    <x v="1"/>
    <x v="2"/>
    <x v="1"/>
    <x v="750"/>
    <s v="Caruaru"/>
    <s v="Caruaru"/>
    <s v="Arts &amp; Crafts"/>
    <n v="416.96"/>
    <n v="7"/>
    <s v="In-Store"/>
    <x v="0"/>
    <n v="1"/>
    <n v="1"/>
    <s v="High"/>
    <s v="Not Sensitive"/>
    <n v="0"/>
    <n v="1"/>
    <s v="High"/>
    <s v="Tablet"/>
    <s v="Other"/>
    <d v="2024-05-25T00:00:00"/>
    <b v="0"/>
    <x v="0"/>
    <s v="Planned"/>
    <s v="Express"/>
    <n v="7"/>
  </r>
  <r>
    <x v="770"/>
    <x v="770"/>
    <x v="7"/>
    <x v="0"/>
    <x v="0"/>
    <x v="1"/>
    <x v="0"/>
    <x v="2"/>
    <x v="0"/>
    <x v="751"/>
    <s v="Kamiennik"/>
    <s v="Kamiennik"/>
    <s v="Arts &amp; Crafts"/>
    <n v="459.51"/>
    <n v="7"/>
    <s v="In-Store"/>
    <x v="3"/>
    <n v="2"/>
    <n v="2"/>
    <s v="High"/>
    <s v="Not Sensitive"/>
    <n v="0"/>
    <n v="5"/>
    <s v="Medium"/>
    <s v="Tablet"/>
    <s v="Debit Card"/>
    <d v="2024-01-05T00:00:00"/>
    <b v="1"/>
    <x v="0"/>
    <s v="Need-based"/>
    <s v="No Preference"/>
    <n v="11"/>
  </r>
  <r>
    <x v="771"/>
    <x v="771"/>
    <x v="5"/>
    <x v="1"/>
    <x v="1"/>
    <x v="0"/>
    <x v="0"/>
    <x v="1"/>
    <x v="1"/>
    <x v="752"/>
    <s v="Boundiali"/>
    <s v="Boundiali"/>
    <s v="Sports &amp; Outdoors"/>
    <n v="487.96"/>
    <n v="2"/>
    <s v="Mixed"/>
    <x v="0"/>
    <n v="3"/>
    <n v="2"/>
    <s v="Low"/>
    <s v="Very Sensitive"/>
    <n v="0"/>
    <n v="2"/>
    <s v="None"/>
    <s v="Desktop"/>
    <s v="PayPal"/>
    <d v="2024-03-15T00:00:00"/>
    <b v="1"/>
    <x v="1"/>
    <s v="Need-based"/>
    <s v="No Preference"/>
    <n v="12"/>
  </r>
  <r>
    <x v="772"/>
    <x v="772"/>
    <x v="0"/>
    <x v="1"/>
    <x v="1"/>
    <x v="0"/>
    <x v="3"/>
    <x v="1"/>
    <x v="1"/>
    <x v="753"/>
    <s v="Gtene"/>
    <s v="Gأ¶tene"/>
    <s v="Toys &amp; Games"/>
    <n v="150.11000000000001"/>
    <n v="7"/>
    <s v="Mixed"/>
    <x v="4"/>
    <n v="4"/>
    <n v="1.5"/>
    <s v="Low"/>
    <s v="Very Sensitive"/>
    <n v="0"/>
    <n v="3"/>
    <s v="High"/>
    <s v="Smartphone"/>
    <s v="Credit Card"/>
    <d v="2024-07-23T00:00:00"/>
    <b v="1"/>
    <x v="0"/>
    <s v="Wants-based"/>
    <s v="Standard"/>
    <n v="8"/>
  </r>
  <r>
    <x v="773"/>
    <x v="773"/>
    <x v="15"/>
    <x v="1"/>
    <x v="1"/>
    <x v="1"/>
    <x v="0"/>
    <x v="1"/>
    <x v="0"/>
    <x v="754"/>
    <s v="Kadumelati"/>
    <s v="Kadumelati"/>
    <s v="Hotels"/>
    <n v="218.87"/>
    <n v="5"/>
    <s v="Mixed"/>
    <x v="4"/>
    <n v="3"/>
    <n v="0"/>
    <s v="Medium"/>
    <s v="Very Sensitive"/>
    <n v="0"/>
    <n v="4"/>
    <s v="Medium"/>
    <s v="Smartphone"/>
    <s v="Cash"/>
    <d v="2024-09-18T00:00:00"/>
    <b v="1"/>
    <x v="0"/>
    <s v="Planned"/>
    <s v="No Preference"/>
    <n v="11"/>
  </r>
  <r>
    <x v="774"/>
    <x v="774"/>
    <x v="3"/>
    <x v="0"/>
    <x v="0"/>
    <x v="0"/>
    <x v="0"/>
    <x v="0"/>
    <x v="1"/>
    <x v="755"/>
    <s v="Amparo"/>
    <s v="Amparo"/>
    <s v="Mobile Accessories"/>
    <n v="437.06"/>
    <n v="7"/>
    <s v="In-Store"/>
    <x v="1"/>
    <n v="5"/>
    <n v="2"/>
    <s v="Low"/>
    <s v="Very Sensitive"/>
    <n v="0"/>
    <n v="6"/>
    <s v="Low"/>
    <s v="Smartphone"/>
    <s v="Cash"/>
    <d v="2024-03-09T00:00:00"/>
    <b v="0"/>
    <x v="0"/>
    <s v="Impulsive"/>
    <s v="Express"/>
    <n v="11"/>
  </r>
  <r>
    <x v="775"/>
    <x v="775"/>
    <x v="4"/>
    <x v="1"/>
    <x v="1"/>
    <x v="1"/>
    <x v="0"/>
    <x v="0"/>
    <x v="1"/>
    <x v="756"/>
    <s v="Shimen"/>
    <s v="Shimen"/>
    <s v="Beauty &amp; Personal Care"/>
    <n v="122.58"/>
    <n v="2"/>
    <s v="In-Store"/>
    <x v="0"/>
    <n v="4"/>
    <n v="1.5"/>
    <s v="Low"/>
    <s v="Not Sensitive"/>
    <n v="2"/>
    <n v="5"/>
    <s v="None"/>
    <s v="Tablet"/>
    <s v="Other"/>
    <d v="2024-01-29T00:00:00"/>
    <b v="1"/>
    <x v="0"/>
    <s v="Impulsive"/>
    <s v="Express"/>
    <n v="12"/>
  </r>
  <r>
    <x v="776"/>
    <x v="776"/>
    <x v="22"/>
    <x v="1"/>
    <x v="1"/>
    <x v="1"/>
    <x v="0"/>
    <x v="2"/>
    <x v="0"/>
    <x v="757"/>
    <s v="Philadelphia"/>
    <s v="Philadelphia"/>
    <s v="Food &amp; Beverages"/>
    <n v="195.07"/>
    <n v="8"/>
    <s v="Online"/>
    <x v="1"/>
    <n v="1"/>
    <n v="1"/>
    <s v="High"/>
    <s v="Somewhat Sensitive"/>
    <n v="0"/>
    <n v="6"/>
    <s v="None"/>
    <s v="Smartphone"/>
    <s v="Debit Card"/>
    <d v="2024-07-22T00:00:00"/>
    <b v="0"/>
    <x v="0"/>
    <s v="Impulsive"/>
    <s v="No Preference"/>
    <n v="10"/>
  </r>
  <r>
    <x v="777"/>
    <x v="777"/>
    <x v="7"/>
    <x v="0"/>
    <x v="0"/>
    <x v="0"/>
    <x v="1"/>
    <x v="1"/>
    <x v="1"/>
    <x v="758"/>
    <s v="Myingyan"/>
    <s v="Myingyan"/>
    <s v="Books"/>
    <n v="190.06"/>
    <n v="9"/>
    <s v="In-Store"/>
    <x v="0"/>
    <n v="1"/>
    <n v="1"/>
    <s v="None"/>
    <s v="Somewhat Sensitive"/>
    <n v="1"/>
    <n v="2"/>
    <s v="Low"/>
    <s v="Smartphone"/>
    <s v="Other"/>
    <d v="2024-02-03T00:00:00"/>
    <b v="1"/>
    <x v="1"/>
    <s v="Planned"/>
    <s v="Standard"/>
    <n v="12"/>
  </r>
  <r>
    <x v="778"/>
    <x v="778"/>
    <x v="9"/>
    <x v="0"/>
    <x v="0"/>
    <x v="0"/>
    <x v="1"/>
    <x v="1"/>
    <x v="0"/>
    <x v="759"/>
    <s v="Qingqu"/>
    <s v="Qingqu"/>
    <s v="Groceries"/>
    <n v="485.76"/>
    <n v="10"/>
    <s v="In-Store"/>
    <x v="1"/>
    <n v="4"/>
    <n v="0"/>
    <s v="Medium"/>
    <s v="Somewhat Sensitive"/>
    <n v="0"/>
    <n v="4"/>
    <s v="High"/>
    <s v="Desktop"/>
    <s v="Debit Card"/>
    <d v="2024-06-03T00:00:00"/>
    <b v="1"/>
    <x v="1"/>
    <s v="Wants-based"/>
    <s v="No Preference"/>
    <n v="4"/>
  </r>
  <r>
    <x v="779"/>
    <x v="779"/>
    <x v="23"/>
    <x v="0"/>
    <x v="0"/>
    <x v="1"/>
    <x v="1"/>
    <x v="0"/>
    <x v="1"/>
    <x v="760"/>
    <s v="Poste de Flacq"/>
    <s v="Poste de Flacq"/>
    <s v="Books"/>
    <n v="242.57"/>
    <n v="7"/>
    <s v="In-Store"/>
    <x v="3"/>
    <n v="1"/>
    <n v="1"/>
    <s v="Low"/>
    <s v="Not Sensitive"/>
    <n v="0"/>
    <n v="10"/>
    <s v="Low"/>
    <s v="Smartphone"/>
    <s v="PayPal"/>
    <d v="2024-10-05T00:00:00"/>
    <b v="1"/>
    <x v="0"/>
    <s v="Wants-based"/>
    <s v="No Preference"/>
    <n v="1"/>
  </r>
  <r>
    <x v="780"/>
    <x v="780"/>
    <x v="22"/>
    <x v="1"/>
    <x v="1"/>
    <x v="0"/>
    <x v="2"/>
    <x v="1"/>
    <x v="1"/>
    <x v="638"/>
    <s v="ah"/>
    <s v="إ¢awr al Bؤپل¸©ah"/>
    <s v="Arts &amp; Crafts"/>
    <n v="303.13"/>
    <n v="2"/>
    <s v="Online"/>
    <x v="3"/>
    <n v="1"/>
    <n v="1"/>
    <s v="High"/>
    <s v="Not Sensitive"/>
    <n v="0"/>
    <n v="7"/>
    <s v="Medium"/>
    <s v="Desktop"/>
    <s v="Debit Card"/>
    <d v="2024-01-04T00:00:00"/>
    <b v="0"/>
    <x v="1"/>
    <s v="Need-based"/>
    <s v="Standard"/>
    <n v="10"/>
  </r>
  <r>
    <x v="781"/>
    <x v="781"/>
    <x v="20"/>
    <x v="0"/>
    <x v="0"/>
    <x v="0"/>
    <x v="2"/>
    <x v="2"/>
    <x v="0"/>
    <x v="761"/>
    <s v="Phu Loc"/>
    <s v="Phu Loc"/>
    <s v="Toys &amp; Games"/>
    <n v="136.1"/>
    <n v="5"/>
    <s v="In-Store"/>
    <x v="1"/>
    <n v="5"/>
    <n v="2"/>
    <s v="Low"/>
    <s v="Very Sensitive"/>
    <n v="0"/>
    <n v="2"/>
    <s v="High"/>
    <s v="Tablet"/>
    <s v="Debit Card"/>
    <d v="2024-02-27T00:00:00"/>
    <b v="0"/>
    <x v="1"/>
    <s v="Planned"/>
    <s v="Express"/>
    <n v="14"/>
  </r>
  <r>
    <x v="782"/>
    <x v="782"/>
    <x v="13"/>
    <x v="2"/>
    <x v="2"/>
    <x v="1"/>
    <x v="1"/>
    <x v="0"/>
    <x v="0"/>
    <x v="762"/>
    <s v="Jembangan"/>
    <s v="Jembangan"/>
    <s v="Electronics"/>
    <n v="249.02"/>
    <n v="11"/>
    <s v="Mixed"/>
    <x v="1"/>
    <n v="2"/>
    <n v="0.3"/>
    <s v="Medium"/>
    <s v="Not Sensitive"/>
    <n v="1"/>
    <n v="1"/>
    <s v="Medium"/>
    <s v="Smartphone"/>
    <s v="PayPal"/>
    <d v="2024-10-01T00:00:00"/>
    <b v="1"/>
    <x v="1"/>
    <s v="Planned"/>
    <s v="Express"/>
    <n v="14"/>
  </r>
  <r>
    <x v="783"/>
    <x v="783"/>
    <x v="24"/>
    <x v="1"/>
    <x v="1"/>
    <x v="0"/>
    <x v="3"/>
    <x v="1"/>
    <x v="0"/>
    <x v="763"/>
    <s v="Harhorin"/>
    <s v="Harhorin"/>
    <s v="Office Supplies"/>
    <n v="466.74"/>
    <n v="7"/>
    <s v="In-Store"/>
    <x v="1"/>
    <n v="4"/>
    <n v="0.2"/>
    <s v="Medium"/>
    <s v="Not Sensitive"/>
    <n v="2"/>
    <n v="3"/>
    <s v="High"/>
    <s v="Tablet"/>
    <s v="Debit Card"/>
    <d v="2024-12-11T00:00:00"/>
    <b v="1"/>
    <x v="1"/>
    <s v="Need-based"/>
    <s v="Express"/>
    <n v="5"/>
  </r>
  <r>
    <x v="784"/>
    <x v="784"/>
    <x v="19"/>
    <x v="2"/>
    <x v="6"/>
    <x v="1"/>
    <x v="0"/>
    <x v="1"/>
    <x v="1"/>
    <x v="764"/>
    <s v="Meijiang"/>
    <s v="Meijiang"/>
    <s v="Animal Feed"/>
    <n v="229.3"/>
    <n v="6"/>
    <s v="In-Store"/>
    <x v="4"/>
    <n v="5"/>
    <n v="2"/>
    <s v="None"/>
    <s v="Somewhat Sensitive"/>
    <n v="0"/>
    <n v="6"/>
    <s v="None"/>
    <s v="Smartphone"/>
    <s v="Other"/>
    <d v="2024-11-25T00:00:00"/>
    <b v="0"/>
    <x v="0"/>
    <s v="Planned"/>
    <s v="Express"/>
    <n v="6"/>
  </r>
  <r>
    <x v="785"/>
    <x v="785"/>
    <x v="12"/>
    <x v="0"/>
    <x v="0"/>
    <x v="1"/>
    <x v="1"/>
    <x v="1"/>
    <x v="1"/>
    <x v="765"/>
    <s v="Lagub"/>
    <s v="Laأ±gub"/>
    <s v="Packages)"/>
    <n v="450.52"/>
    <n v="8"/>
    <s v="Online"/>
    <x v="2"/>
    <n v="2"/>
    <n v="0.2"/>
    <s v="High"/>
    <s v="Somewhat Sensitive"/>
    <n v="0"/>
    <n v="6"/>
    <s v="Low"/>
    <s v="Desktop"/>
    <s v="PayPal"/>
    <d v="2024-01-13T00:00:00"/>
    <b v="1"/>
    <x v="1"/>
    <s v="Need-based"/>
    <s v="No Preference"/>
    <n v="8"/>
  </r>
  <r>
    <x v="786"/>
    <x v="786"/>
    <x v="22"/>
    <x v="1"/>
    <x v="1"/>
    <x v="1"/>
    <x v="3"/>
    <x v="0"/>
    <x v="0"/>
    <x v="766"/>
    <s v="Bangbayang"/>
    <s v="Bangbayang"/>
    <s v="Groceries"/>
    <n v="246.44"/>
    <n v="4"/>
    <s v="Mixed"/>
    <x v="1"/>
    <n v="1"/>
    <n v="1"/>
    <s v="Medium"/>
    <s v="Somewhat Sensitive"/>
    <n v="0"/>
    <n v="3"/>
    <s v="Medium"/>
    <s v="Smartphone"/>
    <s v="Debit Card"/>
    <d v="2024-09-17T00:00:00"/>
    <b v="0"/>
    <x v="1"/>
    <s v="Wants-based"/>
    <s v="No Preference"/>
    <n v="5"/>
  </r>
  <r>
    <x v="787"/>
    <x v="787"/>
    <x v="10"/>
    <x v="1"/>
    <x v="1"/>
    <x v="1"/>
    <x v="2"/>
    <x v="1"/>
    <x v="0"/>
    <x v="767"/>
    <s v="Stboice"/>
    <s v="Stؤ›boإ™ice"/>
    <s v="Home Appliances"/>
    <n v="93.52"/>
    <n v="2"/>
    <s v="Online"/>
    <x v="3"/>
    <n v="5"/>
    <n v="1"/>
    <s v="None"/>
    <s v="Somewhat Sensitive"/>
    <n v="1"/>
    <n v="2"/>
    <s v="High"/>
    <s v="Desktop"/>
    <s v="PayPal"/>
    <d v="2024-08-12T00:00:00"/>
    <b v="0"/>
    <x v="1"/>
    <s v="Planned"/>
    <s v="No Preference"/>
    <n v="12"/>
  </r>
  <r>
    <x v="788"/>
    <x v="788"/>
    <x v="31"/>
    <x v="0"/>
    <x v="0"/>
    <x v="0"/>
    <x v="0"/>
    <x v="1"/>
    <x v="1"/>
    <x v="768"/>
    <s v="Banturkrajan"/>
    <s v="Banturkrajan"/>
    <s v="Groceries"/>
    <n v="137.75"/>
    <n v="6"/>
    <s v="Online"/>
    <x v="1"/>
    <n v="3"/>
    <n v="2"/>
    <s v="High"/>
    <s v="Very Sensitive"/>
    <n v="0"/>
    <n v="1"/>
    <s v="Medium"/>
    <s v="Smartphone"/>
    <s v="Cash"/>
    <d v="2024-09-09T00:00:00"/>
    <b v="0"/>
    <x v="1"/>
    <s v="Need-based"/>
    <s v="No Preference"/>
    <n v="4"/>
  </r>
  <r>
    <x v="789"/>
    <x v="789"/>
    <x v="32"/>
    <x v="0"/>
    <x v="0"/>
    <x v="0"/>
    <x v="0"/>
    <x v="2"/>
    <x v="0"/>
    <x v="769"/>
    <s v="So Torcato"/>
    <s v="Sأ£o Torcato"/>
    <s v="Home Appliances"/>
    <n v="78.64"/>
    <n v="5"/>
    <s v="Mixed"/>
    <x v="1"/>
    <n v="4"/>
    <n v="2"/>
    <s v="High"/>
    <s v="Somewhat Sensitive"/>
    <n v="0"/>
    <n v="3"/>
    <s v="High"/>
    <s v="Tablet"/>
    <s v="PayPal"/>
    <d v="2024-05-26T00:00:00"/>
    <b v="1"/>
    <x v="0"/>
    <s v="Planned"/>
    <s v="Standard"/>
    <n v="12"/>
  </r>
  <r>
    <x v="790"/>
    <x v="790"/>
    <x v="8"/>
    <x v="1"/>
    <x v="1"/>
    <x v="1"/>
    <x v="3"/>
    <x v="2"/>
    <x v="0"/>
    <x v="770"/>
    <s v="Kapan"/>
    <s v="Kapan"/>
    <s v="Software &amp; Apps"/>
    <n v="214.82"/>
    <n v="9"/>
    <s v="Mixed"/>
    <x v="0"/>
    <n v="4"/>
    <n v="0.3"/>
    <s v="None"/>
    <s v="Very Sensitive"/>
    <n v="1"/>
    <n v="9"/>
    <s v="Medium"/>
    <s v="Tablet"/>
    <s v="Other"/>
    <d v="2024-11-09T00:00:00"/>
    <b v="1"/>
    <x v="0"/>
    <s v="Planned"/>
    <s v="No Preference"/>
    <n v="11"/>
  </r>
  <r>
    <x v="791"/>
    <x v="791"/>
    <x v="5"/>
    <x v="1"/>
    <x v="1"/>
    <x v="0"/>
    <x v="0"/>
    <x v="0"/>
    <x v="1"/>
    <x v="771"/>
    <s v="Vfn Giang"/>
    <s v="Vؤƒn Giang"/>
    <s v="Mobile Accessories"/>
    <n v="57.39"/>
    <n v="3"/>
    <s v="Mixed"/>
    <x v="2"/>
    <n v="5"/>
    <n v="0.25"/>
    <s v="None"/>
    <s v="Somewhat Sensitive"/>
    <n v="0"/>
    <n v="10"/>
    <s v="Medium"/>
    <s v="Desktop"/>
    <s v="Credit Card"/>
    <d v="2024-07-19T00:00:00"/>
    <b v="0"/>
    <x v="0"/>
    <s v="Impulsive"/>
    <s v="Standard"/>
    <n v="3"/>
  </r>
  <r>
    <x v="792"/>
    <x v="792"/>
    <x v="26"/>
    <x v="0"/>
    <x v="0"/>
    <x v="1"/>
    <x v="1"/>
    <x v="1"/>
    <x v="0"/>
    <x v="108"/>
    <s v="Oslo"/>
    <s v="Oslo"/>
    <s v="Beauty &amp; Personal Care"/>
    <n v="363.91"/>
    <n v="10"/>
    <s v="Online"/>
    <x v="3"/>
    <n v="1"/>
    <n v="0.3"/>
    <s v="Medium"/>
    <s v="Very Sensitive"/>
    <n v="0"/>
    <n v="2"/>
    <s v="Low"/>
    <s v="Smartphone"/>
    <s v="Cash"/>
    <d v="2024-01-07T00:00:00"/>
    <b v="1"/>
    <x v="1"/>
    <s v="Planned"/>
    <s v="Standard"/>
    <n v="9"/>
  </r>
  <r>
    <x v="793"/>
    <x v="793"/>
    <x v="7"/>
    <x v="1"/>
    <x v="1"/>
    <x v="0"/>
    <x v="1"/>
    <x v="1"/>
    <x v="0"/>
    <x v="772"/>
    <s v="Tanushimarumachi-toyoki"/>
    <s v="Tanushimarumachi-toyoki"/>
    <s v="Travel &amp; Leisure (Flights"/>
    <n v="304.79000000000002"/>
    <n v="12"/>
    <s v="In-Store"/>
    <x v="2"/>
    <n v="4"/>
    <n v="2"/>
    <s v="Low"/>
    <s v="Somewhat Sensitive"/>
    <n v="1"/>
    <n v="9"/>
    <s v="High"/>
    <s v="Desktop"/>
    <s v="Other"/>
    <d v="2024-01-07T00:00:00"/>
    <b v="1"/>
    <x v="1"/>
    <s v="Wants-based"/>
    <s v="Standard"/>
    <n v="10"/>
  </r>
  <r>
    <x v="794"/>
    <x v="794"/>
    <x v="11"/>
    <x v="1"/>
    <x v="1"/>
    <x v="1"/>
    <x v="3"/>
    <x v="1"/>
    <x v="0"/>
    <x v="773"/>
    <s v="Kazo"/>
    <s v="Kazo"/>
    <s v="Jewelry &amp; Accessories"/>
    <n v="363.98"/>
    <n v="4"/>
    <s v="Online"/>
    <x v="4"/>
    <n v="4"/>
    <n v="1"/>
    <s v="None"/>
    <s v="Somewhat Sensitive"/>
    <n v="2"/>
    <n v="7"/>
    <s v="None"/>
    <s v="Tablet"/>
    <s v="PayPal"/>
    <d v="2024-05-27T00:00:00"/>
    <b v="1"/>
    <x v="1"/>
    <s v="Planned"/>
    <s v="Express"/>
    <n v="1"/>
  </r>
  <r>
    <x v="795"/>
    <x v="795"/>
    <x v="26"/>
    <x v="1"/>
    <x v="1"/>
    <x v="0"/>
    <x v="2"/>
    <x v="0"/>
    <x v="1"/>
    <x v="774"/>
    <s v="Rawa Mazowiecka"/>
    <s v="Rawa Mazowiecka"/>
    <s v="Books"/>
    <n v="249.6"/>
    <n v="7"/>
    <s v="Mixed"/>
    <x v="4"/>
    <n v="1"/>
    <n v="1"/>
    <s v="Low"/>
    <s v="Somewhat Sensitive"/>
    <n v="2"/>
    <n v="7"/>
    <s v="High"/>
    <s v="Smartphone"/>
    <s v="Debit Card"/>
    <d v="2024-05-11T00:00:00"/>
    <b v="1"/>
    <x v="0"/>
    <s v="Wants-based"/>
    <s v="Standard"/>
    <n v="11"/>
  </r>
  <r>
    <x v="796"/>
    <x v="796"/>
    <x v="24"/>
    <x v="1"/>
    <x v="1"/>
    <x v="1"/>
    <x v="0"/>
    <x v="0"/>
    <x v="0"/>
    <x v="775"/>
    <s v="Wnsan"/>
    <s v="Wإڈnsan"/>
    <s v="Electronics"/>
    <n v="345.04"/>
    <n v="12"/>
    <s v="In-Store"/>
    <x v="3"/>
    <n v="5"/>
    <n v="1"/>
    <s v="Low"/>
    <s v="Somewhat Sensitive"/>
    <n v="0"/>
    <n v="8"/>
    <s v="Medium"/>
    <s v="Tablet"/>
    <s v="Credit Card"/>
    <d v="2024-10-16T00:00:00"/>
    <b v="1"/>
    <x v="1"/>
    <s v="Planned"/>
    <s v="Express"/>
    <n v="13"/>
  </r>
  <r>
    <x v="797"/>
    <x v="797"/>
    <x v="18"/>
    <x v="0"/>
    <x v="0"/>
    <x v="0"/>
    <x v="1"/>
    <x v="1"/>
    <x v="1"/>
    <x v="776"/>
    <s v="Villavicencio"/>
    <s v="Villavicencio"/>
    <s v="Arts &amp; Crafts"/>
    <n v="59.15"/>
    <n v="3"/>
    <s v="In-Store"/>
    <x v="4"/>
    <n v="2"/>
    <n v="1"/>
    <s v="None"/>
    <s v="Not Sensitive"/>
    <n v="0"/>
    <n v="1"/>
    <s v="High"/>
    <s v="Desktop"/>
    <s v="Debit Card"/>
    <d v="2024-04-19T00:00:00"/>
    <b v="0"/>
    <x v="0"/>
    <s v="Need-based"/>
    <s v="Standard"/>
    <n v="8"/>
  </r>
  <r>
    <x v="798"/>
    <x v="798"/>
    <x v="23"/>
    <x v="1"/>
    <x v="1"/>
    <x v="1"/>
    <x v="1"/>
    <x v="2"/>
    <x v="1"/>
    <x v="777"/>
    <s v="Berlin"/>
    <s v="Berlin"/>
    <s v="Home Appliances"/>
    <n v="461.81"/>
    <n v="12"/>
    <s v="Mixed"/>
    <x v="4"/>
    <n v="3"/>
    <n v="0"/>
    <s v="Medium"/>
    <s v="Very Sensitive"/>
    <n v="0"/>
    <n v="8"/>
    <s v="Low"/>
    <s v="Desktop"/>
    <s v="Other"/>
    <d v="2024-06-07T00:00:00"/>
    <b v="1"/>
    <x v="0"/>
    <s v="Wants-based"/>
    <s v="No Preference"/>
    <n v="8"/>
  </r>
  <r>
    <x v="799"/>
    <x v="799"/>
    <x v="16"/>
    <x v="0"/>
    <x v="0"/>
    <x v="1"/>
    <x v="3"/>
    <x v="0"/>
    <x v="1"/>
    <x v="778"/>
    <s v="Wailang"/>
    <s v="Wailang"/>
    <s v="Health Care"/>
    <n v="280.88"/>
    <n v="4"/>
    <s v="Mixed"/>
    <x v="1"/>
    <n v="4"/>
    <n v="1"/>
    <s v="High"/>
    <s v="Not Sensitive"/>
    <n v="0"/>
    <n v="2"/>
    <s v="High"/>
    <s v="Smartphone"/>
    <s v="Credit Card"/>
    <d v="2024-05-05T00:00:00"/>
    <b v="1"/>
    <x v="1"/>
    <s v="Planned"/>
    <s v="No Preference"/>
    <n v="2"/>
  </r>
  <r>
    <x v="800"/>
    <x v="800"/>
    <x v="32"/>
    <x v="1"/>
    <x v="1"/>
    <x v="0"/>
    <x v="0"/>
    <x v="2"/>
    <x v="0"/>
    <x v="779"/>
    <s v="Fangshan"/>
    <s v="Fangshan"/>
    <s v="Luxury Goods"/>
    <n v="283.7"/>
    <n v="8"/>
    <s v="Mixed"/>
    <x v="2"/>
    <n v="5"/>
    <n v="1"/>
    <s v="Medium"/>
    <s v="Not Sensitive"/>
    <n v="1"/>
    <n v="3"/>
    <s v="Low"/>
    <s v="Smartphone"/>
    <s v="Cash"/>
    <d v="2024-02-29T00:00:00"/>
    <b v="0"/>
    <x v="0"/>
    <s v="Impulsive"/>
    <s v="Express"/>
    <n v="8"/>
  </r>
  <r>
    <x v="801"/>
    <x v="801"/>
    <x v="2"/>
    <x v="0"/>
    <x v="0"/>
    <x v="1"/>
    <x v="2"/>
    <x v="1"/>
    <x v="0"/>
    <x v="780"/>
    <s v="Tallahassee"/>
    <s v="Tallahassee"/>
    <s v="Luxury Goods"/>
    <n v="411.95"/>
    <n v="10"/>
    <s v="In-Store"/>
    <x v="0"/>
    <n v="3"/>
    <n v="1"/>
    <s v="None"/>
    <s v="Not Sensitive"/>
    <n v="0"/>
    <n v="4"/>
    <s v="None"/>
    <s v="Smartphone"/>
    <s v="PayPal"/>
    <d v="2024-12-18T00:00:00"/>
    <b v="1"/>
    <x v="1"/>
    <s v="Impulsive"/>
    <s v="Standard"/>
    <n v="5"/>
  </r>
  <r>
    <x v="802"/>
    <x v="802"/>
    <x v="11"/>
    <x v="0"/>
    <x v="0"/>
    <x v="0"/>
    <x v="2"/>
    <x v="2"/>
    <x v="0"/>
    <x v="781"/>
    <s v="Anchorage"/>
    <s v="Anchorage"/>
    <s v="Gardening &amp; Outdoors"/>
    <n v="476.11"/>
    <n v="5"/>
    <s v="In-Store"/>
    <x v="3"/>
    <n v="4"/>
    <n v="1"/>
    <s v="None"/>
    <s v="Very Sensitive"/>
    <n v="2"/>
    <n v="10"/>
    <s v="High"/>
    <s v="Desktop"/>
    <s v="Debit Card"/>
    <d v="2024-10-29T00:00:00"/>
    <b v="1"/>
    <x v="0"/>
    <s v="Wants-based"/>
    <s v="Standard"/>
    <n v="1"/>
  </r>
  <r>
    <x v="803"/>
    <x v="803"/>
    <x v="31"/>
    <x v="0"/>
    <x v="0"/>
    <x v="0"/>
    <x v="0"/>
    <x v="2"/>
    <x v="1"/>
    <x v="782"/>
    <s v="Mulhouse"/>
    <s v="Mulhouse"/>
    <s v="Gardening &amp; Outdoors"/>
    <n v="399.24"/>
    <n v="7"/>
    <s v="In-Store"/>
    <x v="4"/>
    <n v="2"/>
    <n v="1"/>
    <s v="Medium"/>
    <s v="Very Sensitive"/>
    <n v="1"/>
    <n v="2"/>
    <s v="Medium"/>
    <s v="Smartphone"/>
    <s v="Debit Card"/>
    <d v="2024-06-21T00:00:00"/>
    <b v="0"/>
    <x v="0"/>
    <s v="Need-based"/>
    <s v="Standard"/>
    <n v="10"/>
  </r>
  <r>
    <x v="804"/>
    <x v="804"/>
    <x v="29"/>
    <x v="1"/>
    <x v="1"/>
    <x v="0"/>
    <x v="3"/>
    <x v="2"/>
    <x v="0"/>
    <x v="783"/>
    <s v="Tangkilsari"/>
    <s v="Tangkilsari"/>
    <s v="Jewelry &amp; Accessories"/>
    <n v="90.79"/>
    <n v="12"/>
    <s v="In-Store"/>
    <x v="4"/>
    <n v="1"/>
    <n v="2"/>
    <s v="Medium"/>
    <s v="Somewhat Sensitive"/>
    <n v="0"/>
    <n v="2"/>
    <s v="Medium"/>
    <s v="Tablet"/>
    <s v="Other"/>
    <d v="2024-09-16T00:00:00"/>
    <b v="0"/>
    <x v="0"/>
    <s v="Planned"/>
    <s v="No Preference"/>
    <n v="6"/>
  </r>
  <r>
    <x v="805"/>
    <x v="805"/>
    <x v="9"/>
    <x v="0"/>
    <x v="0"/>
    <x v="0"/>
    <x v="0"/>
    <x v="2"/>
    <x v="0"/>
    <x v="784"/>
    <s v="San Carlos"/>
    <s v="San Carlos"/>
    <s v="Animal Feed"/>
    <n v="229.56"/>
    <n v="9"/>
    <s v="Online"/>
    <x v="3"/>
    <n v="2"/>
    <n v="1"/>
    <s v="None"/>
    <s v="Somewhat Sensitive"/>
    <n v="0"/>
    <n v="9"/>
    <s v="Low"/>
    <s v="Tablet"/>
    <s v="PayPal"/>
    <d v="2024-01-14T00:00:00"/>
    <b v="1"/>
    <x v="1"/>
    <s v="Need-based"/>
    <s v="No Preference"/>
    <n v="11"/>
  </r>
  <r>
    <x v="806"/>
    <x v="806"/>
    <x v="31"/>
    <x v="0"/>
    <x v="0"/>
    <x v="0"/>
    <x v="3"/>
    <x v="1"/>
    <x v="0"/>
    <x v="785"/>
    <s v="Queluz"/>
    <s v="Queluz"/>
    <s v="Sports &amp; Outdoors"/>
    <n v="160.47"/>
    <n v="7"/>
    <s v="Mixed"/>
    <x v="3"/>
    <n v="5"/>
    <n v="0"/>
    <s v="None"/>
    <s v="Not Sensitive"/>
    <n v="0"/>
    <n v="3"/>
    <s v="None"/>
    <s v="Smartphone"/>
    <s v="Debit Card"/>
    <d v="2024-03-17T00:00:00"/>
    <b v="1"/>
    <x v="0"/>
    <s v="Wants-based"/>
    <s v="No Preference"/>
    <n v="6"/>
  </r>
  <r>
    <x v="807"/>
    <x v="807"/>
    <x v="12"/>
    <x v="2"/>
    <x v="7"/>
    <x v="1"/>
    <x v="0"/>
    <x v="1"/>
    <x v="1"/>
    <x v="786"/>
    <s v="Srkisalo"/>
    <s v="Sأ¤rkisalo"/>
    <s v="Software &amp; Apps"/>
    <n v="104.74"/>
    <n v="6"/>
    <s v="Online"/>
    <x v="2"/>
    <n v="4"/>
    <n v="2"/>
    <s v="None"/>
    <s v="Very Sensitive"/>
    <n v="0"/>
    <n v="4"/>
    <s v="Low"/>
    <s v="Smartphone"/>
    <s v="PayPal"/>
    <d v="2024-09-22T00:00:00"/>
    <b v="0"/>
    <x v="0"/>
    <s v="Impulsive"/>
    <s v="No Preference"/>
    <n v="1"/>
  </r>
  <r>
    <x v="808"/>
    <x v="808"/>
    <x v="14"/>
    <x v="0"/>
    <x v="0"/>
    <x v="1"/>
    <x v="2"/>
    <x v="2"/>
    <x v="0"/>
    <x v="787"/>
    <s v="Vitoria-Gasteiz"/>
    <s v="Vitoria-Gasteiz"/>
    <s v="Food &amp; Beverages"/>
    <n v="399.95"/>
    <n v="10"/>
    <s v="In-Store"/>
    <x v="2"/>
    <n v="1"/>
    <n v="0"/>
    <s v="Low"/>
    <s v="Not Sensitive"/>
    <n v="1"/>
    <n v="2"/>
    <s v="High"/>
    <s v="Smartphone"/>
    <s v="Cash"/>
    <d v="2024-03-07T00:00:00"/>
    <b v="1"/>
    <x v="0"/>
    <s v="Need-based"/>
    <s v="Express"/>
    <n v="10"/>
  </r>
  <r>
    <x v="809"/>
    <x v="809"/>
    <x v="26"/>
    <x v="0"/>
    <x v="0"/>
    <x v="1"/>
    <x v="3"/>
    <x v="0"/>
    <x v="0"/>
    <x v="788"/>
    <s v="Coro"/>
    <s v="Coro"/>
    <s v="Baby Products"/>
    <n v="337.33"/>
    <n v="8"/>
    <s v="In-Store"/>
    <x v="3"/>
    <n v="4"/>
    <n v="1"/>
    <s v="None"/>
    <s v="Somewhat Sensitive"/>
    <n v="0"/>
    <n v="5"/>
    <s v="Medium"/>
    <s v="Desktop"/>
    <s v="Debit Card"/>
    <d v="2024-11-25T00:00:00"/>
    <b v="0"/>
    <x v="0"/>
    <s v="Planned"/>
    <s v="Express"/>
    <n v="10"/>
  </r>
  <r>
    <x v="810"/>
    <x v="810"/>
    <x v="30"/>
    <x v="0"/>
    <x v="0"/>
    <x v="1"/>
    <x v="2"/>
    <x v="2"/>
    <x v="0"/>
    <x v="789"/>
    <s v="Purwa"/>
    <s v="Purwa"/>
    <s v="Jewelry &amp; Accessories"/>
    <n v="204.83"/>
    <n v="6"/>
    <s v="In-Store"/>
    <x v="0"/>
    <n v="1"/>
    <n v="0"/>
    <s v="High"/>
    <s v="Very Sensitive"/>
    <n v="1"/>
    <n v="5"/>
    <s v="Medium"/>
    <s v="Smartphone"/>
    <s v="Debit Card"/>
    <d v="2024-04-22T00:00:00"/>
    <b v="1"/>
    <x v="0"/>
    <s v="Wants-based"/>
    <s v="Standard"/>
    <n v="5"/>
  </r>
  <r>
    <x v="811"/>
    <x v="811"/>
    <x v="0"/>
    <x v="0"/>
    <x v="0"/>
    <x v="0"/>
    <x v="2"/>
    <x v="2"/>
    <x v="1"/>
    <x v="790"/>
    <s v="Gvle"/>
    <s v="Gأ¤vle"/>
    <s v="Packages)"/>
    <n v="193.94"/>
    <n v="11"/>
    <s v="Mixed"/>
    <x v="4"/>
    <n v="1"/>
    <n v="0"/>
    <s v="None"/>
    <s v="Not Sensitive"/>
    <n v="0"/>
    <n v="3"/>
    <s v="High"/>
    <s v="Desktop"/>
    <s v="Other"/>
    <d v="2024-08-09T00:00:00"/>
    <b v="0"/>
    <x v="0"/>
    <s v="Wants-based"/>
    <s v="Standard"/>
    <n v="9"/>
  </r>
  <r>
    <x v="812"/>
    <x v="812"/>
    <x v="19"/>
    <x v="1"/>
    <x v="1"/>
    <x v="1"/>
    <x v="0"/>
    <x v="2"/>
    <x v="0"/>
    <x v="791"/>
    <s v="Embu Guaأ§u"/>
    <s v="Embu Guaأ§u"/>
    <s v="Mobile Accessories"/>
    <n v="460.37"/>
    <n v="10"/>
    <s v="Online"/>
    <x v="0"/>
    <n v="4"/>
    <n v="2"/>
    <s v="Low"/>
    <s v="Very Sensitive"/>
    <n v="2"/>
    <n v="7"/>
    <s v="High"/>
    <s v="Desktop"/>
    <s v="Credit Card"/>
    <d v="2024-07-13T00:00:00"/>
    <b v="1"/>
    <x v="1"/>
    <s v="Wants-based"/>
    <s v="Express"/>
    <n v="12"/>
  </r>
  <r>
    <x v="813"/>
    <x v="813"/>
    <x v="10"/>
    <x v="2"/>
    <x v="4"/>
    <x v="0"/>
    <x v="1"/>
    <x v="0"/>
    <x v="0"/>
    <x v="268"/>
    <s v="Colima"/>
    <s v="Colima"/>
    <s v="Arts &amp; Crafts"/>
    <n v="297.29000000000002"/>
    <n v="9"/>
    <s v="Online"/>
    <x v="0"/>
    <n v="4"/>
    <n v="2"/>
    <s v="None"/>
    <s v="Not Sensitive"/>
    <n v="0"/>
    <n v="9"/>
    <s v="Low"/>
    <s v="Smartphone"/>
    <s v="Cash"/>
    <d v="2024-01-01T00:00:00"/>
    <b v="1"/>
    <x v="1"/>
    <s v="Need-based"/>
    <s v="Standard"/>
    <n v="3"/>
  </r>
  <r>
    <x v="814"/>
    <x v="814"/>
    <x v="16"/>
    <x v="1"/>
    <x v="1"/>
    <x v="0"/>
    <x v="1"/>
    <x v="0"/>
    <x v="0"/>
    <x v="792"/>
    <s v="Fubin"/>
    <s v="Fubin"/>
    <s v="Books"/>
    <n v="389.47"/>
    <n v="4"/>
    <s v="In-Store"/>
    <x v="0"/>
    <n v="3"/>
    <n v="2"/>
    <s v="Low"/>
    <s v="Not Sensitive"/>
    <n v="1"/>
    <n v="9"/>
    <s v="High"/>
    <s v="Desktop"/>
    <s v="Credit Card"/>
    <d v="2024-02-11T00:00:00"/>
    <b v="1"/>
    <x v="1"/>
    <s v="Wants-based"/>
    <s v="Standard"/>
    <n v="6"/>
  </r>
  <r>
    <x v="815"/>
    <x v="815"/>
    <x v="9"/>
    <x v="1"/>
    <x v="1"/>
    <x v="1"/>
    <x v="1"/>
    <x v="2"/>
    <x v="1"/>
    <x v="793"/>
    <s v="Talshand"/>
    <s v="Talshand"/>
    <s v="Home Appliances"/>
    <n v="370.05"/>
    <n v="11"/>
    <s v="Mixed"/>
    <x v="0"/>
    <n v="3"/>
    <n v="0"/>
    <s v="Medium"/>
    <s v="Very Sensitive"/>
    <n v="1"/>
    <n v="10"/>
    <s v="High"/>
    <s v="Smartphone"/>
    <s v="Cash"/>
    <d v="2024-10-30T00:00:00"/>
    <b v="1"/>
    <x v="1"/>
    <s v="Impulsive"/>
    <s v="No Preference"/>
    <n v="10"/>
  </r>
  <r>
    <x v="816"/>
    <x v="816"/>
    <x v="5"/>
    <x v="1"/>
    <x v="1"/>
    <x v="1"/>
    <x v="1"/>
    <x v="2"/>
    <x v="0"/>
    <x v="794"/>
    <s v="Palampal"/>
    <s v="Palampal"/>
    <s v="Jewelry &amp; Accessories"/>
    <n v="462.24"/>
    <n v="2"/>
    <s v="Mixed"/>
    <x v="4"/>
    <n v="5"/>
    <n v="0"/>
    <s v="Low"/>
    <s v="Not Sensitive"/>
    <n v="2"/>
    <n v="1"/>
    <s v="None"/>
    <s v="Smartphone"/>
    <s v="Other"/>
    <d v="2024-03-19T00:00:00"/>
    <b v="1"/>
    <x v="1"/>
    <s v="Wants-based"/>
    <s v="Express"/>
    <n v="13"/>
  </r>
  <r>
    <x v="817"/>
    <x v="817"/>
    <x v="12"/>
    <x v="0"/>
    <x v="0"/>
    <x v="1"/>
    <x v="0"/>
    <x v="1"/>
    <x v="1"/>
    <x v="795"/>
    <s v="Kamأ،rai"/>
    <s v="Kamأ،rai"/>
    <s v="Food &amp; Beverages"/>
    <n v="472.53"/>
    <n v="11"/>
    <s v="Online"/>
    <x v="4"/>
    <n v="1"/>
    <n v="1"/>
    <s v="Medium"/>
    <s v="Somewhat Sensitive"/>
    <n v="2"/>
    <n v="7"/>
    <s v="Medium"/>
    <s v="Smartphone"/>
    <s v="Debit Card"/>
    <d v="2024-04-30T00:00:00"/>
    <b v="0"/>
    <x v="0"/>
    <s v="Wants-based"/>
    <s v="Express"/>
    <n v="4"/>
  </r>
  <r>
    <x v="818"/>
    <x v="818"/>
    <x v="5"/>
    <x v="0"/>
    <x v="0"/>
    <x v="0"/>
    <x v="0"/>
    <x v="1"/>
    <x v="0"/>
    <x v="796"/>
    <s v="Ettelbruck"/>
    <s v="Ettelbruck"/>
    <s v="Home Appliances"/>
    <n v="407.29"/>
    <n v="3"/>
    <s v="In-Store"/>
    <x v="0"/>
    <n v="5"/>
    <n v="0"/>
    <s v="Low"/>
    <s v="Not Sensitive"/>
    <n v="0"/>
    <n v="5"/>
    <s v="Low"/>
    <s v="Tablet"/>
    <s v="Other"/>
    <d v="2024-11-25T00:00:00"/>
    <b v="0"/>
    <x v="0"/>
    <s v="Planned"/>
    <s v="Express"/>
    <n v="3"/>
  </r>
  <r>
    <x v="819"/>
    <x v="819"/>
    <x v="27"/>
    <x v="1"/>
    <x v="1"/>
    <x v="1"/>
    <x v="0"/>
    <x v="0"/>
    <x v="1"/>
    <x v="797"/>
    <s v="Cawayan"/>
    <s v="Cawayan"/>
    <s v="Mobile Accessories"/>
    <n v="135.65"/>
    <n v="8"/>
    <s v="Online"/>
    <x v="4"/>
    <n v="1"/>
    <n v="1"/>
    <s v="Low"/>
    <s v="Very Sensitive"/>
    <n v="0"/>
    <n v="9"/>
    <s v="None"/>
    <s v="Desktop"/>
    <s v="Other"/>
    <d v="2024-02-16T00:00:00"/>
    <b v="0"/>
    <x v="0"/>
    <s v="Impulsive"/>
    <s v="Standard"/>
    <n v="14"/>
  </r>
  <r>
    <x v="820"/>
    <x v="820"/>
    <x v="15"/>
    <x v="1"/>
    <x v="1"/>
    <x v="1"/>
    <x v="1"/>
    <x v="0"/>
    <x v="0"/>
    <x v="798"/>
    <s v="Don Carlos"/>
    <s v="Don Carlos"/>
    <s v="Animal Feed"/>
    <n v="352.35"/>
    <n v="4"/>
    <s v="Online"/>
    <x v="2"/>
    <n v="2"/>
    <n v="0"/>
    <s v="Low"/>
    <s v="Very Sensitive"/>
    <n v="1"/>
    <n v="1"/>
    <s v="Low"/>
    <s v="Smartphone"/>
    <s v="Credit Card"/>
    <d v="2024-06-20T00:00:00"/>
    <b v="0"/>
    <x v="0"/>
    <s v="Planned"/>
    <s v="Express"/>
    <n v="14"/>
  </r>
  <r>
    <x v="821"/>
    <x v="821"/>
    <x v="8"/>
    <x v="0"/>
    <x v="0"/>
    <x v="1"/>
    <x v="1"/>
    <x v="1"/>
    <x v="1"/>
    <x v="210"/>
    <s v="Seleu"/>
    <s v="Seleuإ،"/>
    <s v="Books"/>
    <n v="441.73"/>
    <n v="12"/>
    <s v="Online"/>
    <x v="3"/>
    <n v="4"/>
    <n v="2"/>
    <s v="Low"/>
    <s v="Somewhat Sensitive"/>
    <n v="0"/>
    <n v="8"/>
    <s v="Medium"/>
    <s v="Smartphone"/>
    <s v="Credit Card"/>
    <d v="2024-02-04T00:00:00"/>
    <b v="1"/>
    <x v="0"/>
    <s v="Planned"/>
    <s v="Standard"/>
    <n v="8"/>
  </r>
  <r>
    <x v="822"/>
    <x v="822"/>
    <x v="6"/>
    <x v="0"/>
    <x v="0"/>
    <x v="1"/>
    <x v="3"/>
    <x v="1"/>
    <x v="0"/>
    <x v="799"/>
    <s v="Cervantes"/>
    <s v="Cervantes"/>
    <s v="Luxury Goods"/>
    <n v="105.95"/>
    <n v="12"/>
    <s v="Mixed"/>
    <x v="3"/>
    <n v="4"/>
    <n v="2"/>
    <s v="Low"/>
    <s v="Very Sensitive"/>
    <n v="1"/>
    <n v="7"/>
    <s v="Medium"/>
    <s v="Desktop"/>
    <s v="Cash"/>
    <d v="2024-08-04T00:00:00"/>
    <b v="0"/>
    <x v="0"/>
    <s v="Impulsive"/>
    <s v="Standard"/>
    <n v="11"/>
  </r>
  <r>
    <x v="823"/>
    <x v="823"/>
    <x v="29"/>
    <x v="1"/>
    <x v="1"/>
    <x v="1"/>
    <x v="1"/>
    <x v="2"/>
    <x v="1"/>
    <x v="800"/>
    <s v="Ebebiyin"/>
    <s v="Ebebiyin"/>
    <s v="Groceries"/>
    <n v="351.54"/>
    <n v="11"/>
    <s v="Mixed"/>
    <x v="3"/>
    <n v="3"/>
    <n v="2"/>
    <s v="None"/>
    <s v="Somewhat Sensitive"/>
    <n v="0"/>
    <n v="8"/>
    <s v="None"/>
    <s v="Tablet"/>
    <s v="PayPal"/>
    <d v="2024-03-21T00:00:00"/>
    <b v="1"/>
    <x v="0"/>
    <s v="Planned"/>
    <s v="Express"/>
    <n v="12"/>
  </r>
  <r>
    <x v="824"/>
    <x v="824"/>
    <x v="13"/>
    <x v="1"/>
    <x v="1"/>
    <x v="1"/>
    <x v="3"/>
    <x v="0"/>
    <x v="1"/>
    <x v="801"/>
    <s v="Chuquitira"/>
    <s v="Chuquitira"/>
    <s v="Home Appliances"/>
    <n v="321.26"/>
    <n v="12"/>
    <s v="Online"/>
    <x v="4"/>
    <n v="1"/>
    <n v="0"/>
    <s v="None"/>
    <s v="Very Sensitive"/>
    <n v="0"/>
    <n v="6"/>
    <s v="None"/>
    <s v="Desktop"/>
    <s v="Debit Card"/>
    <d v="2024-06-13T00:00:00"/>
    <b v="0"/>
    <x v="0"/>
    <s v="Need-based"/>
    <s v="Standard"/>
    <n v="14"/>
  </r>
  <r>
    <x v="825"/>
    <x v="825"/>
    <x v="26"/>
    <x v="0"/>
    <x v="0"/>
    <x v="1"/>
    <x v="3"/>
    <x v="1"/>
    <x v="0"/>
    <x v="802"/>
    <s v="Proletarsk"/>
    <s v="Proletarsk"/>
    <s v="Animal Feed"/>
    <n v="421.5"/>
    <n v="11"/>
    <s v="Online"/>
    <x v="0"/>
    <n v="1"/>
    <n v="2"/>
    <s v="Low"/>
    <s v="Somewhat Sensitive"/>
    <n v="0"/>
    <n v="8"/>
    <s v="None"/>
    <s v="Desktop"/>
    <s v="PayPal"/>
    <d v="2024-04-04T00:00:00"/>
    <b v="1"/>
    <x v="1"/>
    <s v="Need-based"/>
    <s v="Express"/>
    <n v="3"/>
  </r>
  <r>
    <x v="826"/>
    <x v="826"/>
    <x v="23"/>
    <x v="2"/>
    <x v="2"/>
    <x v="1"/>
    <x v="2"/>
    <x v="1"/>
    <x v="0"/>
    <x v="803"/>
    <s v="Naghalin"/>
    <s v="Naghalin"/>
    <s v="Food &amp; Beverages"/>
    <n v="253.29"/>
    <n v="6"/>
    <s v="Mixed"/>
    <x v="1"/>
    <n v="2"/>
    <n v="2"/>
    <s v="None"/>
    <s v="Somewhat Sensitive"/>
    <n v="1"/>
    <n v="4"/>
    <s v="None"/>
    <s v="Desktop"/>
    <s v="PayPal"/>
    <d v="2024-05-02T00:00:00"/>
    <b v="1"/>
    <x v="0"/>
    <s v="Planned"/>
    <s v="Standard"/>
    <n v="8"/>
  </r>
  <r>
    <x v="827"/>
    <x v="827"/>
    <x v="3"/>
    <x v="0"/>
    <x v="0"/>
    <x v="0"/>
    <x v="3"/>
    <x v="1"/>
    <x v="1"/>
    <x v="804"/>
    <s v="Honolulu"/>
    <s v="Honolulu"/>
    <s v="Jewelry &amp; Accessories"/>
    <n v="217.62"/>
    <n v="3"/>
    <s v="Online"/>
    <x v="0"/>
    <n v="2"/>
    <n v="1"/>
    <s v="High"/>
    <s v="Very Sensitive"/>
    <n v="2"/>
    <n v="3"/>
    <s v="Low"/>
    <s v="Smartphone"/>
    <s v="PayPal"/>
    <d v="2024-02-14T00:00:00"/>
    <b v="0"/>
    <x v="1"/>
    <s v="Impulsive"/>
    <s v="No Preference"/>
    <n v="5"/>
  </r>
  <r>
    <x v="828"/>
    <x v="828"/>
    <x v="6"/>
    <x v="1"/>
    <x v="1"/>
    <x v="0"/>
    <x v="1"/>
    <x v="0"/>
    <x v="1"/>
    <x v="805"/>
    <s v="Dhalie"/>
    <s v="Dhalie"/>
    <s v="Books"/>
    <n v="226.04"/>
    <n v="11"/>
    <s v="Online"/>
    <x v="4"/>
    <n v="1"/>
    <n v="1"/>
    <s v="None"/>
    <s v="Very Sensitive"/>
    <n v="0"/>
    <n v="9"/>
    <s v="Medium"/>
    <s v="Desktop"/>
    <s v="PayPal"/>
    <d v="2024-05-14T00:00:00"/>
    <b v="1"/>
    <x v="0"/>
    <s v="Wants-based"/>
    <s v="Express"/>
    <n v="12"/>
  </r>
  <r>
    <x v="829"/>
    <x v="829"/>
    <x v="30"/>
    <x v="2"/>
    <x v="3"/>
    <x v="1"/>
    <x v="1"/>
    <x v="0"/>
    <x v="1"/>
    <x v="806"/>
    <s v="Giesteira"/>
    <s v="Giesteira"/>
    <s v="Packages)"/>
    <n v="52.79"/>
    <n v="4"/>
    <s v="Online"/>
    <x v="2"/>
    <n v="2"/>
    <n v="0"/>
    <s v="Low"/>
    <s v="Not Sensitive"/>
    <n v="1"/>
    <n v="7"/>
    <s v="None"/>
    <s v="Tablet"/>
    <s v="Debit Card"/>
    <d v="2024-02-06T00:00:00"/>
    <b v="1"/>
    <x v="1"/>
    <s v="Impulsive"/>
    <s v="Express"/>
    <n v="4"/>
  </r>
  <r>
    <x v="830"/>
    <x v="830"/>
    <x v="20"/>
    <x v="1"/>
    <x v="1"/>
    <x v="0"/>
    <x v="2"/>
    <x v="1"/>
    <x v="1"/>
    <x v="807"/>
    <s v="Khilok"/>
    <s v="Khilok"/>
    <s v="Jewelry &amp; Accessories"/>
    <n v="385.08"/>
    <n v="7"/>
    <s v="In-Store"/>
    <x v="2"/>
    <n v="4"/>
    <n v="1"/>
    <s v="High"/>
    <s v="Somewhat Sensitive"/>
    <n v="1"/>
    <n v="1"/>
    <s v="Low"/>
    <s v="Tablet"/>
    <s v="Debit Card"/>
    <d v="2024-11-12T00:00:00"/>
    <b v="0"/>
    <x v="1"/>
    <s v="Impulsive"/>
    <s v="No Preference"/>
    <n v="1"/>
  </r>
  <r>
    <x v="831"/>
    <x v="831"/>
    <x v="4"/>
    <x v="1"/>
    <x v="1"/>
    <x v="1"/>
    <x v="2"/>
    <x v="2"/>
    <x v="0"/>
    <x v="408"/>
    <s v="Cimara"/>
    <s v="Cimara"/>
    <s v="Hotels"/>
    <n v="181.1"/>
    <n v="2"/>
    <s v="Online"/>
    <x v="2"/>
    <n v="5"/>
    <n v="2"/>
    <s v="Low"/>
    <s v="Not Sensitive"/>
    <n v="2"/>
    <n v="7"/>
    <s v="Low"/>
    <s v="Tablet"/>
    <s v="Credit Card"/>
    <d v="2024-12-26T00:00:00"/>
    <b v="0"/>
    <x v="0"/>
    <s v="Impulsive"/>
    <s v="No Preference"/>
    <n v="5"/>
  </r>
  <r>
    <x v="832"/>
    <x v="832"/>
    <x v="25"/>
    <x v="0"/>
    <x v="0"/>
    <x v="0"/>
    <x v="1"/>
    <x v="2"/>
    <x v="0"/>
    <x v="808"/>
    <s v="Vereshchagino"/>
    <s v="Vereshchagino"/>
    <s v="Office Supplies"/>
    <n v="246.41"/>
    <n v="7"/>
    <s v="In-Store"/>
    <x v="2"/>
    <n v="4"/>
    <n v="0"/>
    <s v="None"/>
    <s v="Somewhat Sensitive"/>
    <n v="2"/>
    <n v="8"/>
    <s v="Low"/>
    <s v="Smartphone"/>
    <s v="Cash"/>
    <d v="2024-10-01T00:00:00"/>
    <b v="1"/>
    <x v="0"/>
    <s v="Need-based"/>
    <s v="Standard"/>
    <n v="11"/>
  </r>
  <r>
    <x v="833"/>
    <x v="833"/>
    <x v="14"/>
    <x v="0"/>
    <x v="0"/>
    <x v="0"/>
    <x v="3"/>
    <x v="0"/>
    <x v="1"/>
    <x v="809"/>
    <s v="Binagadi"/>
    <s v="Binagadi"/>
    <s v="Baby Products"/>
    <n v="140.87"/>
    <n v="8"/>
    <s v="In-Store"/>
    <x v="1"/>
    <n v="3"/>
    <n v="2"/>
    <s v="Low"/>
    <s v="Not Sensitive"/>
    <n v="2"/>
    <n v="7"/>
    <s v="Medium"/>
    <s v="Tablet"/>
    <s v="Other"/>
    <d v="2024-03-03T00:00:00"/>
    <b v="1"/>
    <x v="0"/>
    <s v="Impulsive"/>
    <s v="No Preference"/>
    <n v="9"/>
  </r>
  <r>
    <x v="834"/>
    <x v="834"/>
    <x v="10"/>
    <x v="0"/>
    <x v="0"/>
    <x v="1"/>
    <x v="1"/>
    <x v="2"/>
    <x v="1"/>
    <x v="810"/>
    <s v="Tsuen Wan"/>
    <s v="Tsuen Wan"/>
    <s v="Software &amp; Apps"/>
    <n v="151.25"/>
    <n v="2"/>
    <s v="In-Store"/>
    <x v="2"/>
    <n v="5"/>
    <n v="0"/>
    <s v="Medium"/>
    <s v="Somewhat Sensitive"/>
    <n v="1"/>
    <n v="8"/>
    <s v="Medium"/>
    <s v="Tablet"/>
    <s v="Debit Card"/>
    <d v="2024-04-20T00:00:00"/>
    <b v="1"/>
    <x v="0"/>
    <s v="Planned"/>
    <s v="No Preference"/>
    <n v="10"/>
  </r>
  <r>
    <x v="835"/>
    <x v="835"/>
    <x v="23"/>
    <x v="1"/>
    <x v="1"/>
    <x v="1"/>
    <x v="3"/>
    <x v="2"/>
    <x v="0"/>
    <x v="811"/>
    <s v="Banjar Batanpoh"/>
    <s v="Banjar Batanpoh"/>
    <s v="Hotels"/>
    <n v="171.52"/>
    <n v="3"/>
    <s v="Mixed"/>
    <x v="0"/>
    <n v="5"/>
    <n v="2"/>
    <s v="Medium"/>
    <s v="Very Sensitive"/>
    <n v="1"/>
    <n v="9"/>
    <s v="Medium"/>
    <s v="Smartphone"/>
    <s v="Cash"/>
    <d v="2024-08-21T00:00:00"/>
    <b v="1"/>
    <x v="1"/>
    <s v="Planned"/>
    <s v="Standard"/>
    <n v="12"/>
  </r>
  <r>
    <x v="836"/>
    <x v="836"/>
    <x v="13"/>
    <x v="1"/>
    <x v="1"/>
    <x v="0"/>
    <x v="2"/>
    <x v="2"/>
    <x v="1"/>
    <x v="812"/>
    <s v="Yenakiyeve"/>
    <s v="Yenakiyeve"/>
    <s v="Sports &amp; Outdoors"/>
    <n v="399.56"/>
    <n v="10"/>
    <s v="Online"/>
    <x v="4"/>
    <n v="2"/>
    <n v="1"/>
    <s v="Low"/>
    <s v="Not Sensitive"/>
    <n v="0"/>
    <n v="4"/>
    <s v="Medium"/>
    <s v="Desktop"/>
    <s v="Cash"/>
    <d v="2024-10-21T00:00:00"/>
    <b v="1"/>
    <x v="1"/>
    <s v="Need-based"/>
    <s v="No Preference"/>
    <n v="1"/>
  </r>
  <r>
    <x v="837"/>
    <x v="837"/>
    <x v="13"/>
    <x v="0"/>
    <x v="0"/>
    <x v="0"/>
    <x v="2"/>
    <x v="2"/>
    <x v="0"/>
    <x v="813"/>
    <s v="San Ramon"/>
    <s v="San Ramon"/>
    <s v="Sports &amp; Outdoors"/>
    <n v="173.46"/>
    <n v="4"/>
    <s v="Mixed"/>
    <x v="0"/>
    <n v="3"/>
    <n v="1"/>
    <s v="None"/>
    <s v="Not Sensitive"/>
    <n v="0"/>
    <n v="9"/>
    <s v="Medium"/>
    <s v="Smartphone"/>
    <s v="PayPal"/>
    <d v="2024-04-11T00:00:00"/>
    <b v="0"/>
    <x v="1"/>
    <s v="Wants-based"/>
    <s v="No Preference"/>
    <n v="2"/>
  </r>
  <r>
    <x v="838"/>
    <x v="838"/>
    <x v="20"/>
    <x v="1"/>
    <x v="1"/>
    <x v="1"/>
    <x v="2"/>
    <x v="0"/>
    <x v="1"/>
    <x v="814"/>
    <s v="Sakt"/>
    <s v="Sakأ©tأ©"/>
    <s v="Toys &amp; Games"/>
    <n v="332.14"/>
    <n v="10"/>
    <s v="Online"/>
    <x v="4"/>
    <n v="4"/>
    <n v="0"/>
    <s v="Low"/>
    <s v="Somewhat Sensitive"/>
    <n v="1"/>
    <n v="2"/>
    <s v="None"/>
    <s v="Desktop"/>
    <s v="PayPal"/>
    <d v="2024-02-09T00:00:00"/>
    <b v="1"/>
    <x v="1"/>
    <s v="Planned"/>
    <s v="No Preference"/>
    <n v="13"/>
  </r>
  <r>
    <x v="839"/>
    <x v="839"/>
    <x v="14"/>
    <x v="2"/>
    <x v="4"/>
    <x v="0"/>
    <x v="1"/>
    <x v="0"/>
    <x v="0"/>
    <x v="815"/>
    <s v="Pantenan"/>
    <s v="Pantenan"/>
    <s v="Food &amp; Beverages"/>
    <n v="247.05"/>
    <n v="8"/>
    <s v="In-Store"/>
    <x v="1"/>
    <n v="2"/>
    <n v="1"/>
    <s v="Low"/>
    <s v="Somewhat Sensitive"/>
    <n v="1"/>
    <n v="8"/>
    <s v="High"/>
    <s v="Desktop"/>
    <s v="Cash"/>
    <d v="2024-05-25T00:00:00"/>
    <b v="0"/>
    <x v="0"/>
    <s v="Wants-based"/>
    <s v="Standard"/>
    <n v="2"/>
  </r>
  <r>
    <x v="840"/>
    <x v="840"/>
    <x v="1"/>
    <x v="1"/>
    <x v="1"/>
    <x v="1"/>
    <x v="1"/>
    <x v="0"/>
    <x v="1"/>
    <x v="816"/>
    <s v="Antrukan"/>
    <s v="Antrukan"/>
    <s v="Office Supplies"/>
    <n v="365.88"/>
    <n v="10"/>
    <s v="Mixed"/>
    <x v="4"/>
    <n v="5"/>
    <n v="1"/>
    <s v="None"/>
    <s v="Somewhat Sensitive"/>
    <n v="1"/>
    <n v="1"/>
    <s v="Medium"/>
    <s v="Tablet"/>
    <s v="PayPal"/>
    <d v="2024-04-16T00:00:00"/>
    <b v="0"/>
    <x v="0"/>
    <s v="Wants-based"/>
    <s v="Express"/>
    <n v="9"/>
  </r>
  <r>
    <x v="841"/>
    <x v="841"/>
    <x v="23"/>
    <x v="0"/>
    <x v="0"/>
    <x v="0"/>
    <x v="0"/>
    <x v="0"/>
    <x v="0"/>
    <x v="817"/>
    <s v="Dhahab"/>
    <s v="Dhahab"/>
    <s v="Toys &amp; Games"/>
    <n v="354.92"/>
    <n v="8"/>
    <s v="Mixed"/>
    <x v="0"/>
    <n v="4"/>
    <n v="0"/>
    <s v="None"/>
    <s v="Somewhat Sensitive"/>
    <n v="0"/>
    <n v="1"/>
    <s v="None"/>
    <s v="Tablet"/>
    <s v="Debit Card"/>
    <d v="2024-02-17T00:00:00"/>
    <b v="1"/>
    <x v="1"/>
    <s v="Wants-based"/>
    <s v="Express"/>
    <n v="13"/>
  </r>
  <r>
    <x v="842"/>
    <x v="842"/>
    <x v="24"/>
    <x v="0"/>
    <x v="0"/>
    <x v="1"/>
    <x v="1"/>
    <x v="1"/>
    <x v="1"/>
    <x v="818"/>
    <s v="Vetluga"/>
    <s v="Vetluga"/>
    <s v="Jewelry &amp; Accessories"/>
    <n v="195.46"/>
    <n v="10"/>
    <s v="Mixed"/>
    <x v="0"/>
    <n v="3"/>
    <n v="2"/>
    <s v="None"/>
    <s v="Not Sensitive"/>
    <n v="0"/>
    <n v="10"/>
    <s v="Low"/>
    <s v="Tablet"/>
    <s v="Other"/>
    <d v="2024-07-07T00:00:00"/>
    <b v="1"/>
    <x v="0"/>
    <s v="Impulsive"/>
    <s v="Standard"/>
    <n v="9"/>
  </r>
  <r>
    <x v="843"/>
    <x v="843"/>
    <x v="13"/>
    <x v="0"/>
    <x v="0"/>
    <x v="1"/>
    <x v="0"/>
    <x v="2"/>
    <x v="0"/>
    <x v="819"/>
    <s v="Wolfsberg"/>
    <s v="Wolfsberg"/>
    <s v="Books"/>
    <n v="474.03"/>
    <n v="7"/>
    <s v="In-Store"/>
    <x v="1"/>
    <n v="1"/>
    <n v="1"/>
    <s v="Medium"/>
    <s v="Somewhat Sensitive"/>
    <n v="0"/>
    <n v="6"/>
    <s v="High"/>
    <s v="Desktop"/>
    <s v="Other"/>
    <d v="2024-08-03T00:00:00"/>
    <b v="1"/>
    <x v="1"/>
    <s v="Need-based"/>
    <s v="Standard"/>
    <n v="13"/>
  </r>
  <r>
    <x v="844"/>
    <x v="844"/>
    <x v="23"/>
    <x v="1"/>
    <x v="1"/>
    <x v="0"/>
    <x v="0"/>
    <x v="0"/>
    <x v="1"/>
    <x v="820"/>
    <s v="San Bautista"/>
    <s v="San Bautista"/>
    <s v="Animal Feed"/>
    <n v="106.96"/>
    <n v="6"/>
    <s v="In-Store"/>
    <x v="1"/>
    <n v="1"/>
    <n v="2"/>
    <s v="Low"/>
    <s v="Not Sensitive"/>
    <n v="0"/>
    <n v="7"/>
    <s v="Medium"/>
    <s v="Tablet"/>
    <s v="Debit Card"/>
    <d v="2024-03-09T00:00:00"/>
    <b v="1"/>
    <x v="1"/>
    <s v="Impulsive"/>
    <s v="Standard"/>
    <n v="3"/>
  </r>
  <r>
    <x v="845"/>
    <x v="845"/>
    <x v="3"/>
    <x v="0"/>
    <x v="0"/>
    <x v="0"/>
    <x v="0"/>
    <x v="2"/>
    <x v="1"/>
    <x v="821"/>
    <s v="Reuleuet"/>
    <s v="Reuleuet"/>
    <s v="Electronics"/>
    <n v="371.84"/>
    <n v="9"/>
    <s v="In-Store"/>
    <x v="0"/>
    <n v="4"/>
    <n v="0"/>
    <s v="None"/>
    <s v="Not Sensitive"/>
    <n v="2"/>
    <n v="6"/>
    <s v="None"/>
    <s v="Tablet"/>
    <s v="Other"/>
    <d v="2024-07-28T00:00:00"/>
    <b v="0"/>
    <x v="1"/>
    <s v="Impulsive"/>
    <s v="Standard"/>
    <n v="2"/>
  </r>
  <r>
    <x v="846"/>
    <x v="846"/>
    <x v="5"/>
    <x v="2"/>
    <x v="5"/>
    <x v="1"/>
    <x v="1"/>
    <x v="0"/>
    <x v="1"/>
    <x v="822"/>
    <s v="Lonpao Dajah"/>
    <s v="Lonpao Dajah"/>
    <s v="Health Supplements"/>
    <n v="461.16"/>
    <n v="8"/>
    <s v="Mixed"/>
    <x v="3"/>
    <n v="4"/>
    <n v="1"/>
    <s v="High"/>
    <s v="Not Sensitive"/>
    <n v="0"/>
    <n v="3"/>
    <s v="Medium"/>
    <s v="Smartphone"/>
    <s v="Other"/>
    <d v="2024-02-29T00:00:00"/>
    <b v="1"/>
    <x v="1"/>
    <s v="Planned"/>
    <s v="Express"/>
    <n v="14"/>
  </r>
  <r>
    <x v="847"/>
    <x v="847"/>
    <x v="2"/>
    <x v="0"/>
    <x v="0"/>
    <x v="1"/>
    <x v="1"/>
    <x v="1"/>
    <x v="0"/>
    <x v="823"/>
    <s v="Nanqiao"/>
    <s v="Nanqiao"/>
    <s v="Books"/>
    <n v="497.75"/>
    <n v="11"/>
    <s v="In-Store"/>
    <x v="4"/>
    <n v="1"/>
    <n v="2"/>
    <s v="None"/>
    <s v="Very Sensitive"/>
    <n v="2"/>
    <n v="1"/>
    <s v="Medium"/>
    <s v="Smartphone"/>
    <s v="Cash"/>
    <d v="2024-07-03T00:00:00"/>
    <b v="1"/>
    <x v="0"/>
    <s v="Wants-based"/>
    <s v="Express"/>
    <n v="13"/>
  </r>
  <r>
    <x v="848"/>
    <x v="848"/>
    <x v="5"/>
    <x v="0"/>
    <x v="0"/>
    <x v="0"/>
    <x v="0"/>
    <x v="2"/>
    <x v="0"/>
    <x v="784"/>
    <s v="San Carlos"/>
    <s v="San Carlos"/>
    <s v="Health Care"/>
    <n v="492.83"/>
    <n v="5"/>
    <s v="Online"/>
    <x v="2"/>
    <n v="1"/>
    <n v="0"/>
    <s v="High"/>
    <s v="Very Sensitive"/>
    <n v="0"/>
    <n v="4"/>
    <s v="High"/>
    <s v="Tablet"/>
    <s v="Debit Card"/>
    <d v="2024-03-02T00:00:00"/>
    <b v="1"/>
    <x v="0"/>
    <s v="Need-based"/>
    <s v="No Preference"/>
    <n v="2"/>
  </r>
  <r>
    <x v="849"/>
    <x v="849"/>
    <x v="7"/>
    <x v="0"/>
    <x v="0"/>
    <x v="0"/>
    <x v="3"/>
    <x v="1"/>
    <x v="0"/>
    <x v="824"/>
    <s v="Ishikawa"/>
    <s v="Ishikawa"/>
    <s v="Groceries"/>
    <n v="295.54000000000002"/>
    <n v="8"/>
    <s v="Online"/>
    <x v="1"/>
    <n v="3"/>
    <n v="1"/>
    <s v="None"/>
    <s v="Very Sensitive"/>
    <n v="2"/>
    <n v="4"/>
    <s v="Low"/>
    <s v="Tablet"/>
    <s v="Cash"/>
    <d v="2024-07-27T00:00:00"/>
    <b v="0"/>
    <x v="0"/>
    <s v="Planned"/>
    <s v="Express"/>
    <n v="14"/>
  </r>
  <r>
    <x v="850"/>
    <x v="850"/>
    <x v="13"/>
    <x v="1"/>
    <x v="1"/>
    <x v="1"/>
    <x v="2"/>
    <x v="1"/>
    <x v="1"/>
    <x v="825"/>
    <s v="Oguma"/>
    <s v="Oguma"/>
    <s v="Furniture"/>
    <n v="494.81"/>
    <n v="9"/>
    <s v="Mixed"/>
    <x v="2"/>
    <n v="4"/>
    <n v="1"/>
    <s v="Medium"/>
    <s v="Very Sensitive"/>
    <n v="1"/>
    <n v="7"/>
    <s v="Medium"/>
    <s v="Tablet"/>
    <s v="PayPal"/>
    <d v="2024-05-26T00:00:00"/>
    <b v="1"/>
    <x v="1"/>
    <s v="Need-based"/>
    <s v="Standard"/>
    <n v="6"/>
  </r>
  <r>
    <x v="851"/>
    <x v="851"/>
    <x v="6"/>
    <x v="0"/>
    <x v="0"/>
    <x v="1"/>
    <x v="1"/>
    <x v="2"/>
    <x v="0"/>
    <x v="826"/>
    <s v="Tany"/>
    <s v="Tؤ›إ،any"/>
    <s v="Mobile Accessories"/>
    <n v="160.25"/>
    <n v="7"/>
    <s v="Online"/>
    <x v="2"/>
    <n v="3"/>
    <n v="2"/>
    <s v="None"/>
    <s v="Very Sensitive"/>
    <n v="2"/>
    <n v="5"/>
    <s v="High"/>
    <s v="Desktop"/>
    <s v="PayPal"/>
    <d v="2024-03-04T00:00:00"/>
    <b v="1"/>
    <x v="1"/>
    <s v="Need-based"/>
    <s v="No Preference"/>
    <n v="12"/>
  </r>
  <r>
    <x v="852"/>
    <x v="852"/>
    <x v="21"/>
    <x v="0"/>
    <x v="0"/>
    <x v="0"/>
    <x v="0"/>
    <x v="2"/>
    <x v="1"/>
    <x v="827"/>
    <s v="Aksha"/>
    <s v="Aksha"/>
    <s v="Gardening &amp; Outdoors"/>
    <n v="198.36"/>
    <n v="4"/>
    <s v="Online"/>
    <x v="3"/>
    <n v="1"/>
    <n v="2"/>
    <s v="None"/>
    <s v="Somewhat Sensitive"/>
    <n v="1"/>
    <n v="9"/>
    <s v="None"/>
    <s v="Desktop"/>
    <s v="Cash"/>
    <d v="2024-12-13T00:00:00"/>
    <b v="0"/>
    <x v="1"/>
    <s v="Wants-based"/>
    <s v="Standard"/>
    <n v="4"/>
  </r>
  <r>
    <x v="853"/>
    <x v="853"/>
    <x v="32"/>
    <x v="0"/>
    <x v="0"/>
    <x v="0"/>
    <x v="3"/>
    <x v="0"/>
    <x v="1"/>
    <x v="828"/>
    <s v="Lahan Sai"/>
    <s v="Lahan Sai"/>
    <s v="Furniture"/>
    <n v="82.39"/>
    <n v="12"/>
    <s v="In-Store"/>
    <x v="0"/>
    <n v="1"/>
    <n v="1"/>
    <s v="None"/>
    <s v="Somewhat Sensitive"/>
    <n v="0"/>
    <n v="8"/>
    <s v="None"/>
    <s v="Smartphone"/>
    <s v="Other"/>
    <d v="2024-02-24T00:00:00"/>
    <b v="0"/>
    <x v="0"/>
    <s v="Planned"/>
    <s v="Express"/>
    <n v="1"/>
  </r>
  <r>
    <x v="854"/>
    <x v="854"/>
    <x v="19"/>
    <x v="0"/>
    <x v="0"/>
    <x v="0"/>
    <x v="0"/>
    <x v="2"/>
    <x v="1"/>
    <x v="829"/>
    <s v="Estncia"/>
    <s v="Estأ¢ncia"/>
    <s v="Hotels"/>
    <n v="290.56"/>
    <n v="3"/>
    <s v="In-Store"/>
    <x v="0"/>
    <n v="1"/>
    <n v="2"/>
    <s v="None"/>
    <s v="Somewhat Sensitive"/>
    <n v="1"/>
    <n v="1"/>
    <s v="None"/>
    <s v="Desktop"/>
    <s v="PayPal"/>
    <d v="2024-03-12T00:00:00"/>
    <b v="1"/>
    <x v="0"/>
    <s v="Wants-based"/>
    <s v="No Preference"/>
    <n v="4"/>
  </r>
  <r>
    <x v="855"/>
    <x v="855"/>
    <x v="3"/>
    <x v="1"/>
    <x v="1"/>
    <x v="1"/>
    <x v="3"/>
    <x v="2"/>
    <x v="1"/>
    <x v="830"/>
    <s v="Las Lomas"/>
    <s v="Las Lomas"/>
    <s v="Animal Feed"/>
    <n v="206.79"/>
    <n v="5"/>
    <s v="In-Store"/>
    <x v="3"/>
    <n v="3"/>
    <n v="2"/>
    <s v="High"/>
    <s v="Very Sensitive"/>
    <n v="1"/>
    <n v="2"/>
    <s v="Low"/>
    <s v="Tablet"/>
    <s v="Credit Card"/>
    <d v="2024-08-21T00:00:00"/>
    <b v="0"/>
    <x v="0"/>
    <s v="Planned"/>
    <s v="Standard"/>
    <n v="4"/>
  </r>
  <r>
    <x v="856"/>
    <x v="856"/>
    <x v="24"/>
    <x v="0"/>
    <x v="0"/>
    <x v="0"/>
    <x v="0"/>
    <x v="1"/>
    <x v="1"/>
    <x v="831"/>
    <s v="Xiamayu"/>
    <s v="Xiamayu"/>
    <s v="Baby Products"/>
    <n v="401.43"/>
    <n v="8"/>
    <s v="Mixed"/>
    <x v="4"/>
    <n v="2"/>
    <n v="0"/>
    <s v="None"/>
    <s v="Not Sensitive"/>
    <n v="0"/>
    <n v="6"/>
    <s v="High"/>
    <s v="Tablet"/>
    <s v="Other"/>
    <d v="2024-05-23T00:00:00"/>
    <b v="1"/>
    <x v="1"/>
    <s v="Need-based"/>
    <s v="No Preference"/>
    <n v="5"/>
  </r>
  <r>
    <x v="857"/>
    <x v="857"/>
    <x v="6"/>
    <x v="1"/>
    <x v="1"/>
    <x v="1"/>
    <x v="2"/>
    <x v="2"/>
    <x v="1"/>
    <x v="832"/>
    <s v="Iapari"/>
    <s v="Iأ±apari"/>
    <s v="Sports &amp; Outdoors"/>
    <n v="188.17"/>
    <n v="9"/>
    <s v="Online"/>
    <x v="0"/>
    <n v="5"/>
    <n v="0"/>
    <s v="Medium"/>
    <s v="Not Sensitive"/>
    <n v="1"/>
    <n v="5"/>
    <s v="Low"/>
    <s v="Desktop"/>
    <s v="Debit Card"/>
    <d v="2024-05-26T00:00:00"/>
    <b v="1"/>
    <x v="0"/>
    <s v="Need-based"/>
    <s v="Standard"/>
    <n v="9"/>
  </r>
  <r>
    <x v="858"/>
    <x v="858"/>
    <x v="9"/>
    <x v="0"/>
    <x v="0"/>
    <x v="1"/>
    <x v="1"/>
    <x v="1"/>
    <x v="1"/>
    <x v="833"/>
    <s v="Orsay"/>
    <s v="Orsay"/>
    <s v="Gardening &amp; Outdoors"/>
    <n v="83.21"/>
    <n v="10"/>
    <s v="Online"/>
    <x v="4"/>
    <n v="3"/>
    <n v="2"/>
    <s v="Low"/>
    <s v="Somewhat Sensitive"/>
    <n v="0"/>
    <n v="4"/>
    <s v="High"/>
    <s v="Desktop"/>
    <s v="Other"/>
    <d v="2024-03-20T00:00:00"/>
    <b v="0"/>
    <x v="0"/>
    <s v="Impulsive"/>
    <s v="Standard"/>
    <n v="7"/>
  </r>
  <r>
    <x v="859"/>
    <x v="859"/>
    <x v="30"/>
    <x v="2"/>
    <x v="2"/>
    <x v="0"/>
    <x v="3"/>
    <x v="2"/>
    <x v="0"/>
    <x v="834"/>
    <s v="Zhongying"/>
    <s v="Zhongying"/>
    <s v="Gardening &amp; Outdoors"/>
    <n v="54.74"/>
    <n v="4"/>
    <s v="In-Store"/>
    <x v="3"/>
    <n v="2"/>
    <n v="0"/>
    <s v="None"/>
    <s v="Somewhat Sensitive"/>
    <n v="0"/>
    <n v="4"/>
    <s v="Low"/>
    <s v="Smartphone"/>
    <s v="PayPal"/>
    <d v="2024-10-03T00:00:00"/>
    <b v="1"/>
    <x v="1"/>
    <s v="Impulsive"/>
    <s v="No Preference"/>
    <n v="14"/>
  </r>
  <r>
    <x v="860"/>
    <x v="860"/>
    <x v="1"/>
    <x v="0"/>
    <x v="0"/>
    <x v="1"/>
    <x v="3"/>
    <x v="2"/>
    <x v="1"/>
    <x v="835"/>
    <s v="Bayn"/>
    <s v="Bayل¸©ؤپn"/>
    <s v="Office Supplies"/>
    <n v="371.12"/>
    <n v="8"/>
    <s v="Online"/>
    <x v="0"/>
    <n v="1"/>
    <n v="2"/>
    <s v="High"/>
    <s v="Somewhat Sensitive"/>
    <n v="1"/>
    <n v="7"/>
    <s v="Low"/>
    <s v="Smartphone"/>
    <s v="PayPal"/>
    <d v="2024-08-23T00:00:00"/>
    <b v="0"/>
    <x v="1"/>
    <s v="Wants-based"/>
    <s v="No Preference"/>
    <n v="8"/>
  </r>
  <r>
    <x v="861"/>
    <x v="861"/>
    <x v="11"/>
    <x v="2"/>
    <x v="3"/>
    <x v="0"/>
    <x v="1"/>
    <x v="1"/>
    <x v="0"/>
    <x v="836"/>
    <s v="Beizhakou"/>
    <s v="Beizhakou"/>
    <s v="Packages)"/>
    <n v="293.64"/>
    <n v="3"/>
    <s v="In-Store"/>
    <x v="2"/>
    <n v="1"/>
    <n v="2"/>
    <s v="Low"/>
    <s v="Not Sensitive"/>
    <n v="2"/>
    <n v="8"/>
    <s v="None"/>
    <s v="Tablet"/>
    <s v="Credit Card"/>
    <d v="2024-09-17T00:00:00"/>
    <b v="1"/>
    <x v="0"/>
    <s v="Impulsive"/>
    <s v="Express"/>
    <n v="5"/>
  </r>
  <r>
    <x v="862"/>
    <x v="862"/>
    <x v="2"/>
    <x v="1"/>
    <x v="1"/>
    <x v="1"/>
    <x v="0"/>
    <x v="1"/>
    <x v="1"/>
    <x v="837"/>
    <s v="Kyngsng"/>
    <s v="Kyإڈngsإڈng"/>
    <s v="Books"/>
    <n v="185.83"/>
    <n v="11"/>
    <s v="In-Store"/>
    <x v="4"/>
    <n v="2"/>
    <n v="2"/>
    <s v="Low"/>
    <s v="Not Sensitive"/>
    <n v="2"/>
    <n v="9"/>
    <s v="Medium"/>
    <s v="Desktop"/>
    <s v="Other"/>
    <d v="2024-10-17T00:00:00"/>
    <b v="0"/>
    <x v="1"/>
    <s v="Impulsive"/>
    <s v="Standard"/>
    <n v="1"/>
  </r>
  <r>
    <x v="863"/>
    <x v="863"/>
    <x v="23"/>
    <x v="1"/>
    <x v="1"/>
    <x v="1"/>
    <x v="3"/>
    <x v="2"/>
    <x v="0"/>
    <x v="838"/>
    <s v="Turinsk"/>
    <s v="Turinsk"/>
    <s v="Office Supplies"/>
    <n v="117.13"/>
    <n v="7"/>
    <s v="Mixed"/>
    <x v="3"/>
    <n v="1"/>
    <n v="2"/>
    <s v="High"/>
    <s v="Somewhat Sensitive"/>
    <n v="1"/>
    <n v="10"/>
    <s v="High"/>
    <s v="Smartphone"/>
    <s v="Credit Card"/>
    <d v="2024-08-08T00:00:00"/>
    <b v="1"/>
    <x v="1"/>
    <s v="Planned"/>
    <s v="Express"/>
    <n v="6"/>
  </r>
  <r>
    <x v="864"/>
    <x v="864"/>
    <x v="32"/>
    <x v="0"/>
    <x v="0"/>
    <x v="0"/>
    <x v="0"/>
    <x v="2"/>
    <x v="1"/>
    <x v="839"/>
    <s v="As Sawd"/>
    <s v="As Sawdؤپ"/>
    <s v="Office Supplies"/>
    <n v="52.24"/>
    <n v="11"/>
    <s v="In-Store"/>
    <x v="1"/>
    <n v="1"/>
    <n v="0"/>
    <s v="Low"/>
    <s v="Not Sensitive"/>
    <n v="2"/>
    <n v="4"/>
    <s v="High"/>
    <s v="Smartphone"/>
    <s v="Credit Card"/>
    <d v="2024-12-12T00:00:00"/>
    <b v="1"/>
    <x v="1"/>
    <s v="Impulsive"/>
    <s v="Standard"/>
    <n v="8"/>
  </r>
  <r>
    <x v="865"/>
    <x v="865"/>
    <x v="31"/>
    <x v="0"/>
    <x v="0"/>
    <x v="1"/>
    <x v="0"/>
    <x v="0"/>
    <x v="1"/>
    <x v="840"/>
    <s v="Legaspi"/>
    <s v="Legaspi"/>
    <s v="Baby Products"/>
    <n v="446.69"/>
    <n v="7"/>
    <s v="In-Store"/>
    <x v="4"/>
    <n v="5"/>
    <n v="2"/>
    <s v="Medium"/>
    <s v="Somewhat Sensitive"/>
    <n v="1"/>
    <n v="5"/>
    <s v="High"/>
    <s v="Smartphone"/>
    <s v="Cash"/>
    <d v="2024-06-12T00:00:00"/>
    <b v="0"/>
    <x v="1"/>
    <s v="Planned"/>
    <s v="No Preference"/>
    <n v="13"/>
  </r>
  <r>
    <x v="866"/>
    <x v="866"/>
    <x v="25"/>
    <x v="1"/>
    <x v="1"/>
    <x v="0"/>
    <x v="0"/>
    <x v="1"/>
    <x v="0"/>
    <x v="841"/>
    <s v="Shimorskoye"/>
    <s v="Shimorskoye"/>
    <s v="Packages)"/>
    <n v="216.84"/>
    <n v="5"/>
    <s v="In-Store"/>
    <x v="4"/>
    <n v="3"/>
    <n v="1"/>
    <s v="Low"/>
    <s v="Somewhat Sensitive"/>
    <n v="1"/>
    <n v="1"/>
    <s v="Low"/>
    <s v="Tablet"/>
    <s v="PayPal"/>
    <d v="2024-03-28T00:00:00"/>
    <b v="0"/>
    <x v="0"/>
    <s v="Planned"/>
    <s v="Express"/>
    <n v="5"/>
  </r>
  <r>
    <x v="867"/>
    <x v="867"/>
    <x v="21"/>
    <x v="0"/>
    <x v="0"/>
    <x v="1"/>
    <x v="3"/>
    <x v="1"/>
    <x v="1"/>
    <x v="842"/>
    <s v="Koإ›cielec"/>
    <s v="Koإ›cielec"/>
    <s v="Electronics"/>
    <n v="75.27"/>
    <n v="7"/>
    <s v="Mixed"/>
    <x v="1"/>
    <n v="4"/>
    <n v="1"/>
    <s v="None"/>
    <s v="Not Sensitive"/>
    <n v="2"/>
    <n v="3"/>
    <s v="None"/>
    <s v="Desktop"/>
    <s v="PayPal"/>
    <d v="2024-12-27T00:00:00"/>
    <b v="1"/>
    <x v="1"/>
    <s v="Impulsive"/>
    <s v="Express"/>
    <n v="1"/>
  </r>
  <r>
    <x v="868"/>
    <x v="868"/>
    <x v="28"/>
    <x v="1"/>
    <x v="1"/>
    <x v="0"/>
    <x v="2"/>
    <x v="2"/>
    <x v="1"/>
    <x v="843"/>
    <s v="Yongfu"/>
    <s v="Yongfu"/>
    <s v="Office Supplies"/>
    <n v="308.87"/>
    <n v="2"/>
    <s v="In-Store"/>
    <x v="1"/>
    <n v="4"/>
    <n v="1"/>
    <s v="None"/>
    <s v="Not Sensitive"/>
    <n v="2"/>
    <n v="2"/>
    <s v="None"/>
    <s v="Tablet"/>
    <s v="Cash"/>
    <d v="2024-02-24T00:00:00"/>
    <b v="1"/>
    <x v="1"/>
    <s v="Impulsive"/>
    <s v="Express"/>
    <n v="11"/>
  </r>
  <r>
    <x v="869"/>
    <x v="869"/>
    <x v="1"/>
    <x v="1"/>
    <x v="1"/>
    <x v="1"/>
    <x v="3"/>
    <x v="2"/>
    <x v="0"/>
    <x v="844"/>
    <s v="Vinkkil"/>
    <s v="Vinkkilأ¤"/>
    <s v="Travel &amp; Leisure (Flights"/>
    <n v="169.77"/>
    <n v="5"/>
    <s v="In-Store"/>
    <x v="3"/>
    <n v="4"/>
    <n v="0"/>
    <s v="Medium"/>
    <s v="Very Sensitive"/>
    <n v="2"/>
    <n v="9"/>
    <s v="None"/>
    <s v="Desktop"/>
    <s v="Other"/>
    <d v="2024-06-15T00:00:00"/>
    <b v="1"/>
    <x v="1"/>
    <s v="Wants-based"/>
    <s v="Standard"/>
    <n v="7"/>
  </r>
  <r>
    <x v="870"/>
    <x v="870"/>
    <x v="24"/>
    <x v="1"/>
    <x v="1"/>
    <x v="1"/>
    <x v="3"/>
    <x v="1"/>
    <x v="1"/>
    <x v="845"/>
    <s v="Revolucion Verde"/>
    <s v="Revolucion Verde"/>
    <s v="Toys &amp; Games"/>
    <n v="289.08"/>
    <n v="12"/>
    <s v="Online"/>
    <x v="2"/>
    <n v="1"/>
    <n v="0"/>
    <s v="None"/>
    <s v="Very Sensitive"/>
    <n v="1"/>
    <n v="10"/>
    <s v="Medium"/>
    <s v="Desktop"/>
    <s v="Other"/>
    <d v="2024-08-14T00:00:00"/>
    <b v="1"/>
    <x v="1"/>
    <s v="Wants-based"/>
    <s v="Standard"/>
    <n v="7"/>
  </r>
  <r>
    <x v="871"/>
    <x v="871"/>
    <x v="9"/>
    <x v="0"/>
    <x v="0"/>
    <x v="0"/>
    <x v="1"/>
    <x v="1"/>
    <x v="1"/>
    <x v="846"/>
    <s v="Newton"/>
    <s v="Newton"/>
    <s v="Travel &amp; Leisure (Flights"/>
    <n v="74.09"/>
    <n v="10"/>
    <s v="Mixed"/>
    <x v="3"/>
    <n v="4"/>
    <n v="2"/>
    <s v="None"/>
    <s v="Somewhat Sensitive"/>
    <n v="2"/>
    <n v="9"/>
    <s v="Low"/>
    <s v="Tablet"/>
    <s v="Other"/>
    <d v="2024-05-15T00:00:00"/>
    <b v="1"/>
    <x v="1"/>
    <s v="Impulsive"/>
    <s v="Standard"/>
    <n v="8"/>
  </r>
  <r>
    <x v="872"/>
    <x v="872"/>
    <x v="20"/>
    <x v="1"/>
    <x v="1"/>
    <x v="1"/>
    <x v="0"/>
    <x v="1"/>
    <x v="0"/>
    <x v="847"/>
    <s v="Nantang"/>
    <s v="Nantang"/>
    <s v="Travel &amp; Leisure (Flights"/>
    <n v="201.53"/>
    <n v="5"/>
    <s v="Online"/>
    <x v="2"/>
    <n v="3"/>
    <n v="1"/>
    <s v="None"/>
    <s v="Not Sensitive"/>
    <n v="1"/>
    <n v="6"/>
    <s v="High"/>
    <s v="Tablet"/>
    <s v="Other"/>
    <d v="2024-06-01T00:00:00"/>
    <b v="0"/>
    <x v="1"/>
    <s v="Wants-based"/>
    <s v="No Preference"/>
    <n v="11"/>
  </r>
  <r>
    <x v="873"/>
    <x v="873"/>
    <x v="9"/>
    <x v="1"/>
    <x v="1"/>
    <x v="0"/>
    <x v="3"/>
    <x v="0"/>
    <x v="1"/>
    <x v="848"/>
    <s v="Perugia"/>
    <s v="Perugia"/>
    <s v="Arts &amp; Crafts"/>
    <n v="244.6"/>
    <n v="12"/>
    <s v="Online"/>
    <x v="4"/>
    <n v="4"/>
    <n v="2"/>
    <s v="Medium"/>
    <s v="Somewhat Sensitive"/>
    <n v="0"/>
    <n v="6"/>
    <s v="None"/>
    <s v="Tablet"/>
    <s v="Other"/>
    <d v="2024-08-25T00:00:00"/>
    <b v="0"/>
    <x v="0"/>
    <s v="Wants-based"/>
    <s v="Standard"/>
    <n v="3"/>
  </r>
  <r>
    <x v="874"/>
    <x v="874"/>
    <x v="6"/>
    <x v="1"/>
    <x v="1"/>
    <x v="0"/>
    <x v="2"/>
    <x v="0"/>
    <x v="1"/>
    <x v="849"/>
    <s v="Tancheng"/>
    <s v="Tancheng"/>
    <s v="Software &amp; Apps"/>
    <n v="320.5"/>
    <n v="10"/>
    <s v="In-Store"/>
    <x v="1"/>
    <n v="4"/>
    <n v="2"/>
    <s v="Low"/>
    <s v="Somewhat Sensitive"/>
    <n v="0"/>
    <n v="9"/>
    <s v="Low"/>
    <s v="Tablet"/>
    <s v="Cash"/>
    <d v="2024-03-01T00:00:00"/>
    <b v="1"/>
    <x v="0"/>
    <s v="Need-based"/>
    <s v="Express"/>
    <n v="9"/>
  </r>
  <r>
    <x v="875"/>
    <x v="875"/>
    <x v="23"/>
    <x v="1"/>
    <x v="1"/>
    <x v="0"/>
    <x v="2"/>
    <x v="2"/>
    <x v="0"/>
    <x v="850"/>
    <s v="Leon Postigo"/>
    <s v="Leon Postigo"/>
    <s v="Jewelry &amp; Accessories"/>
    <n v="91.63"/>
    <n v="3"/>
    <s v="In-Store"/>
    <x v="0"/>
    <n v="2"/>
    <n v="2"/>
    <s v="None"/>
    <s v="Not Sensitive"/>
    <n v="0"/>
    <n v="10"/>
    <s v="None"/>
    <s v="Tablet"/>
    <s v="Debit Card"/>
    <d v="2024-06-30T00:00:00"/>
    <b v="1"/>
    <x v="1"/>
    <s v="Wants-based"/>
    <s v="Standard"/>
    <n v="2"/>
  </r>
  <r>
    <x v="876"/>
    <x v="876"/>
    <x v="22"/>
    <x v="1"/>
    <x v="1"/>
    <x v="0"/>
    <x v="0"/>
    <x v="2"/>
    <x v="1"/>
    <x v="851"/>
    <s v="Bollne"/>
    <s v="Bollأ¨ne"/>
    <s v="Sports &amp; Outdoors"/>
    <n v="251.93"/>
    <n v="8"/>
    <s v="In-Store"/>
    <x v="1"/>
    <n v="2"/>
    <n v="1"/>
    <s v="High"/>
    <s v="Very Sensitive"/>
    <n v="2"/>
    <n v="3"/>
    <s v="None"/>
    <s v="Tablet"/>
    <s v="Debit Card"/>
    <d v="2024-01-02T00:00:00"/>
    <b v="0"/>
    <x v="0"/>
    <s v="Need-based"/>
    <s v="Standard"/>
    <n v="7"/>
  </r>
  <r>
    <x v="877"/>
    <x v="877"/>
    <x v="12"/>
    <x v="1"/>
    <x v="1"/>
    <x v="0"/>
    <x v="0"/>
    <x v="0"/>
    <x v="0"/>
    <x v="852"/>
    <s v="Baihe"/>
    <s v="Baihe"/>
    <s v="Luxury Goods"/>
    <n v="477.35"/>
    <n v="4"/>
    <s v="Online"/>
    <x v="2"/>
    <n v="5"/>
    <n v="0"/>
    <s v="High"/>
    <s v="Very Sensitive"/>
    <n v="1"/>
    <n v="2"/>
    <s v="Low"/>
    <s v="Desktop"/>
    <s v="PayPal"/>
    <d v="2024-12-28T00:00:00"/>
    <b v="0"/>
    <x v="0"/>
    <s v="Need-based"/>
    <s v="No Preference"/>
    <n v="14"/>
  </r>
  <r>
    <x v="878"/>
    <x v="878"/>
    <x v="16"/>
    <x v="1"/>
    <x v="1"/>
    <x v="1"/>
    <x v="2"/>
    <x v="2"/>
    <x v="0"/>
    <x v="853"/>
    <s v="Puqi"/>
    <s v="Puqi"/>
    <s v="Baby Products"/>
    <n v="86.63"/>
    <n v="10"/>
    <s v="Mixed"/>
    <x v="1"/>
    <n v="1"/>
    <n v="2"/>
    <s v="Medium"/>
    <s v="Somewhat Sensitive"/>
    <n v="2"/>
    <n v="2"/>
    <s v="Low"/>
    <s v="Tablet"/>
    <s v="Cash"/>
    <d v="2024-09-02T00:00:00"/>
    <b v="1"/>
    <x v="0"/>
    <s v="Wants-based"/>
    <s v="Express"/>
    <n v="3"/>
  </r>
  <r>
    <x v="879"/>
    <x v="879"/>
    <x v="17"/>
    <x v="2"/>
    <x v="2"/>
    <x v="1"/>
    <x v="3"/>
    <x v="1"/>
    <x v="1"/>
    <x v="854"/>
    <s v="Pedraza"/>
    <s v="Pedraza"/>
    <s v="Health Care"/>
    <n v="474.42"/>
    <n v="4"/>
    <s v="In-Store"/>
    <x v="2"/>
    <n v="3"/>
    <n v="0"/>
    <s v="Medium"/>
    <s v="Not Sensitive"/>
    <n v="1"/>
    <n v="9"/>
    <s v="None"/>
    <s v="Desktop"/>
    <s v="Debit Card"/>
    <d v="2024-09-21T00:00:00"/>
    <b v="1"/>
    <x v="0"/>
    <s v="Need-based"/>
    <s v="No Preference"/>
    <n v="5"/>
  </r>
  <r>
    <x v="880"/>
    <x v="880"/>
    <x v="10"/>
    <x v="0"/>
    <x v="0"/>
    <x v="1"/>
    <x v="2"/>
    <x v="1"/>
    <x v="1"/>
    <x v="304"/>
    <s v="Hoolt"/>
    <s v="Hoolt"/>
    <s v="Gardening &amp; Outdoors"/>
    <n v="429.24"/>
    <n v="7"/>
    <s v="Mixed"/>
    <x v="1"/>
    <n v="5"/>
    <n v="1"/>
    <s v="High"/>
    <s v="Not Sensitive"/>
    <n v="0"/>
    <n v="1"/>
    <s v="Low"/>
    <s v="Tablet"/>
    <s v="Debit Card"/>
    <d v="2024-03-27T00:00:00"/>
    <b v="0"/>
    <x v="0"/>
    <s v="Need-based"/>
    <s v="No Preference"/>
    <n v="10"/>
  </r>
  <r>
    <x v="881"/>
    <x v="881"/>
    <x v="2"/>
    <x v="0"/>
    <x v="0"/>
    <x v="1"/>
    <x v="0"/>
    <x v="1"/>
    <x v="1"/>
    <x v="855"/>
    <s v="Pasinan Barat"/>
    <s v="Pasinan Barat"/>
    <s v="Home Appliances"/>
    <n v="470.38"/>
    <n v="8"/>
    <s v="Mixed"/>
    <x v="2"/>
    <n v="4"/>
    <n v="0"/>
    <s v="Medium"/>
    <s v="Not Sensitive"/>
    <n v="2"/>
    <n v="3"/>
    <s v="High"/>
    <s v="Smartphone"/>
    <s v="Other"/>
    <d v="2024-11-11T00:00:00"/>
    <b v="1"/>
    <x v="1"/>
    <s v="Impulsive"/>
    <s v="Standard"/>
    <n v="9"/>
  </r>
  <r>
    <x v="882"/>
    <x v="882"/>
    <x v="11"/>
    <x v="0"/>
    <x v="0"/>
    <x v="0"/>
    <x v="1"/>
    <x v="2"/>
    <x v="1"/>
    <x v="856"/>
    <s v="Saltpond"/>
    <s v="Saltpond"/>
    <s v="Gardening &amp; Outdoors"/>
    <n v="495.8"/>
    <n v="4"/>
    <s v="Mixed"/>
    <x v="3"/>
    <n v="2"/>
    <n v="1"/>
    <s v="Low"/>
    <s v="Not Sensitive"/>
    <n v="0"/>
    <n v="7"/>
    <s v="None"/>
    <s v="Tablet"/>
    <s v="PayPal"/>
    <d v="2024-09-16T00:00:00"/>
    <b v="1"/>
    <x v="1"/>
    <s v="Wants-based"/>
    <s v="Standard"/>
    <n v="10"/>
  </r>
  <r>
    <x v="883"/>
    <x v="883"/>
    <x v="6"/>
    <x v="0"/>
    <x v="0"/>
    <x v="1"/>
    <x v="2"/>
    <x v="0"/>
    <x v="0"/>
    <x v="857"/>
    <s v="Rende"/>
    <s v="Rende"/>
    <s v="Electronics"/>
    <n v="129.63999999999999"/>
    <n v="4"/>
    <s v="In-Store"/>
    <x v="1"/>
    <n v="1"/>
    <n v="2"/>
    <s v="None"/>
    <s v="Not Sensitive"/>
    <n v="1"/>
    <n v="3"/>
    <s v="Low"/>
    <s v="Desktop"/>
    <s v="Debit Card"/>
    <d v="2024-05-27T00:00:00"/>
    <b v="0"/>
    <x v="1"/>
    <s v="Need-based"/>
    <s v="Express"/>
    <n v="3"/>
  </r>
  <r>
    <x v="884"/>
    <x v="884"/>
    <x v="30"/>
    <x v="1"/>
    <x v="1"/>
    <x v="0"/>
    <x v="1"/>
    <x v="2"/>
    <x v="1"/>
    <x v="858"/>
    <s v="Zarasai"/>
    <s v="Zarasai"/>
    <s v="Mobile Accessories"/>
    <n v="473.77"/>
    <n v="9"/>
    <s v="Online"/>
    <x v="1"/>
    <n v="1"/>
    <n v="2"/>
    <s v="Medium"/>
    <s v="Very Sensitive"/>
    <n v="2"/>
    <n v="9"/>
    <s v="None"/>
    <s v="Desktop"/>
    <s v="PayPal"/>
    <d v="2024-05-02T00:00:00"/>
    <b v="0"/>
    <x v="0"/>
    <s v="Wants-based"/>
    <s v="No Preference"/>
    <n v="13"/>
  </r>
  <r>
    <x v="885"/>
    <x v="885"/>
    <x v="13"/>
    <x v="0"/>
    <x v="0"/>
    <x v="1"/>
    <x v="0"/>
    <x v="1"/>
    <x v="0"/>
    <x v="859"/>
    <s v="Nanchangshan"/>
    <s v="Nanchangshan"/>
    <s v="Electronics"/>
    <n v="130.84"/>
    <n v="4"/>
    <s v="Online"/>
    <x v="0"/>
    <n v="5"/>
    <n v="2"/>
    <s v="Medium"/>
    <s v="Very Sensitive"/>
    <n v="2"/>
    <n v="10"/>
    <s v="Low"/>
    <s v="Tablet"/>
    <s v="PayPal"/>
    <d v="2024-09-13T00:00:00"/>
    <b v="1"/>
    <x v="1"/>
    <s v="Need-based"/>
    <s v="Standard"/>
    <n v="13"/>
  </r>
  <r>
    <x v="886"/>
    <x v="886"/>
    <x v="18"/>
    <x v="1"/>
    <x v="1"/>
    <x v="0"/>
    <x v="1"/>
    <x v="2"/>
    <x v="1"/>
    <x v="860"/>
    <s v="Pegأµes"/>
    <s v="Pegأµes"/>
    <s v="Groceries"/>
    <n v="436.54"/>
    <n v="12"/>
    <s v="Online"/>
    <x v="1"/>
    <n v="3"/>
    <n v="0"/>
    <s v="Medium"/>
    <s v="Very Sensitive"/>
    <n v="1"/>
    <n v="8"/>
    <s v="Low"/>
    <s v="Smartphone"/>
    <s v="Debit Card"/>
    <d v="2024-05-30T00:00:00"/>
    <b v="1"/>
    <x v="0"/>
    <s v="Wants-based"/>
    <s v="No Preference"/>
    <n v="9"/>
  </r>
  <r>
    <x v="887"/>
    <x v="887"/>
    <x v="8"/>
    <x v="0"/>
    <x v="0"/>
    <x v="0"/>
    <x v="2"/>
    <x v="0"/>
    <x v="0"/>
    <x v="861"/>
    <s v="Esprito Santo do Pinhal"/>
    <s v="Espأ­rito Santo do Pinhal"/>
    <s v="Animal Feed"/>
    <n v="264.01"/>
    <n v="4"/>
    <s v="In-Store"/>
    <x v="1"/>
    <n v="4"/>
    <n v="0"/>
    <s v="High"/>
    <s v="Somewhat Sensitive"/>
    <n v="1"/>
    <n v="5"/>
    <s v="None"/>
    <s v="Desktop"/>
    <s v="Other"/>
    <d v="2024-10-21T00:00:00"/>
    <b v="1"/>
    <x v="0"/>
    <s v="Need-based"/>
    <s v="No Preference"/>
    <n v="2"/>
  </r>
  <r>
    <x v="888"/>
    <x v="888"/>
    <x v="12"/>
    <x v="0"/>
    <x v="0"/>
    <x v="1"/>
    <x v="3"/>
    <x v="0"/>
    <x v="1"/>
    <x v="862"/>
    <s v="jezd"/>
    <s v="أڑjezd"/>
    <s v="Travel &amp; Leisure (Flights"/>
    <n v="58.27"/>
    <n v="2"/>
    <s v="In-Store"/>
    <x v="0"/>
    <n v="4"/>
    <n v="1"/>
    <s v="Medium"/>
    <s v="Somewhat Sensitive"/>
    <n v="1"/>
    <n v="4"/>
    <s v="Medium"/>
    <s v="Smartphone"/>
    <s v="Cash"/>
    <d v="2024-10-15T00:00:00"/>
    <b v="0"/>
    <x v="1"/>
    <s v="Need-based"/>
    <s v="No Preference"/>
    <n v="13"/>
  </r>
  <r>
    <x v="889"/>
    <x v="889"/>
    <x v="8"/>
    <x v="1"/>
    <x v="1"/>
    <x v="0"/>
    <x v="1"/>
    <x v="2"/>
    <x v="1"/>
    <x v="863"/>
    <s v="Bhadrapur"/>
    <s v="Bhadrapur"/>
    <s v="Sports &amp; Outdoors"/>
    <n v="190.76"/>
    <n v="10"/>
    <s v="In-Store"/>
    <x v="0"/>
    <n v="5"/>
    <n v="2"/>
    <s v="None"/>
    <s v="Not Sensitive"/>
    <n v="1"/>
    <n v="3"/>
    <s v="High"/>
    <s v="Desktop"/>
    <s v="Other"/>
    <d v="2024-11-07T00:00:00"/>
    <b v="0"/>
    <x v="0"/>
    <s v="Planned"/>
    <s v="Express"/>
    <n v="11"/>
  </r>
  <r>
    <x v="890"/>
    <x v="890"/>
    <x v="13"/>
    <x v="0"/>
    <x v="0"/>
    <x v="1"/>
    <x v="2"/>
    <x v="2"/>
    <x v="1"/>
    <x v="864"/>
    <s v="Kostrovo"/>
    <s v="Kostrovo"/>
    <s v="Animal Feed"/>
    <n v="105.76"/>
    <n v="8"/>
    <s v="Online"/>
    <x v="4"/>
    <n v="4"/>
    <n v="2"/>
    <s v="None"/>
    <s v="Very Sensitive"/>
    <n v="1"/>
    <n v="8"/>
    <s v="Medium"/>
    <s v="Tablet"/>
    <s v="Credit Card"/>
    <d v="2024-01-18T00:00:00"/>
    <b v="0"/>
    <x v="0"/>
    <s v="Planned"/>
    <s v="Express"/>
    <n v="4"/>
  </r>
  <r>
    <x v="891"/>
    <x v="891"/>
    <x v="2"/>
    <x v="0"/>
    <x v="0"/>
    <x v="0"/>
    <x v="1"/>
    <x v="2"/>
    <x v="1"/>
    <x v="865"/>
    <s v="Lemery"/>
    <s v="Lemery"/>
    <s v="Hotels"/>
    <n v="254.29"/>
    <n v="9"/>
    <s v="Mixed"/>
    <x v="0"/>
    <n v="4"/>
    <n v="0"/>
    <s v="Medium"/>
    <s v="Somewhat Sensitive"/>
    <n v="1"/>
    <n v="7"/>
    <s v="Low"/>
    <s v="Smartphone"/>
    <s v="Cash"/>
    <d v="2024-04-30T00:00:00"/>
    <b v="0"/>
    <x v="0"/>
    <s v="Impulsive"/>
    <s v="Express"/>
    <n v="3"/>
  </r>
  <r>
    <x v="892"/>
    <x v="892"/>
    <x v="1"/>
    <x v="1"/>
    <x v="1"/>
    <x v="0"/>
    <x v="3"/>
    <x v="0"/>
    <x v="1"/>
    <x v="866"/>
    <s v="Youcheng"/>
    <s v="Youcheng"/>
    <s v="Sports &amp; Outdoors"/>
    <n v="435.52"/>
    <n v="9"/>
    <s v="Online"/>
    <x v="0"/>
    <n v="3"/>
    <n v="2"/>
    <s v="High"/>
    <s v="Not Sensitive"/>
    <n v="1"/>
    <n v="2"/>
    <s v="Medium"/>
    <s v="Desktop"/>
    <s v="Debit Card"/>
    <d v="2024-11-12T00:00:00"/>
    <b v="1"/>
    <x v="0"/>
    <s v="Impulsive"/>
    <s v="No Preference"/>
    <n v="11"/>
  </r>
  <r>
    <x v="893"/>
    <x v="893"/>
    <x v="17"/>
    <x v="0"/>
    <x v="0"/>
    <x v="1"/>
    <x v="0"/>
    <x v="2"/>
    <x v="0"/>
    <x v="867"/>
    <s v="Napoli"/>
    <s v="Napoli"/>
    <s v="Office Supplies"/>
    <n v="235.49"/>
    <n v="5"/>
    <s v="In-Store"/>
    <x v="4"/>
    <n v="3"/>
    <n v="1"/>
    <s v="High"/>
    <s v="Somewhat Sensitive"/>
    <n v="1"/>
    <n v="6"/>
    <s v="None"/>
    <s v="Smartphone"/>
    <s v="Cash"/>
    <d v="2024-05-13T00:00:00"/>
    <b v="1"/>
    <x v="0"/>
    <s v="Impulsive"/>
    <s v="Express"/>
    <n v="5"/>
  </r>
  <r>
    <x v="894"/>
    <x v="894"/>
    <x v="5"/>
    <x v="1"/>
    <x v="1"/>
    <x v="1"/>
    <x v="2"/>
    <x v="2"/>
    <x v="0"/>
    <x v="868"/>
    <s v="El Cao"/>
    <s v="El Caأ±o"/>
    <s v="Mobile Accessories"/>
    <n v="161.34"/>
    <n v="3"/>
    <s v="Mixed"/>
    <x v="2"/>
    <n v="3"/>
    <n v="2"/>
    <s v="High"/>
    <s v="Very Sensitive"/>
    <n v="1"/>
    <n v="8"/>
    <s v="Medium"/>
    <s v="Tablet"/>
    <s v="Credit Card"/>
    <d v="2024-09-28T00:00:00"/>
    <b v="1"/>
    <x v="0"/>
    <s v="Impulsive"/>
    <s v="No Preference"/>
    <n v="4"/>
  </r>
  <r>
    <x v="895"/>
    <x v="895"/>
    <x v="24"/>
    <x v="1"/>
    <x v="1"/>
    <x v="1"/>
    <x v="1"/>
    <x v="2"/>
    <x v="1"/>
    <x v="869"/>
    <s v="Heemstede"/>
    <s v="Heemstede"/>
    <s v="Mobile Accessories"/>
    <n v="167.67"/>
    <n v="11"/>
    <s v="In-Store"/>
    <x v="0"/>
    <n v="2"/>
    <n v="1"/>
    <s v="High"/>
    <s v="Very Sensitive"/>
    <n v="0"/>
    <n v="6"/>
    <s v="Medium"/>
    <s v="Smartphone"/>
    <s v="Credit Card"/>
    <d v="2024-03-18T00:00:00"/>
    <b v="0"/>
    <x v="1"/>
    <s v="Need-based"/>
    <s v="Express"/>
    <n v="5"/>
  </r>
  <r>
    <x v="896"/>
    <x v="896"/>
    <x v="17"/>
    <x v="0"/>
    <x v="0"/>
    <x v="0"/>
    <x v="2"/>
    <x v="1"/>
    <x v="1"/>
    <x v="870"/>
    <s v="Panyam"/>
    <s v="Panyam"/>
    <s v="Food &amp; Beverages"/>
    <n v="96.68"/>
    <n v="10"/>
    <s v="Mixed"/>
    <x v="0"/>
    <n v="2"/>
    <n v="2"/>
    <s v="High"/>
    <s v="Somewhat Sensitive"/>
    <n v="2"/>
    <n v="3"/>
    <s v="None"/>
    <s v="Smartphone"/>
    <s v="Credit Card"/>
    <d v="2024-04-13T00:00:00"/>
    <b v="1"/>
    <x v="0"/>
    <s v="Planned"/>
    <s v="No Preference"/>
    <n v="10"/>
  </r>
  <r>
    <x v="897"/>
    <x v="897"/>
    <x v="11"/>
    <x v="1"/>
    <x v="1"/>
    <x v="1"/>
    <x v="0"/>
    <x v="2"/>
    <x v="1"/>
    <x v="871"/>
    <s v="Faraulep"/>
    <s v="Faraulep"/>
    <s v="Gardening &amp; Outdoors"/>
    <n v="234.58"/>
    <n v="3"/>
    <s v="Mixed"/>
    <x v="0"/>
    <n v="5"/>
    <n v="2"/>
    <s v="Low"/>
    <s v="Very Sensitive"/>
    <n v="2"/>
    <n v="6"/>
    <s v="None"/>
    <s v="Desktop"/>
    <s v="PayPal"/>
    <d v="2024-04-23T00:00:00"/>
    <b v="1"/>
    <x v="0"/>
    <s v="Impulsive"/>
    <s v="Standard"/>
    <n v="1"/>
  </r>
  <r>
    <x v="898"/>
    <x v="898"/>
    <x v="6"/>
    <x v="1"/>
    <x v="1"/>
    <x v="0"/>
    <x v="0"/>
    <x v="2"/>
    <x v="0"/>
    <x v="872"/>
    <s v="San Isidro"/>
    <s v="San Isidro"/>
    <s v="Furniture"/>
    <n v="156.47999999999999"/>
    <n v="7"/>
    <s v="In-Store"/>
    <x v="0"/>
    <n v="1"/>
    <n v="0"/>
    <s v="Low"/>
    <s v="Not Sensitive"/>
    <n v="2"/>
    <n v="5"/>
    <s v="Medium"/>
    <s v="Desktop"/>
    <s v="Other"/>
    <d v="2024-03-13T00:00:00"/>
    <b v="0"/>
    <x v="1"/>
    <s v="Wants-based"/>
    <s v="No Preference"/>
    <n v="4"/>
  </r>
  <r>
    <x v="899"/>
    <x v="899"/>
    <x v="23"/>
    <x v="2"/>
    <x v="5"/>
    <x v="1"/>
    <x v="2"/>
    <x v="0"/>
    <x v="0"/>
    <x v="873"/>
    <s v="Mranggen"/>
    <s v="Mranggen"/>
    <s v="Jewelry &amp; Accessories"/>
    <n v="489.66"/>
    <n v="11"/>
    <s v="Mixed"/>
    <x v="0"/>
    <n v="1"/>
    <n v="0"/>
    <s v="High"/>
    <s v="Not Sensitive"/>
    <n v="2"/>
    <n v="6"/>
    <s v="None"/>
    <s v="Tablet"/>
    <s v="Other"/>
    <d v="2024-01-18T00:00:00"/>
    <b v="1"/>
    <x v="0"/>
    <s v="Wants-based"/>
    <s v="Standard"/>
    <n v="3"/>
  </r>
  <r>
    <x v="900"/>
    <x v="900"/>
    <x v="7"/>
    <x v="2"/>
    <x v="6"/>
    <x v="1"/>
    <x v="3"/>
    <x v="2"/>
    <x v="1"/>
    <x v="874"/>
    <s v="Cigadog"/>
    <s v="Cigadog"/>
    <s v="Packages)"/>
    <n v="161.85"/>
    <n v="9"/>
    <s v="In-Store"/>
    <x v="0"/>
    <n v="3"/>
    <n v="0"/>
    <s v="High"/>
    <s v="Very Sensitive"/>
    <n v="0"/>
    <n v="4"/>
    <s v="Medium"/>
    <s v="Smartphone"/>
    <s v="Other"/>
    <d v="2024-04-25T00:00:00"/>
    <b v="1"/>
    <x v="0"/>
    <s v="Need-based"/>
    <s v="No Preference"/>
    <n v="10"/>
  </r>
  <r>
    <x v="901"/>
    <x v="901"/>
    <x v="10"/>
    <x v="1"/>
    <x v="1"/>
    <x v="0"/>
    <x v="2"/>
    <x v="2"/>
    <x v="1"/>
    <x v="875"/>
    <s v="Caitang"/>
    <s v="Caitang"/>
    <s v="Electronics"/>
    <n v="204.47"/>
    <n v="7"/>
    <s v="Online"/>
    <x v="2"/>
    <n v="1"/>
    <n v="1"/>
    <s v="None"/>
    <s v="Very Sensitive"/>
    <n v="2"/>
    <n v="9"/>
    <s v="None"/>
    <s v="Smartphone"/>
    <s v="Credit Card"/>
    <d v="2024-08-15T00:00:00"/>
    <b v="1"/>
    <x v="1"/>
    <s v="Wants-based"/>
    <s v="No Preference"/>
    <n v="3"/>
  </r>
  <r>
    <x v="902"/>
    <x v="902"/>
    <x v="10"/>
    <x v="0"/>
    <x v="0"/>
    <x v="0"/>
    <x v="2"/>
    <x v="0"/>
    <x v="0"/>
    <x v="876"/>
    <s v="Masoyila"/>
    <s v="Masoyila"/>
    <s v="Hotels"/>
    <n v="315.02999999999997"/>
    <n v="4"/>
    <s v="Online"/>
    <x v="3"/>
    <n v="5"/>
    <n v="0"/>
    <s v="High"/>
    <s v="Very Sensitive"/>
    <n v="1"/>
    <n v="6"/>
    <s v="Low"/>
    <s v="Tablet"/>
    <s v="PayPal"/>
    <d v="2024-11-10T00:00:00"/>
    <b v="1"/>
    <x v="0"/>
    <s v="Planned"/>
    <s v="Express"/>
    <n v="2"/>
  </r>
  <r>
    <x v="903"/>
    <x v="903"/>
    <x v="21"/>
    <x v="1"/>
    <x v="1"/>
    <x v="0"/>
    <x v="1"/>
    <x v="2"/>
    <x v="1"/>
    <x v="877"/>
    <s v="Beiyuan"/>
    <s v="Beiyuan"/>
    <s v="Furniture"/>
    <n v="330.36"/>
    <n v="12"/>
    <s v="In-Store"/>
    <x v="0"/>
    <n v="5"/>
    <n v="1"/>
    <s v="Low"/>
    <s v="Very Sensitive"/>
    <n v="1"/>
    <n v="4"/>
    <s v="Low"/>
    <s v="Tablet"/>
    <s v="Other"/>
    <d v="2024-06-29T00:00:00"/>
    <b v="1"/>
    <x v="1"/>
    <s v="Need-based"/>
    <s v="No Preference"/>
    <n v="3"/>
  </r>
  <r>
    <x v="904"/>
    <x v="904"/>
    <x v="21"/>
    <x v="1"/>
    <x v="1"/>
    <x v="0"/>
    <x v="1"/>
    <x v="0"/>
    <x v="0"/>
    <x v="878"/>
    <s v="Kariya"/>
    <s v="Kariya"/>
    <s v="Toys &amp; Games"/>
    <n v="456.83"/>
    <n v="5"/>
    <s v="Online"/>
    <x v="2"/>
    <n v="5"/>
    <n v="0"/>
    <s v="None"/>
    <s v="Not Sensitive"/>
    <n v="0"/>
    <n v="9"/>
    <s v="High"/>
    <s v="Tablet"/>
    <s v="Credit Card"/>
    <d v="2024-06-20T00:00:00"/>
    <b v="0"/>
    <x v="0"/>
    <s v="Need-based"/>
    <s v="No Preference"/>
    <n v="13"/>
  </r>
  <r>
    <x v="905"/>
    <x v="905"/>
    <x v="16"/>
    <x v="1"/>
    <x v="1"/>
    <x v="1"/>
    <x v="2"/>
    <x v="0"/>
    <x v="1"/>
    <x v="879"/>
    <s v="Malakhovka"/>
    <s v="Malakhovka"/>
    <s v="Jewelry &amp; Accessories"/>
    <n v="236.05"/>
    <n v="6"/>
    <s v="In-Store"/>
    <x v="2"/>
    <n v="3"/>
    <n v="0"/>
    <s v="None"/>
    <s v="Very Sensitive"/>
    <n v="1"/>
    <n v="4"/>
    <s v="High"/>
    <s v="Desktop"/>
    <s v="Other"/>
    <d v="2024-11-16T00:00:00"/>
    <b v="0"/>
    <x v="1"/>
    <s v="Need-based"/>
    <s v="No Preference"/>
    <n v="13"/>
  </r>
  <r>
    <x v="906"/>
    <x v="906"/>
    <x v="22"/>
    <x v="0"/>
    <x v="0"/>
    <x v="1"/>
    <x v="2"/>
    <x v="1"/>
    <x v="1"/>
    <x v="880"/>
    <s v="At-Bashi"/>
    <s v="At-Bashi"/>
    <s v="Home Appliances"/>
    <n v="289.27999999999997"/>
    <n v="9"/>
    <s v="Online"/>
    <x v="1"/>
    <n v="5"/>
    <n v="1"/>
    <s v="High"/>
    <s v="Somewhat Sensitive"/>
    <n v="2"/>
    <n v="7"/>
    <s v="Medium"/>
    <s v="Tablet"/>
    <s v="PayPal"/>
    <d v="2024-06-29T00:00:00"/>
    <b v="0"/>
    <x v="1"/>
    <s v="Wants-based"/>
    <s v="Express"/>
    <n v="13"/>
  </r>
  <r>
    <x v="907"/>
    <x v="907"/>
    <x v="23"/>
    <x v="0"/>
    <x v="0"/>
    <x v="1"/>
    <x v="0"/>
    <x v="1"/>
    <x v="0"/>
    <x v="881"/>
    <s v="Sankeyushu"/>
    <s v="Sankeyushu"/>
    <s v="Packages)"/>
    <n v="483.77"/>
    <n v="5"/>
    <s v="In-Store"/>
    <x v="3"/>
    <n v="2"/>
    <n v="0"/>
    <s v="None"/>
    <s v="Very Sensitive"/>
    <n v="0"/>
    <n v="5"/>
    <s v="None"/>
    <s v="Desktop"/>
    <s v="Credit Card"/>
    <d v="2024-07-20T00:00:00"/>
    <b v="0"/>
    <x v="0"/>
    <s v="Wants-based"/>
    <s v="No Preference"/>
    <n v="10"/>
  </r>
  <r>
    <x v="908"/>
    <x v="908"/>
    <x v="5"/>
    <x v="1"/>
    <x v="1"/>
    <x v="0"/>
    <x v="0"/>
    <x v="1"/>
    <x v="0"/>
    <x v="882"/>
    <s v="Limoges"/>
    <s v="Limoges"/>
    <s v="Furniture"/>
    <n v="64.5"/>
    <n v="7"/>
    <s v="In-Store"/>
    <x v="1"/>
    <n v="4"/>
    <n v="1"/>
    <s v="High"/>
    <s v="Somewhat Sensitive"/>
    <n v="1"/>
    <n v="7"/>
    <s v="High"/>
    <s v="Desktop"/>
    <s v="Credit Card"/>
    <d v="2024-07-28T00:00:00"/>
    <b v="1"/>
    <x v="0"/>
    <s v="Wants-based"/>
    <s v="No Preference"/>
    <n v="13"/>
  </r>
  <r>
    <x v="909"/>
    <x v="909"/>
    <x v="20"/>
    <x v="1"/>
    <x v="1"/>
    <x v="1"/>
    <x v="0"/>
    <x v="0"/>
    <x v="0"/>
    <x v="883"/>
    <s v="Hgersten"/>
    <s v="Hأ¤gersten"/>
    <s v="Groceries"/>
    <n v="436.57"/>
    <n v="4"/>
    <s v="Mixed"/>
    <x v="0"/>
    <n v="3"/>
    <n v="1"/>
    <s v="High"/>
    <s v="Not Sensitive"/>
    <n v="2"/>
    <n v="10"/>
    <s v="Low"/>
    <s v="Desktop"/>
    <s v="Debit Card"/>
    <d v="2024-02-02T00:00:00"/>
    <b v="0"/>
    <x v="0"/>
    <s v="Wants-based"/>
    <s v="Standard"/>
    <n v="3"/>
  </r>
  <r>
    <x v="910"/>
    <x v="910"/>
    <x v="22"/>
    <x v="2"/>
    <x v="2"/>
    <x v="0"/>
    <x v="2"/>
    <x v="1"/>
    <x v="0"/>
    <x v="884"/>
    <s v="Tarata"/>
    <s v="Tarata"/>
    <s v="Food &amp; Beverages"/>
    <n v="364.48"/>
    <n v="2"/>
    <s v="Mixed"/>
    <x v="1"/>
    <n v="3"/>
    <n v="0.2"/>
    <s v="None"/>
    <s v="Very Sensitive"/>
    <n v="2"/>
    <n v="5"/>
    <s v="None"/>
    <s v="Smartphone"/>
    <s v="Other"/>
    <d v="2024-09-26T00:00:00"/>
    <b v="0"/>
    <x v="0"/>
    <s v="Planned"/>
    <s v="No Preference"/>
    <n v="13"/>
  </r>
  <r>
    <x v="911"/>
    <x v="911"/>
    <x v="4"/>
    <x v="0"/>
    <x v="0"/>
    <x v="0"/>
    <x v="2"/>
    <x v="2"/>
    <x v="1"/>
    <x v="885"/>
    <s v="Marabahan"/>
    <s v="Marabahan"/>
    <s v="Beauty &amp; Personal Care"/>
    <n v="221.88"/>
    <n v="12"/>
    <s v="In-Store"/>
    <x v="3"/>
    <n v="4"/>
    <n v="2"/>
    <s v="Low"/>
    <s v="Somewhat Sensitive"/>
    <n v="1"/>
    <n v="6"/>
    <s v="None"/>
    <s v="Desktop"/>
    <s v="Other"/>
    <d v="2024-04-04T00:00:00"/>
    <b v="1"/>
    <x v="0"/>
    <s v="Need-based"/>
    <s v="Express"/>
    <n v="9"/>
  </r>
  <r>
    <x v="912"/>
    <x v="912"/>
    <x v="16"/>
    <x v="0"/>
    <x v="0"/>
    <x v="0"/>
    <x v="1"/>
    <x v="1"/>
    <x v="0"/>
    <x v="886"/>
    <s v="Eslmbd"/>
    <s v="Eslؤپmؤپbؤپd"/>
    <s v="Clothing"/>
    <n v="278.20999999999998"/>
    <n v="3"/>
    <s v="Mixed"/>
    <x v="0"/>
    <n v="1"/>
    <n v="2"/>
    <s v="Low"/>
    <s v="Somewhat Sensitive"/>
    <n v="0"/>
    <n v="7"/>
    <s v="Low"/>
    <s v="Tablet"/>
    <s v="Other"/>
    <d v="2024-10-22T00:00:00"/>
    <b v="1"/>
    <x v="0"/>
    <s v="Need-based"/>
    <s v="No Preference"/>
    <n v="14"/>
  </r>
  <r>
    <x v="913"/>
    <x v="913"/>
    <x v="16"/>
    <x v="0"/>
    <x v="0"/>
    <x v="1"/>
    <x v="0"/>
    <x v="2"/>
    <x v="1"/>
    <x v="887"/>
    <s v="Emar"/>
    <s v="Emar"/>
    <s v="Health Supplements"/>
    <n v="344.43"/>
    <n v="7"/>
    <s v="Online"/>
    <x v="1"/>
    <n v="5"/>
    <n v="0"/>
    <s v="Medium"/>
    <s v="Not Sensitive"/>
    <n v="2"/>
    <n v="4"/>
    <s v="Medium"/>
    <s v="Desktop"/>
    <s v="Credit Card"/>
    <d v="2024-07-12T00:00:00"/>
    <b v="1"/>
    <x v="0"/>
    <s v="Impulsive"/>
    <s v="Standard"/>
    <n v="5"/>
  </r>
  <r>
    <x v="914"/>
    <x v="914"/>
    <x v="29"/>
    <x v="1"/>
    <x v="1"/>
    <x v="1"/>
    <x v="1"/>
    <x v="2"/>
    <x v="1"/>
    <x v="888"/>
    <s v="Baisha"/>
    <s v="Baisha"/>
    <s v="Baby Products"/>
    <n v="326.08"/>
    <n v="11"/>
    <s v="In-Store"/>
    <x v="4"/>
    <n v="3"/>
    <n v="2"/>
    <s v="Medium"/>
    <s v="Not Sensitive"/>
    <n v="2"/>
    <n v="6"/>
    <s v="Medium"/>
    <s v="Tablet"/>
    <s v="PayPal"/>
    <d v="2024-06-30T00:00:00"/>
    <b v="1"/>
    <x v="1"/>
    <s v="Impulsive"/>
    <s v="Express"/>
    <n v="8"/>
  </r>
  <r>
    <x v="915"/>
    <x v="915"/>
    <x v="1"/>
    <x v="1"/>
    <x v="1"/>
    <x v="1"/>
    <x v="0"/>
    <x v="0"/>
    <x v="0"/>
    <x v="91"/>
    <s v="Magdalena"/>
    <s v="Magdalena"/>
    <s v="Gardening &amp; Outdoors"/>
    <n v="437.97"/>
    <n v="8"/>
    <s v="Online"/>
    <x v="4"/>
    <n v="2"/>
    <n v="0"/>
    <s v="High"/>
    <s v="Not Sensitive"/>
    <n v="0"/>
    <n v="7"/>
    <s v="Medium"/>
    <s v="Tablet"/>
    <s v="Debit Card"/>
    <d v="2024-04-02T00:00:00"/>
    <b v="1"/>
    <x v="1"/>
    <s v="Need-based"/>
    <s v="Express"/>
    <n v="12"/>
  </r>
  <r>
    <x v="916"/>
    <x v="916"/>
    <x v="25"/>
    <x v="1"/>
    <x v="1"/>
    <x v="1"/>
    <x v="1"/>
    <x v="2"/>
    <x v="1"/>
    <x v="377"/>
    <s v="Gteborg"/>
    <s v="Gأ¶teborg"/>
    <s v="Packages)"/>
    <n v="391.87"/>
    <n v="3"/>
    <s v="Online"/>
    <x v="3"/>
    <n v="4"/>
    <n v="2"/>
    <s v="High"/>
    <s v="Very Sensitive"/>
    <n v="0"/>
    <n v="2"/>
    <s v="Medium"/>
    <s v="Desktop"/>
    <s v="Cash"/>
    <d v="2024-02-16T00:00:00"/>
    <b v="1"/>
    <x v="0"/>
    <s v="Planned"/>
    <s v="Standard"/>
    <n v="6"/>
  </r>
  <r>
    <x v="917"/>
    <x v="917"/>
    <x v="21"/>
    <x v="1"/>
    <x v="1"/>
    <x v="1"/>
    <x v="1"/>
    <x v="2"/>
    <x v="0"/>
    <x v="889"/>
    <s v="Skrzec"/>
    <s v="Skأ³rzec"/>
    <s v="Travel &amp; Leisure (Flights"/>
    <n v="333.41"/>
    <n v="3"/>
    <s v="Online"/>
    <x v="2"/>
    <n v="5"/>
    <n v="1"/>
    <s v="High"/>
    <s v="Very Sensitive"/>
    <n v="1"/>
    <n v="6"/>
    <s v="None"/>
    <s v="Tablet"/>
    <s v="PayPal"/>
    <d v="2024-01-31T00:00:00"/>
    <b v="0"/>
    <x v="0"/>
    <s v="Planned"/>
    <s v="Standard"/>
    <n v="3"/>
  </r>
  <r>
    <x v="918"/>
    <x v="918"/>
    <x v="11"/>
    <x v="1"/>
    <x v="1"/>
    <x v="0"/>
    <x v="1"/>
    <x v="0"/>
    <x v="1"/>
    <x v="890"/>
    <s v="So Jo dos Inhamuns"/>
    <s v="Sأ£o Joأ£o dos Inhamuns"/>
    <s v="Groceries"/>
    <n v="251.54"/>
    <n v="9"/>
    <s v="Online"/>
    <x v="0"/>
    <n v="1"/>
    <n v="0"/>
    <s v="High"/>
    <s v="Not Sensitive"/>
    <n v="2"/>
    <n v="10"/>
    <s v="Low"/>
    <s v="Desktop"/>
    <s v="PayPal"/>
    <d v="2024-10-09T00:00:00"/>
    <b v="1"/>
    <x v="0"/>
    <s v="Impulsive"/>
    <s v="No Preference"/>
    <n v="1"/>
  </r>
  <r>
    <x v="919"/>
    <x v="919"/>
    <x v="14"/>
    <x v="0"/>
    <x v="0"/>
    <x v="0"/>
    <x v="1"/>
    <x v="1"/>
    <x v="0"/>
    <x v="891"/>
    <s v="Tambaksari"/>
    <s v="Tambaksari"/>
    <s v="Electronics"/>
    <n v="292.08"/>
    <n v="7"/>
    <s v="In-Store"/>
    <x v="1"/>
    <n v="2"/>
    <n v="1"/>
    <s v="High"/>
    <s v="Somewhat Sensitive"/>
    <n v="2"/>
    <n v="9"/>
    <s v="Low"/>
    <s v="Smartphone"/>
    <s v="Credit Card"/>
    <d v="2024-04-09T00:00:00"/>
    <b v="0"/>
    <x v="0"/>
    <s v="Need-based"/>
    <s v="Standard"/>
    <n v="11"/>
  </r>
  <r>
    <x v="920"/>
    <x v="920"/>
    <x v="8"/>
    <x v="2"/>
    <x v="5"/>
    <x v="1"/>
    <x v="2"/>
    <x v="0"/>
    <x v="0"/>
    <x v="892"/>
    <s v="Lazarat"/>
    <s v="Lazarat"/>
    <s v="Travel &amp; Leisure (Flights"/>
    <n v="204.29"/>
    <n v="11"/>
    <s v="In-Store"/>
    <x v="0"/>
    <n v="4"/>
    <n v="0"/>
    <s v="None"/>
    <s v="Not Sensitive"/>
    <n v="2"/>
    <n v="1"/>
    <s v="Medium"/>
    <s v="Smartphone"/>
    <s v="PayPal"/>
    <d v="2024-05-16T00:00:00"/>
    <b v="0"/>
    <x v="0"/>
    <s v="Impulsive"/>
    <s v="Express"/>
    <n v="12"/>
  </r>
  <r>
    <x v="921"/>
    <x v="921"/>
    <x v="1"/>
    <x v="1"/>
    <x v="1"/>
    <x v="0"/>
    <x v="1"/>
    <x v="1"/>
    <x v="0"/>
    <x v="893"/>
    <s v="Belene"/>
    <s v="Belene"/>
    <s v="Packages)"/>
    <n v="258.68"/>
    <n v="4"/>
    <s v="Online"/>
    <x v="4"/>
    <n v="2"/>
    <n v="1"/>
    <s v="Low"/>
    <s v="Somewhat Sensitive"/>
    <n v="0"/>
    <n v="9"/>
    <s v="None"/>
    <s v="Desktop"/>
    <s v="Credit Card"/>
    <d v="2024-10-22T00:00:00"/>
    <b v="0"/>
    <x v="0"/>
    <s v="Impulsive"/>
    <s v="No Preference"/>
    <n v="9"/>
  </r>
  <r>
    <x v="922"/>
    <x v="922"/>
    <x v="29"/>
    <x v="1"/>
    <x v="1"/>
    <x v="0"/>
    <x v="0"/>
    <x v="0"/>
    <x v="1"/>
    <x v="894"/>
    <s v="Xiangshan"/>
    <s v="Xiangshan"/>
    <s v="Gardening &amp; Outdoors"/>
    <n v="258.02"/>
    <n v="2"/>
    <s v="In-Store"/>
    <x v="1"/>
    <n v="2"/>
    <n v="1"/>
    <s v="Low"/>
    <s v="Very Sensitive"/>
    <n v="2"/>
    <n v="4"/>
    <s v="High"/>
    <s v="Desktop"/>
    <s v="PayPal"/>
    <d v="2024-11-08T00:00:00"/>
    <b v="1"/>
    <x v="1"/>
    <s v="Need-based"/>
    <s v="Express"/>
    <n v="13"/>
  </r>
  <r>
    <x v="923"/>
    <x v="923"/>
    <x v="3"/>
    <x v="0"/>
    <x v="0"/>
    <x v="1"/>
    <x v="1"/>
    <x v="2"/>
    <x v="0"/>
    <x v="305"/>
    <s v="San Luis"/>
    <s v="San Luis"/>
    <s v="Gardening &amp; Outdoors"/>
    <n v="181.87"/>
    <n v="12"/>
    <s v="Mixed"/>
    <x v="4"/>
    <n v="1"/>
    <n v="1"/>
    <s v="Medium"/>
    <s v="Not Sensitive"/>
    <n v="2"/>
    <n v="4"/>
    <s v="High"/>
    <s v="Desktop"/>
    <s v="Debit Card"/>
    <d v="2024-09-01T00:00:00"/>
    <b v="0"/>
    <x v="1"/>
    <s v="Wants-based"/>
    <s v="No Preference"/>
    <n v="11"/>
  </r>
  <r>
    <x v="924"/>
    <x v="924"/>
    <x v="29"/>
    <x v="1"/>
    <x v="1"/>
    <x v="1"/>
    <x v="3"/>
    <x v="1"/>
    <x v="0"/>
    <x v="895"/>
    <s v="Zengfu"/>
    <s v="Zengfu"/>
    <s v="Groceries"/>
    <n v="81.180000000000007"/>
    <n v="8"/>
    <s v="Online"/>
    <x v="4"/>
    <n v="5"/>
    <n v="1"/>
    <s v="Low"/>
    <s v="Not Sensitive"/>
    <n v="2"/>
    <n v="3"/>
    <s v="High"/>
    <s v="Tablet"/>
    <s v="Cash"/>
    <d v="2024-05-17T00:00:00"/>
    <b v="0"/>
    <x v="0"/>
    <s v="Impulsive"/>
    <s v="Express"/>
    <n v="3"/>
  </r>
  <r>
    <x v="925"/>
    <x v="925"/>
    <x v="25"/>
    <x v="0"/>
    <x v="0"/>
    <x v="1"/>
    <x v="3"/>
    <x v="2"/>
    <x v="1"/>
    <x v="896"/>
    <s v="Tingsryd"/>
    <s v="Tingsryd"/>
    <s v="Books"/>
    <n v="382.94"/>
    <n v="8"/>
    <s v="In-Store"/>
    <x v="3"/>
    <n v="3"/>
    <n v="0"/>
    <s v="Medium"/>
    <s v="Not Sensitive"/>
    <n v="0"/>
    <n v="6"/>
    <s v="None"/>
    <s v="Desktop"/>
    <s v="Debit Card"/>
    <d v="2024-05-19T00:00:00"/>
    <b v="0"/>
    <x v="0"/>
    <s v="Need-based"/>
    <s v="Standard"/>
    <n v="3"/>
  </r>
  <r>
    <x v="926"/>
    <x v="926"/>
    <x v="26"/>
    <x v="0"/>
    <x v="0"/>
    <x v="1"/>
    <x v="1"/>
    <x v="0"/>
    <x v="1"/>
    <x v="897"/>
    <s v="Tipaz"/>
    <s v="Tipaz"/>
    <s v="Beauty &amp; Personal Care"/>
    <n v="402.82"/>
    <n v="7"/>
    <s v="Online"/>
    <x v="4"/>
    <n v="5"/>
    <n v="0"/>
    <s v="None"/>
    <s v="Somewhat Sensitive"/>
    <n v="2"/>
    <n v="2"/>
    <s v="Low"/>
    <s v="Smartphone"/>
    <s v="Debit Card"/>
    <d v="2024-01-25T00:00:00"/>
    <b v="0"/>
    <x v="0"/>
    <s v="Wants-based"/>
    <s v="No Preference"/>
    <n v="13"/>
  </r>
  <r>
    <x v="927"/>
    <x v="927"/>
    <x v="12"/>
    <x v="1"/>
    <x v="1"/>
    <x v="1"/>
    <x v="1"/>
    <x v="0"/>
    <x v="0"/>
    <x v="898"/>
    <s v="W das Salq"/>
    <s v="Wؤپdؤ« as Salqؤپ"/>
    <s v="Gardening &amp; Outdoors"/>
    <n v="497.76"/>
    <n v="2"/>
    <s v="In-Store"/>
    <x v="3"/>
    <n v="2"/>
    <n v="2"/>
    <s v="High"/>
    <s v="Very Sensitive"/>
    <n v="2"/>
    <n v="3"/>
    <s v="Medium"/>
    <s v="Smartphone"/>
    <s v="Credit Card"/>
    <d v="2024-03-08T00:00:00"/>
    <b v="1"/>
    <x v="1"/>
    <s v="Wants-based"/>
    <s v="No Preference"/>
    <n v="4"/>
  </r>
  <r>
    <x v="928"/>
    <x v="928"/>
    <x v="29"/>
    <x v="0"/>
    <x v="0"/>
    <x v="1"/>
    <x v="1"/>
    <x v="1"/>
    <x v="1"/>
    <x v="899"/>
    <s v="Wasagu"/>
    <s v="Wasagu"/>
    <s v="Furniture"/>
    <n v="227.58"/>
    <n v="5"/>
    <s v="Online"/>
    <x v="4"/>
    <n v="2"/>
    <n v="1"/>
    <s v="High"/>
    <s v="Not Sensitive"/>
    <n v="0"/>
    <n v="1"/>
    <s v="Low"/>
    <s v="Tablet"/>
    <s v="Credit Card"/>
    <d v="2024-07-13T00:00:00"/>
    <b v="1"/>
    <x v="0"/>
    <s v="Need-based"/>
    <s v="No Preference"/>
    <n v="11"/>
  </r>
  <r>
    <x v="929"/>
    <x v="929"/>
    <x v="22"/>
    <x v="0"/>
    <x v="0"/>
    <x v="1"/>
    <x v="3"/>
    <x v="0"/>
    <x v="1"/>
    <x v="900"/>
    <s v="Wangsi"/>
    <s v="Wangsi"/>
    <s v="Electronics"/>
    <n v="263.57"/>
    <n v="2"/>
    <s v="Mixed"/>
    <x v="2"/>
    <n v="3"/>
    <n v="0"/>
    <s v="High"/>
    <s v="Somewhat Sensitive"/>
    <n v="1"/>
    <n v="9"/>
    <s v="None"/>
    <s v="Tablet"/>
    <s v="PayPal"/>
    <d v="2024-11-21T00:00:00"/>
    <b v="1"/>
    <x v="1"/>
    <s v="Impulsive"/>
    <s v="Express"/>
    <n v="8"/>
  </r>
  <r>
    <x v="930"/>
    <x v="930"/>
    <x v="13"/>
    <x v="1"/>
    <x v="1"/>
    <x v="1"/>
    <x v="0"/>
    <x v="1"/>
    <x v="1"/>
    <x v="901"/>
    <s v="Esmeralda"/>
    <s v="Esmeralda"/>
    <s v="Baby Products"/>
    <n v="422.09"/>
    <n v="3"/>
    <s v="In-Store"/>
    <x v="4"/>
    <n v="1"/>
    <n v="1"/>
    <s v="High"/>
    <s v="Not Sensitive"/>
    <n v="0"/>
    <n v="9"/>
    <s v="Medium"/>
    <s v="Tablet"/>
    <s v="PayPal"/>
    <d v="2024-03-31T00:00:00"/>
    <b v="1"/>
    <x v="0"/>
    <s v="Need-based"/>
    <s v="Standard"/>
    <n v="7"/>
  </r>
  <r>
    <x v="931"/>
    <x v="931"/>
    <x v="22"/>
    <x v="1"/>
    <x v="1"/>
    <x v="0"/>
    <x v="0"/>
    <x v="2"/>
    <x v="1"/>
    <x v="902"/>
    <s v="Chivilcoy"/>
    <s v="Chivilcoy"/>
    <s v="Gardening &amp; Outdoors"/>
    <n v="411.83"/>
    <n v="2"/>
    <s v="In-Store"/>
    <x v="2"/>
    <n v="3"/>
    <n v="2"/>
    <s v="High"/>
    <s v="Not Sensitive"/>
    <n v="1"/>
    <n v="3"/>
    <s v="Medium"/>
    <s v="Tablet"/>
    <s v="PayPal"/>
    <d v="2024-04-28T00:00:00"/>
    <b v="1"/>
    <x v="1"/>
    <s v="Impulsive"/>
    <s v="Standard"/>
    <n v="10"/>
  </r>
  <r>
    <x v="932"/>
    <x v="932"/>
    <x v="6"/>
    <x v="1"/>
    <x v="1"/>
    <x v="0"/>
    <x v="1"/>
    <x v="2"/>
    <x v="0"/>
    <x v="903"/>
    <s v="So Miguel do Araguaia"/>
    <s v="Sأ£o Miguel do Araguaia"/>
    <s v="Software &amp; Apps"/>
    <n v="242.65"/>
    <n v="3"/>
    <s v="Mixed"/>
    <x v="0"/>
    <n v="3"/>
    <n v="0.2"/>
    <s v="None"/>
    <s v="Very Sensitive"/>
    <n v="2"/>
    <n v="8"/>
    <s v="None"/>
    <s v="Tablet"/>
    <s v="Cash"/>
    <d v="2024-07-09T00:00:00"/>
    <b v="0"/>
    <x v="1"/>
    <s v="Planned"/>
    <s v="No Preference"/>
    <n v="9"/>
  </r>
  <r>
    <x v="933"/>
    <x v="933"/>
    <x v="30"/>
    <x v="1"/>
    <x v="1"/>
    <x v="0"/>
    <x v="2"/>
    <x v="2"/>
    <x v="0"/>
    <x v="904"/>
    <s v="Libei"/>
    <s v="Libei"/>
    <s v="Sports &amp; Outdoors"/>
    <n v="298.93"/>
    <n v="6"/>
    <s v="Mixed"/>
    <x v="0"/>
    <n v="2"/>
    <n v="0.2"/>
    <s v="None"/>
    <s v="Somewhat Sensitive"/>
    <n v="2"/>
    <n v="1"/>
    <s v="None"/>
    <s v="Tablet"/>
    <s v="PayPal"/>
    <d v="2024-09-22T00:00:00"/>
    <b v="1"/>
    <x v="1"/>
    <s v="Planned"/>
    <s v="Express"/>
    <n v="2"/>
  </r>
  <r>
    <x v="934"/>
    <x v="934"/>
    <x v="32"/>
    <x v="0"/>
    <x v="0"/>
    <x v="1"/>
    <x v="1"/>
    <x v="0"/>
    <x v="1"/>
    <x v="206"/>
    <s v="Araci"/>
    <s v="Araci"/>
    <s v="Mobile Accessories"/>
    <n v="191.21"/>
    <n v="7"/>
    <s v="Mixed"/>
    <x v="0"/>
    <n v="4"/>
    <n v="1"/>
    <s v="Low"/>
    <s v="Very Sensitive"/>
    <n v="2"/>
    <n v="6"/>
    <s v="Low"/>
    <s v="Smartphone"/>
    <s v="Debit Card"/>
    <d v="2024-04-04T00:00:00"/>
    <b v="0"/>
    <x v="0"/>
    <s v="Need-based"/>
    <s v="No Preference"/>
    <n v="13"/>
  </r>
  <r>
    <x v="935"/>
    <x v="935"/>
    <x v="32"/>
    <x v="0"/>
    <x v="0"/>
    <x v="1"/>
    <x v="0"/>
    <x v="2"/>
    <x v="0"/>
    <x v="905"/>
    <s v="Kusov"/>
    <s v="Kuأ§ovأ«"/>
    <s v="Electronics"/>
    <n v="136.66999999999999"/>
    <n v="3"/>
    <s v="Online"/>
    <x v="1"/>
    <n v="1"/>
    <n v="1"/>
    <s v="Low"/>
    <s v="Somewhat Sensitive"/>
    <n v="0"/>
    <n v="2"/>
    <s v="High"/>
    <s v="Desktop"/>
    <s v="PayPal"/>
    <d v="2024-06-20T00:00:00"/>
    <b v="0"/>
    <x v="1"/>
    <s v="Impulsive"/>
    <s v="Standard"/>
    <n v="1"/>
  </r>
  <r>
    <x v="936"/>
    <x v="936"/>
    <x v="14"/>
    <x v="1"/>
    <x v="1"/>
    <x v="0"/>
    <x v="2"/>
    <x v="2"/>
    <x v="1"/>
    <x v="906"/>
    <s v="Bokong Timur"/>
    <s v="Bokong Timur"/>
    <s v="Sports &amp; Outdoors"/>
    <n v="324.11"/>
    <n v="11"/>
    <s v="Online"/>
    <x v="1"/>
    <n v="3"/>
    <n v="2"/>
    <s v="None"/>
    <s v="Very Sensitive"/>
    <n v="0"/>
    <n v="2"/>
    <s v="Low"/>
    <s v="Smartphone"/>
    <s v="Cash"/>
    <d v="2024-03-22T00:00:00"/>
    <b v="0"/>
    <x v="0"/>
    <s v="Impulsive"/>
    <s v="No Preference"/>
    <n v="7"/>
  </r>
  <r>
    <x v="937"/>
    <x v="937"/>
    <x v="13"/>
    <x v="0"/>
    <x v="0"/>
    <x v="1"/>
    <x v="2"/>
    <x v="0"/>
    <x v="1"/>
    <x v="907"/>
    <s v="Gaowu"/>
    <s v="Gaowu"/>
    <s v="Animal Feed"/>
    <n v="105.64"/>
    <n v="6"/>
    <s v="Online"/>
    <x v="3"/>
    <n v="3"/>
    <n v="0"/>
    <s v="Low"/>
    <s v="Very Sensitive"/>
    <n v="2"/>
    <n v="1"/>
    <s v="None"/>
    <s v="Smartphone"/>
    <s v="Other"/>
    <d v="2024-04-06T00:00:00"/>
    <b v="1"/>
    <x v="1"/>
    <s v="Planned"/>
    <s v="No Preference"/>
    <n v="12"/>
  </r>
  <r>
    <x v="938"/>
    <x v="938"/>
    <x v="20"/>
    <x v="1"/>
    <x v="1"/>
    <x v="1"/>
    <x v="2"/>
    <x v="2"/>
    <x v="1"/>
    <x v="908"/>
    <s v="Guret"/>
    <s v="Guأ©ret"/>
    <s v="Electronics"/>
    <n v="295.60000000000002"/>
    <n v="10"/>
    <s v="Online"/>
    <x v="3"/>
    <n v="2"/>
    <n v="1"/>
    <s v="High"/>
    <s v="Somewhat Sensitive"/>
    <n v="0"/>
    <n v="9"/>
    <s v="Low"/>
    <s v="Desktop"/>
    <s v="Credit Card"/>
    <d v="2024-05-20T00:00:00"/>
    <b v="1"/>
    <x v="1"/>
    <s v="Need-based"/>
    <s v="Standard"/>
    <n v="5"/>
  </r>
  <r>
    <x v="939"/>
    <x v="939"/>
    <x v="18"/>
    <x v="1"/>
    <x v="1"/>
    <x v="0"/>
    <x v="1"/>
    <x v="2"/>
    <x v="1"/>
    <x v="909"/>
    <s v="Postekov"/>
    <s v="Postإ™ekov"/>
    <s v="Animal Feed"/>
    <n v="227.03"/>
    <n v="9"/>
    <s v="In-Store"/>
    <x v="4"/>
    <n v="4"/>
    <n v="2"/>
    <s v="Low"/>
    <s v="Not Sensitive"/>
    <n v="2"/>
    <n v="7"/>
    <s v="High"/>
    <s v="Tablet"/>
    <s v="Other"/>
    <d v="2024-04-09T00:00:00"/>
    <b v="1"/>
    <x v="1"/>
    <s v="Need-based"/>
    <s v="No Preference"/>
    <n v="4"/>
  </r>
  <r>
    <x v="940"/>
    <x v="940"/>
    <x v="11"/>
    <x v="0"/>
    <x v="0"/>
    <x v="1"/>
    <x v="3"/>
    <x v="0"/>
    <x v="0"/>
    <x v="910"/>
    <s v="Gobojango"/>
    <s v="Gobojango"/>
    <s v="Hotels"/>
    <n v="485.77"/>
    <n v="10"/>
    <s v="Mixed"/>
    <x v="3"/>
    <n v="2"/>
    <n v="0"/>
    <s v="Low"/>
    <s v="Not Sensitive"/>
    <n v="2"/>
    <n v="6"/>
    <s v="None"/>
    <s v="Tablet"/>
    <s v="Cash"/>
    <d v="2024-12-04T00:00:00"/>
    <b v="0"/>
    <x v="0"/>
    <s v="Planned"/>
    <s v="No Preference"/>
    <n v="6"/>
  </r>
  <r>
    <x v="941"/>
    <x v="941"/>
    <x v="14"/>
    <x v="0"/>
    <x v="0"/>
    <x v="0"/>
    <x v="2"/>
    <x v="1"/>
    <x v="1"/>
    <x v="911"/>
    <s v="Tandahimba"/>
    <s v="Tandahimba"/>
    <s v="Animal Feed"/>
    <n v="173.43"/>
    <n v="4"/>
    <s v="In-Store"/>
    <x v="1"/>
    <n v="3"/>
    <n v="0"/>
    <s v="Medium"/>
    <s v="Not Sensitive"/>
    <n v="2"/>
    <n v="1"/>
    <s v="Low"/>
    <s v="Desktop"/>
    <s v="PayPal"/>
    <d v="2024-05-27T00:00:00"/>
    <b v="1"/>
    <x v="1"/>
    <s v="Need-based"/>
    <s v="No Preference"/>
    <n v="14"/>
  </r>
  <r>
    <x v="942"/>
    <x v="942"/>
    <x v="3"/>
    <x v="0"/>
    <x v="0"/>
    <x v="0"/>
    <x v="2"/>
    <x v="1"/>
    <x v="0"/>
    <x v="912"/>
    <s v="Iwade"/>
    <s v="Iwade"/>
    <s v="Baby Products"/>
    <n v="462.96"/>
    <n v="2"/>
    <s v="Online"/>
    <x v="4"/>
    <n v="2"/>
    <n v="0"/>
    <s v="High"/>
    <s v="Very Sensitive"/>
    <n v="2"/>
    <n v="6"/>
    <s v="High"/>
    <s v="Tablet"/>
    <s v="Cash"/>
    <d v="2024-07-01T00:00:00"/>
    <b v="1"/>
    <x v="0"/>
    <s v="Planned"/>
    <s v="No Preference"/>
    <n v="3"/>
  </r>
  <r>
    <x v="943"/>
    <x v="943"/>
    <x v="15"/>
    <x v="1"/>
    <x v="1"/>
    <x v="1"/>
    <x v="3"/>
    <x v="1"/>
    <x v="0"/>
    <x v="913"/>
    <s v="La Guata"/>
    <s v="La Guata"/>
    <s v="Mobile Accessories"/>
    <n v="203.13"/>
    <n v="10"/>
    <s v="Online"/>
    <x v="4"/>
    <n v="3"/>
    <n v="2"/>
    <s v="None"/>
    <s v="Somewhat Sensitive"/>
    <n v="1"/>
    <n v="5"/>
    <s v="High"/>
    <s v="Tablet"/>
    <s v="Debit Card"/>
    <d v="2024-08-15T00:00:00"/>
    <b v="1"/>
    <x v="0"/>
    <s v="Impulsive"/>
    <s v="Standard"/>
    <n v="6"/>
  </r>
  <r>
    <x v="944"/>
    <x v="944"/>
    <x v="17"/>
    <x v="0"/>
    <x v="0"/>
    <x v="1"/>
    <x v="0"/>
    <x v="2"/>
    <x v="1"/>
    <x v="914"/>
    <s v="Saint-Brieuc"/>
    <s v="Saint-Brieuc"/>
    <s v="Toys &amp; Games"/>
    <n v="443.11"/>
    <n v="9"/>
    <s v="In-Store"/>
    <x v="3"/>
    <n v="2"/>
    <n v="1"/>
    <s v="None"/>
    <s v="Very Sensitive"/>
    <n v="0"/>
    <n v="10"/>
    <s v="Low"/>
    <s v="Tablet"/>
    <s v="Other"/>
    <d v="2024-01-19T00:00:00"/>
    <b v="1"/>
    <x v="1"/>
    <s v="Wants-based"/>
    <s v="No Preference"/>
    <n v="1"/>
  </r>
  <r>
    <x v="945"/>
    <x v="945"/>
    <x v="16"/>
    <x v="2"/>
    <x v="2"/>
    <x v="1"/>
    <x v="3"/>
    <x v="1"/>
    <x v="1"/>
    <x v="915"/>
    <s v="Paya Dapur"/>
    <s v="Paya Dapur"/>
    <s v="Health Supplements"/>
    <n v="254.83"/>
    <n v="2"/>
    <s v="Mixed"/>
    <x v="3"/>
    <n v="2"/>
    <n v="1"/>
    <s v="None"/>
    <s v="Somewhat Sensitive"/>
    <n v="1"/>
    <n v="2"/>
    <s v="Low"/>
    <s v="Desktop"/>
    <s v="Credit Card"/>
    <d v="2024-09-18T00:00:00"/>
    <b v="0"/>
    <x v="0"/>
    <s v="Wants-based"/>
    <s v="Standard"/>
    <n v="1"/>
  </r>
  <r>
    <x v="946"/>
    <x v="946"/>
    <x v="3"/>
    <x v="0"/>
    <x v="0"/>
    <x v="1"/>
    <x v="1"/>
    <x v="2"/>
    <x v="0"/>
    <x v="916"/>
    <s v="Xinzha"/>
    <s v="Xinzha"/>
    <s v="Luxury Goods"/>
    <n v="336.89"/>
    <n v="4"/>
    <s v="Online"/>
    <x v="2"/>
    <n v="1"/>
    <n v="2"/>
    <s v="Medium"/>
    <s v="Very Sensitive"/>
    <n v="1"/>
    <n v="7"/>
    <s v="High"/>
    <s v="Smartphone"/>
    <s v="Credit Card"/>
    <d v="2024-06-17T00:00:00"/>
    <b v="0"/>
    <x v="0"/>
    <s v="Planned"/>
    <s v="Express"/>
    <n v="9"/>
  </r>
  <r>
    <x v="947"/>
    <x v="947"/>
    <x v="29"/>
    <x v="1"/>
    <x v="1"/>
    <x v="0"/>
    <x v="0"/>
    <x v="0"/>
    <x v="0"/>
    <x v="917"/>
    <s v="Al Qah"/>
    <s v="Al Qؤپrah"/>
    <s v="Baby Products"/>
    <n v="337.17"/>
    <n v="8"/>
    <s v="In-Store"/>
    <x v="0"/>
    <n v="5"/>
    <n v="0"/>
    <s v="Low"/>
    <s v="Not Sensitive"/>
    <n v="1"/>
    <n v="6"/>
    <s v="Medium"/>
    <s v="Tablet"/>
    <s v="Credit Card"/>
    <d v="2024-07-26T00:00:00"/>
    <b v="0"/>
    <x v="1"/>
    <s v="Wants-based"/>
    <s v="No Preference"/>
    <n v="3"/>
  </r>
  <r>
    <x v="948"/>
    <x v="948"/>
    <x v="0"/>
    <x v="0"/>
    <x v="0"/>
    <x v="1"/>
    <x v="1"/>
    <x v="1"/>
    <x v="1"/>
    <x v="918"/>
    <s v="Antipolo"/>
    <s v="Antipolo"/>
    <s v="Food &amp; Beverages"/>
    <n v="429.24"/>
    <n v="2"/>
    <s v="Online"/>
    <x v="2"/>
    <n v="2"/>
    <n v="2"/>
    <s v="Medium"/>
    <s v="Very Sensitive"/>
    <n v="0"/>
    <n v="3"/>
    <s v="None"/>
    <s v="Desktop"/>
    <s v="Cash"/>
    <d v="2024-03-11T00:00:00"/>
    <b v="0"/>
    <x v="0"/>
    <s v="Planned"/>
    <s v="No Preference"/>
    <n v="13"/>
  </r>
  <r>
    <x v="949"/>
    <x v="949"/>
    <x v="22"/>
    <x v="0"/>
    <x v="0"/>
    <x v="1"/>
    <x v="0"/>
    <x v="1"/>
    <x v="1"/>
    <x v="919"/>
    <s v="Yuyangguan"/>
    <s v="Yuyangguan"/>
    <s v="Electronics"/>
    <n v="197.7"/>
    <n v="7"/>
    <s v="Mixed"/>
    <x v="1"/>
    <n v="5"/>
    <n v="2"/>
    <s v="High"/>
    <s v="Somewhat Sensitive"/>
    <n v="1"/>
    <n v="6"/>
    <s v="Medium"/>
    <s v="Desktop"/>
    <s v="Cash"/>
    <d v="2024-09-27T00:00:00"/>
    <b v="0"/>
    <x v="0"/>
    <s v="Need-based"/>
    <s v="Standard"/>
    <n v="9"/>
  </r>
  <r>
    <x v="950"/>
    <x v="950"/>
    <x v="25"/>
    <x v="1"/>
    <x v="1"/>
    <x v="0"/>
    <x v="0"/>
    <x v="0"/>
    <x v="0"/>
    <x v="920"/>
    <s v="Qiman"/>
    <s v="Qiman"/>
    <s v="Home Appliances"/>
    <n v="336.96"/>
    <n v="2"/>
    <s v="In-Store"/>
    <x v="0"/>
    <n v="2"/>
    <n v="2"/>
    <s v="High"/>
    <s v="Not Sensitive"/>
    <n v="0"/>
    <n v="7"/>
    <s v="Low"/>
    <s v="Tablet"/>
    <s v="PayPal"/>
    <d v="2024-09-05T00:00:00"/>
    <b v="1"/>
    <x v="1"/>
    <s v="Impulsive"/>
    <s v="No Preference"/>
    <n v="7"/>
  </r>
  <r>
    <x v="951"/>
    <x v="951"/>
    <x v="13"/>
    <x v="0"/>
    <x v="0"/>
    <x v="1"/>
    <x v="0"/>
    <x v="1"/>
    <x v="1"/>
    <x v="921"/>
    <s v="Maguwon"/>
    <s v="Maguwon"/>
    <s v="Packages)"/>
    <n v="489.81"/>
    <n v="11"/>
    <s v="Mixed"/>
    <x v="1"/>
    <n v="2"/>
    <n v="1"/>
    <s v="Low"/>
    <s v="Very Sensitive"/>
    <n v="0"/>
    <n v="1"/>
    <s v="None"/>
    <s v="Tablet"/>
    <s v="Credit Card"/>
    <d v="2024-12-22T00:00:00"/>
    <b v="0"/>
    <x v="0"/>
    <s v="Wants-based"/>
    <s v="No Preference"/>
    <n v="3"/>
  </r>
  <r>
    <x v="952"/>
    <x v="952"/>
    <x v="11"/>
    <x v="0"/>
    <x v="0"/>
    <x v="1"/>
    <x v="1"/>
    <x v="1"/>
    <x v="0"/>
    <x v="922"/>
    <s v="Tsibulev"/>
    <s v="Tsibulev"/>
    <s v="Software &amp; Apps"/>
    <n v="455.55"/>
    <n v="8"/>
    <s v="Mixed"/>
    <x v="4"/>
    <n v="4"/>
    <n v="1"/>
    <s v="High"/>
    <s v="Somewhat Sensitive"/>
    <n v="0"/>
    <n v="6"/>
    <s v="High"/>
    <s v="Desktop"/>
    <s v="PayPal"/>
    <d v="2024-10-29T00:00:00"/>
    <b v="0"/>
    <x v="0"/>
    <s v="Planned"/>
    <s v="No Preference"/>
    <n v="10"/>
  </r>
  <r>
    <x v="953"/>
    <x v="953"/>
    <x v="3"/>
    <x v="1"/>
    <x v="1"/>
    <x v="0"/>
    <x v="3"/>
    <x v="2"/>
    <x v="0"/>
    <x v="923"/>
    <s v="San Antonio Aguas Calientes"/>
    <s v="San Antonio Aguas Calientes"/>
    <s v="Mobile Accessories"/>
    <n v="266.61"/>
    <n v="3"/>
    <s v="Online"/>
    <x v="1"/>
    <n v="1"/>
    <n v="1"/>
    <s v="Medium"/>
    <s v="Very Sensitive"/>
    <n v="2"/>
    <n v="8"/>
    <s v="None"/>
    <s v="Tablet"/>
    <s v="Debit Card"/>
    <d v="2024-06-06T00:00:00"/>
    <b v="1"/>
    <x v="0"/>
    <s v="Need-based"/>
    <s v="Standard"/>
    <n v="7"/>
  </r>
  <r>
    <x v="954"/>
    <x v="954"/>
    <x v="17"/>
    <x v="2"/>
    <x v="5"/>
    <x v="0"/>
    <x v="0"/>
    <x v="1"/>
    <x v="1"/>
    <x v="924"/>
    <s v="Pombas"/>
    <s v="Pombas"/>
    <s v="Travel &amp; Leisure (Flights"/>
    <n v="460.88"/>
    <n v="5"/>
    <s v="Mixed"/>
    <x v="1"/>
    <n v="4"/>
    <n v="2"/>
    <s v="None"/>
    <s v="Not Sensitive"/>
    <n v="2"/>
    <n v="4"/>
    <s v="High"/>
    <s v="Tablet"/>
    <s v="Cash"/>
    <d v="2024-04-12T00:00:00"/>
    <b v="1"/>
    <x v="0"/>
    <s v="Impulsive"/>
    <s v="Standard"/>
    <n v="2"/>
  </r>
  <r>
    <x v="955"/>
    <x v="955"/>
    <x v="21"/>
    <x v="1"/>
    <x v="1"/>
    <x v="1"/>
    <x v="1"/>
    <x v="1"/>
    <x v="0"/>
    <x v="925"/>
    <s v="Kuaydinah"/>
    <s v="Kuâ€کaydinah"/>
    <s v="Health Supplements"/>
    <n v="361.4"/>
    <n v="2"/>
    <s v="In-Store"/>
    <x v="2"/>
    <n v="5"/>
    <n v="1"/>
    <s v="Medium"/>
    <s v="Somewhat Sensitive"/>
    <n v="0"/>
    <n v="5"/>
    <s v="Medium"/>
    <s v="Desktop"/>
    <s v="Credit Card"/>
    <d v="2024-12-21T00:00:00"/>
    <b v="0"/>
    <x v="1"/>
    <s v="Impulsive"/>
    <s v="No Preference"/>
    <n v="7"/>
  </r>
  <r>
    <x v="956"/>
    <x v="956"/>
    <x v="26"/>
    <x v="0"/>
    <x v="0"/>
    <x v="0"/>
    <x v="3"/>
    <x v="2"/>
    <x v="0"/>
    <x v="926"/>
    <s v="San Marcos"/>
    <s v="San Marcos"/>
    <s v="Baby Products"/>
    <n v="51.86"/>
    <n v="4"/>
    <s v="Mixed"/>
    <x v="1"/>
    <n v="5"/>
    <n v="0.2"/>
    <s v="Medium"/>
    <s v="Not Sensitive"/>
    <n v="2"/>
    <n v="6"/>
    <s v="High"/>
    <s v="Tablet"/>
    <s v="Credit Card"/>
    <d v="2024-12-25T00:00:00"/>
    <b v="0"/>
    <x v="1"/>
    <s v="Need-based"/>
    <s v="No Preference"/>
    <n v="6"/>
  </r>
  <r>
    <x v="957"/>
    <x v="957"/>
    <x v="23"/>
    <x v="1"/>
    <x v="1"/>
    <x v="0"/>
    <x v="0"/>
    <x v="1"/>
    <x v="0"/>
    <x v="927"/>
    <s v="Chum Phae"/>
    <s v="Chum Phae"/>
    <s v="Office Supplies"/>
    <n v="310.16000000000003"/>
    <n v="5"/>
    <s v="Mixed"/>
    <x v="0"/>
    <n v="3"/>
    <n v="1"/>
    <s v="None"/>
    <s v="Somewhat Sensitive"/>
    <n v="0"/>
    <n v="4"/>
    <s v="High"/>
    <s v="Desktop"/>
    <s v="Cash"/>
    <d v="2024-12-01T00:00:00"/>
    <b v="0"/>
    <x v="0"/>
    <s v="Need-based"/>
    <s v="Standard"/>
    <n v="14"/>
  </r>
  <r>
    <x v="958"/>
    <x v="958"/>
    <x v="13"/>
    <x v="0"/>
    <x v="0"/>
    <x v="0"/>
    <x v="2"/>
    <x v="2"/>
    <x v="0"/>
    <x v="928"/>
    <s v="La Laja"/>
    <s v="La Laja"/>
    <s v="Packages)"/>
    <n v="300.73"/>
    <n v="8"/>
    <s v="Online"/>
    <x v="4"/>
    <n v="2"/>
    <n v="1"/>
    <s v="Low"/>
    <s v="Somewhat Sensitive"/>
    <n v="2"/>
    <n v="9"/>
    <s v="High"/>
    <s v="Desktop"/>
    <s v="Cash"/>
    <d v="2024-03-31T00:00:00"/>
    <b v="1"/>
    <x v="1"/>
    <s v="Need-based"/>
    <s v="No Preference"/>
    <n v="10"/>
  </r>
  <r>
    <x v="959"/>
    <x v="959"/>
    <x v="31"/>
    <x v="0"/>
    <x v="0"/>
    <x v="1"/>
    <x v="0"/>
    <x v="1"/>
    <x v="0"/>
    <x v="929"/>
    <s v="San Juan del Cesar"/>
    <s v="San Juan del Cesar"/>
    <s v="Packages)"/>
    <n v="356.87"/>
    <n v="12"/>
    <s v="Mixed"/>
    <x v="3"/>
    <n v="4"/>
    <n v="0"/>
    <s v="High"/>
    <s v="Not Sensitive"/>
    <n v="1"/>
    <n v="9"/>
    <s v="Medium"/>
    <s v="Smartphone"/>
    <s v="Debit Card"/>
    <d v="2024-10-12T00:00:00"/>
    <b v="0"/>
    <x v="1"/>
    <s v="Impulsive"/>
    <s v="Standard"/>
    <n v="10"/>
  </r>
  <r>
    <x v="960"/>
    <x v="960"/>
    <x v="31"/>
    <x v="1"/>
    <x v="1"/>
    <x v="0"/>
    <x v="2"/>
    <x v="1"/>
    <x v="0"/>
    <x v="930"/>
    <s v="Taiyigong"/>
    <s v="Taiyigong"/>
    <s v="Clothing"/>
    <n v="82.37"/>
    <n v="6"/>
    <s v="Mixed"/>
    <x v="3"/>
    <n v="1"/>
    <n v="1"/>
    <s v="Medium"/>
    <s v="Not Sensitive"/>
    <n v="0"/>
    <n v="4"/>
    <s v="Medium"/>
    <s v="Smartphone"/>
    <s v="Credit Card"/>
    <d v="2024-12-25T00:00:00"/>
    <b v="0"/>
    <x v="0"/>
    <s v="Impulsive"/>
    <s v="Standard"/>
    <n v="2"/>
  </r>
  <r>
    <x v="961"/>
    <x v="961"/>
    <x v="3"/>
    <x v="0"/>
    <x v="0"/>
    <x v="1"/>
    <x v="3"/>
    <x v="0"/>
    <x v="1"/>
    <x v="931"/>
    <s v="Govle"/>
    <s v="Gأ¤vle"/>
    <s v="Clothing"/>
    <n v="372.6"/>
    <n v="3"/>
    <s v="Mixed"/>
    <x v="4"/>
    <n v="5"/>
    <n v="1"/>
    <s v="High"/>
    <s v="Very Sensitive"/>
    <n v="2"/>
    <n v="6"/>
    <s v="Low"/>
    <s v="Tablet"/>
    <s v="PayPal"/>
    <d v="2024-01-11T00:00:00"/>
    <b v="1"/>
    <x v="1"/>
    <s v="Planned"/>
    <s v="Express"/>
    <n v="10"/>
  </r>
  <r>
    <x v="962"/>
    <x v="962"/>
    <x v="3"/>
    <x v="0"/>
    <x v="0"/>
    <x v="0"/>
    <x v="2"/>
    <x v="1"/>
    <x v="1"/>
    <x v="932"/>
    <s v="Tayabamba"/>
    <s v="Tayabamba"/>
    <s v="Animal Feed"/>
    <n v="78.319999999999993"/>
    <n v="9"/>
    <s v="Online"/>
    <x v="2"/>
    <n v="4"/>
    <n v="2"/>
    <s v="Low"/>
    <s v="Somewhat Sensitive"/>
    <n v="2"/>
    <n v="10"/>
    <s v="Low"/>
    <s v="Smartphone"/>
    <s v="PayPal"/>
    <d v="2024-07-29T00:00:00"/>
    <b v="0"/>
    <x v="1"/>
    <s v="Need-based"/>
    <s v="Standard"/>
    <n v="7"/>
  </r>
  <r>
    <x v="963"/>
    <x v="963"/>
    <x v="11"/>
    <x v="0"/>
    <x v="0"/>
    <x v="1"/>
    <x v="1"/>
    <x v="2"/>
    <x v="1"/>
    <x v="933"/>
    <s v="Majennang"/>
    <s v="Majennang"/>
    <s v="Baby Products"/>
    <n v="71.72"/>
    <n v="12"/>
    <s v="Online"/>
    <x v="1"/>
    <n v="5"/>
    <n v="1"/>
    <s v="High"/>
    <s v="Somewhat Sensitive"/>
    <n v="2"/>
    <n v="5"/>
    <s v="Low"/>
    <s v="Tablet"/>
    <s v="PayPal"/>
    <d v="2024-01-11T00:00:00"/>
    <b v="1"/>
    <x v="1"/>
    <s v="Wants-based"/>
    <s v="Express"/>
    <n v="13"/>
  </r>
  <r>
    <x v="964"/>
    <x v="964"/>
    <x v="7"/>
    <x v="0"/>
    <x v="0"/>
    <x v="1"/>
    <x v="1"/>
    <x v="1"/>
    <x v="1"/>
    <x v="934"/>
    <s v="Njeru"/>
    <s v="Njeru"/>
    <s v="Luxury Goods"/>
    <n v="241.1"/>
    <n v="12"/>
    <s v="In-Store"/>
    <x v="3"/>
    <n v="5"/>
    <n v="2"/>
    <s v="None"/>
    <s v="Not Sensitive"/>
    <n v="2"/>
    <n v="2"/>
    <s v="Medium"/>
    <s v="Desktop"/>
    <s v="Credit Card"/>
    <d v="2024-07-30T00:00:00"/>
    <b v="0"/>
    <x v="1"/>
    <s v="Planned"/>
    <s v="No Preference"/>
    <n v="8"/>
  </r>
  <r>
    <x v="965"/>
    <x v="965"/>
    <x v="0"/>
    <x v="1"/>
    <x v="1"/>
    <x v="0"/>
    <x v="0"/>
    <x v="0"/>
    <x v="1"/>
    <x v="935"/>
    <s v="Ambatolaona"/>
    <s v="Ambatolaona"/>
    <s v="Travel &amp; Leisure (Flights"/>
    <n v="96.86"/>
    <n v="9"/>
    <s v="Mixed"/>
    <x v="0"/>
    <n v="5"/>
    <n v="0"/>
    <s v="None"/>
    <s v="Not Sensitive"/>
    <n v="2"/>
    <n v="10"/>
    <s v="Medium"/>
    <s v="Desktop"/>
    <s v="Debit Card"/>
    <d v="2024-07-28T00:00:00"/>
    <b v="0"/>
    <x v="1"/>
    <s v="Wants-based"/>
    <s v="Standard"/>
    <n v="7"/>
  </r>
  <r>
    <x v="966"/>
    <x v="966"/>
    <x v="18"/>
    <x v="1"/>
    <x v="1"/>
    <x v="0"/>
    <x v="3"/>
    <x v="2"/>
    <x v="1"/>
    <x v="936"/>
    <s v="Jianggang"/>
    <s v="Jianggang"/>
    <s v="Food &amp; Beverages"/>
    <n v="276.25"/>
    <n v="11"/>
    <s v="In-Store"/>
    <x v="2"/>
    <n v="1"/>
    <n v="2"/>
    <s v="High"/>
    <s v="Not Sensitive"/>
    <n v="2"/>
    <n v="4"/>
    <s v="None"/>
    <s v="Smartphone"/>
    <s v="Cash"/>
    <d v="2024-11-11T00:00:00"/>
    <b v="1"/>
    <x v="1"/>
    <s v="Impulsive"/>
    <s v="Express"/>
    <n v="8"/>
  </r>
  <r>
    <x v="967"/>
    <x v="967"/>
    <x v="3"/>
    <x v="1"/>
    <x v="1"/>
    <x v="0"/>
    <x v="2"/>
    <x v="2"/>
    <x v="0"/>
    <x v="937"/>
    <s v="Langkou"/>
    <s v="Langkou"/>
    <s v="Office Supplies"/>
    <n v="318.45"/>
    <n v="10"/>
    <s v="In-Store"/>
    <x v="2"/>
    <n v="1"/>
    <n v="2"/>
    <s v="None"/>
    <s v="Somewhat Sensitive"/>
    <n v="2"/>
    <n v="4"/>
    <s v="High"/>
    <s v="Smartphone"/>
    <s v="Other"/>
    <d v="2024-10-25T00:00:00"/>
    <b v="0"/>
    <x v="1"/>
    <s v="Planned"/>
    <s v="No Preference"/>
    <n v="5"/>
  </r>
  <r>
    <x v="968"/>
    <x v="968"/>
    <x v="30"/>
    <x v="0"/>
    <x v="0"/>
    <x v="1"/>
    <x v="0"/>
    <x v="1"/>
    <x v="1"/>
    <x v="938"/>
    <s v="Horn­ Such"/>
    <s v="Hornأ­ Suchأ،"/>
    <s v="Animal Feed"/>
    <n v="117.03"/>
    <n v="6"/>
    <s v="Online"/>
    <x v="1"/>
    <n v="2"/>
    <n v="0"/>
    <s v="None"/>
    <s v="Very Sensitive"/>
    <n v="2"/>
    <n v="9"/>
    <s v="Medium"/>
    <s v="Tablet"/>
    <s v="Cash"/>
    <d v="2024-09-20T00:00:00"/>
    <b v="0"/>
    <x v="0"/>
    <s v="Impulsive"/>
    <s v="Standard"/>
    <n v="5"/>
  </r>
  <r>
    <x v="969"/>
    <x v="969"/>
    <x v="17"/>
    <x v="0"/>
    <x v="0"/>
    <x v="0"/>
    <x v="0"/>
    <x v="2"/>
    <x v="1"/>
    <x v="939"/>
    <s v="Haradok"/>
    <s v="Haradok"/>
    <s v="Toys &amp; Games"/>
    <n v="490.41"/>
    <n v="7"/>
    <s v="Online"/>
    <x v="1"/>
    <n v="5"/>
    <n v="1"/>
    <s v="Medium"/>
    <s v="Very Sensitive"/>
    <n v="1"/>
    <n v="10"/>
    <s v="Low"/>
    <s v="Tablet"/>
    <s v="Other"/>
    <d v="2024-10-22T00:00:00"/>
    <b v="1"/>
    <x v="0"/>
    <s v="Planned"/>
    <s v="Standard"/>
    <n v="5"/>
  </r>
  <r>
    <x v="970"/>
    <x v="970"/>
    <x v="18"/>
    <x v="1"/>
    <x v="1"/>
    <x v="0"/>
    <x v="3"/>
    <x v="0"/>
    <x v="1"/>
    <x v="940"/>
    <s v="Vichuga"/>
    <s v="Vichuga"/>
    <s v="Health Supplements"/>
    <n v="476.42"/>
    <n v="7"/>
    <s v="In-Store"/>
    <x v="3"/>
    <n v="1"/>
    <n v="1"/>
    <s v="High"/>
    <s v="Very Sensitive"/>
    <n v="0"/>
    <n v="2"/>
    <s v="High"/>
    <s v="Desktop"/>
    <s v="Debit Card"/>
    <d v="2024-09-09T00:00:00"/>
    <b v="1"/>
    <x v="0"/>
    <s v="Need-based"/>
    <s v="Standard"/>
    <n v="2"/>
  </r>
  <r>
    <x v="971"/>
    <x v="971"/>
    <x v="3"/>
    <x v="0"/>
    <x v="0"/>
    <x v="1"/>
    <x v="3"/>
    <x v="2"/>
    <x v="1"/>
    <x v="941"/>
    <s v="Luci"/>
    <s v="Luci"/>
    <s v="Beauty &amp; Personal Care"/>
    <n v="392.27"/>
    <n v="5"/>
    <s v="Mixed"/>
    <x v="4"/>
    <n v="5"/>
    <n v="1"/>
    <s v="High"/>
    <s v="Not Sensitive"/>
    <n v="0"/>
    <n v="2"/>
    <s v="Low"/>
    <s v="Tablet"/>
    <s v="Other"/>
    <d v="2024-07-17T00:00:00"/>
    <b v="1"/>
    <x v="0"/>
    <s v="Wants-based"/>
    <s v="No Preference"/>
    <n v="7"/>
  </r>
  <r>
    <x v="972"/>
    <x v="972"/>
    <x v="15"/>
    <x v="1"/>
    <x v="1"/>
    <x v="1"/>
    <x v="1"/>
    <x v="0"/>
    <x v="0"/>
    <x v="942"/>
    <s v="Guolemude"/>
    <s v="Guolemude"/>
    <s v="Hotels"/>
    <n v="207.24"/>
    <n v="9"/>
    <s v="Online"/>
    <x v="2"/>
    <n v="2"/>
    <n v="0"/>
    <s v="Low"/>
    <s v="Not Sensitive"/>
    <n v="0"/>
    <n v="6"/>
    <s v="None"/>
    <s v="Desktop"/>
    <s v="Debit Card"/>
    <d v="2024-05-12T00:00:00"/>
    <b v="1"/>
    <x v="0"/>
    <s v="Impulsive"/>
    <s v="No Preference"/>
    <n v="3"/>
  </r>
  <r>
    <x v="973"/>
    <x v="973"/>
    <x v="20"/>
    <x v="1"/>
    <x v="1"/>
    <x v="1"/>
    <x v="3"/>
    <x v="1"/>
    <x v="0"/>
    <x v="943"/>
    <s v="Prengtale"/>
    <s v="Prengtale"/>
    <s v="Gardening &amp; Outdoors"/>
    <n v="141.63"/>
    <n v="3"/>
    <s v="Online"/>
    <x v="4"/>
    <n v="1"/>
    <n v="1"/>
    <s v="None"/>
    <s v="Somewhat Sensitive"/>
    <n v="1"/>
    <n v="8"/>
    <s v="Low"/>
    <s v="Smartphone"/>
    <s v="Cash"/>
    <d v="2024-10-11T00:00:00"/>
    <b v="1"/>
    <x v="1"/>
    <s v="Planned"/>
    <s v="Express"/>
    <n v="11"/>
  </r>
  <r>
    <x v="974"/>
    <x v="974"/>
    <x v="12"/>
    <x v="1"/>
    <x v="1"/>
    <x v="1"/>
    <x v="2"/>
    <x v="0"/>
    <x v="1"/>
    <x v="944"/>
    <s v="Cabanas"/>
    <s v="Cabanas"/>
    <s v="Home Appliances"/>
    <n v="244.47"/>
    <n v="5"/>
    <s v="Online"/>
    <x v="1"/>
    <n v="4"/>
    <n v="1"/>
    <s v="High"/>
    <s v="Very Sensitive"/>
    <n v="1"/>
    <n v="5"/>
    <s v="Low"/>
    <s v="Smartphone"/>
    <s v="Cash"/>
    <d v="2024-06-23T00:00:00"/>
    <b v="0"/>
    <x v="0"/>
    <s v="Impulsive"/>
    <s v="No Preference"/>
    <n v="4"/>
  </r>
  <r>
    <x v="975"/>
    <x v="975"/>
    <x v="2"/>
    <x v="1"/>
    <x v="1"/>
    <x v="1"/>
    <x v="0"/>
    <x v="2"/>
    <x v="1"/>
    <x v="945"/>
    <s v="Fabd"/>
    <s v="Faؤ«ل؛•ؤپbؤپd"/>
    <s v="Gardening &amp; Outdoors"/>
    <n v="251.63"/>
    <n v="9"/>
    <s v="Online"/>
    <x v="1"/>
    <n v="1"/>
    <n v="0"/>
    <s v="Low"/>
    <s v="Not Sensitive"/>
    <n v="0"/>
    <n v="2"/>
    <s v="High"/>
    <s v="Desktop"/>
    <s v="Credit Card"/>
    <d v="2024-08-23T00:00:00"/>
    <b v="1"/>
    <x v="1"/>
    <s v="Need-based"/>
    <s v="Express"/>
    <n v="10"/>
  </r>
  <r>
    <x v="976"/>
    <x v="976"/>
    <x v="12"/>
    <x v="1"/>
    <x v="1"/>
    <x v="0"/>
    <x v="3"/>
    <x v="0"/>
    <x v="0"/>
    <x v="946"/>
    <s v="Sukumo"/>
    <s v="Sukumo"/>
    <s v="Toys &amp; Games"/>
    <n v="431.78"/>
    <n v="12"/>
    <s v="Online"/>
    <x v="3"/>
    <n v="3"/>
    <n v="1"/>
    <s v="Medium"/>
    <s v="Very Sensitive"/>
    <n v="1"/>
    <n v="8"/>
    <s v="Low"/>
    <s v="Smartphone"/>
    <s v="PayPal"/>
    <d v="2024-02-15T00:00:00"/>
    <b v="1"/>
    <x v="0"/>
    <s v="Impulsive"/>
    <s v="No Preference"/>
    <n v="7"/>
  </r>
  <r>
    <x v="977"/>
    <x v="977"/>
    <x v="14"/>
    <x v="0"/>
    <x v="0"/>
    <x v="0"/>
    <x v="0"/>
    <x v="2"/>
    <x v="1"/>
    <x v="947"/>
    <s v="Fenglu"/>
    <s v="Fenglu"/>
    <s v="Jewelry &amp; Accessories"/>
    <n v="303.08999999999997"/>
    <n v="2"/>
    <s v="Online"/>
    <x v="2"/>
    <n v="5"/>
    <n v="1"/>
    <s v="None"/>
    <s v="Very Sensitive"/>
    <n v="2"/>
    <n v="9"/>
    <s v="None"/>
    <s v="Tablet"/>
    <s v="Other"/>
    <d v="2024-01-10T00:00:00"/>
    <b v="0"/>
    <x v="0"/>
    <s v="Impulsive"/>
    <s v="No Preference"/>
    <n v="11"/>
  </r>
  <r>
    <x v="978"/>
    <x v="978"/>
    <x v="13"/>
    <x v="1"/>
    <x v="1"/>
    <x v="1"/>
    <x v="0"/>
    <x v="0"/>
    <x v="1"/>
    <x v="948"/>
    <s v="Tanjungbalai"/>
    <s v="Tanjungbalai"/>
    <s v="Travel &amp; Leisure (Flights"/>
    <n v="341.24"/>
    <n v="9"/>
    <s v="Mixed"/>
    <x v="0"/>
    <n v="5"/>
    <n v="2"/>
    <s v="Low"/>
    <s v="Somewhat Sensitive"/>
    <n v="1"/>
    <n v="3"/>
    <s v="None"/>
    <s v="Tablet"/>
    <s v="Credit Card"/>
    <d v="2024-11-18T00:00:00"/>
    <b v="1"/>
    <x v="0"/>
    <s v="Need-based"/>
    <s v="Standard"/>
    <n v="4"/>
  </r>
  <r>
    <x v="979"/>
    <x v="979"/>
    <x v="12"/>
    <x v="0"/>
    <x v="0"/>
    <x v="0"/>
    <x v="3"/>
    <x v="2"/>
    <x v="1"/>
    <x v="949"/>
    <s v="Carrefour"/>
    <s v="Carrefour"/>
    <s v="Electronics"/>
    <n v="211.39"/>
    <n v="10"/>
    <s v="Online"/>
    <x v="4"/>
    <n v="5"/>
    <n v="1"/>
    <s v="Medium"/>
    <s v="Not Sensitive"/>
    <n v="0"/>
    <n v="1"/>
    <s v="Low"/>
    <s v="Desktop"/>
    <s v="Other"/>
    <d v="2024-05-10T00:00:00"/>
    <b v="1"/>
    <x v="0"/>
    <s v="Planned"/>
    <s v="Express"/>
    <n v="1"/>
  </r>
  <r>
    <x v="980"/>
    <x v="980"/>
    <x v="7"/>
    <x v="0"/>
    <x v="0"/>
    <x v="0"/>
    <x v="0"/>
    <x v="0"/>
    <x v="0"/>
    <x v="609"/>
    <s v="Tewulike"/>
    <s v="Tewulike"/>
    <s v="Electronics"/>
    <n v="379.21"/>
    <n v="9"/>
    <s v="Mixed"/>
    <x v="3"/>
    <n v="5"/>
    <n v="1"/>
    <s v="Low"/>
    <s v="Somewhat Sensitive"/>
    <n v="1"/>
    <n v="1"/>
    <s v="High"/>
    <s v="Smartphone"/>
    <s v="PayPal"/>
    <d v="2024-09-18T00:00:00"/>
    <b v="1"/>
    <x v="1"/>
    <s v="Impulsive"/>
    <s v="No Preference"/>
    <n v="1"/>
  </r>
  <r>
    <x v="981"/>
    <x v="981"/>
    <x v="19"/>
    <x v="0"/>
    <x v="0"/>
    <x v="1"/>
    <x v="2"/>
    <x v="2"/>
    <x v="1"/>
    <x v="950"/>
    <s v="Hejiang"/>
    <s v="Hejiang"/>
    <s v="Mobile Accessories"/>
    <n v="309.52999999999997"/>
    <n v="8"/>
    <s v="Mixed"/>
    <x v="2"/>
    <n v="1"/>
    <n v="1"/>
    <s v="None"/>
    <s v="Very Sensitive"/>
    <n v="2"/>
    <n v="6"/>
    <s v="None"/>
    <s v="Smartphone"/>
    <s v="Cash"/>
    <d v="2024-04-14T00:00:00"/>
    <b v="0"/>
    <x v="1"/>
    <s v="Planned"/>
    <s v="Standard"/>
    <n v="5"/>
  </r>
  <r>
    <x v="982"/>
    <x v="982"/>
    <x v="18"/>
    <x v="1"/>
    <x v="1"/>
    <x v="0"/>
    <x v="3"/>
    <x v="2"/>
    <x v="1"/>
    <x v="951"/>
    <s v="Yaizu"/>
    <s v="Yaizu"/>
    <s v="Books"/>
    <n v="359.45"/>
    <n v="6"/>
    <s v="Online"/>
    <x v="4"/>
    <n v="1"/>
    <n v="2"/>
    <s v="Low"/>
    <s v="Not Sensitive"/>
    <n v="1"/>
    <n v="8"/>
    <s v="Medium"/>
    <s v="Desktop"/>
    <s v="Other"/>
    <d v="2024-03-06T00:00:00"/>
    <b v="0"/>
    <x v="0"/>
    <s v="Impulsive"/>
    <s v="Standard"/>
    <n v="11"/>
  </r>
  <r>
    <x v="983"/>
    <x v="983"/>
    <x v="28"/>
    <x v="0"/>
    <x v="0"/>
    <x v="1"/>
    <x v="2"/>
    <x v="1"/>
    <x v="0"/>
    <x v="952"/>
    <s v="Kemb"/>
    <s v="Kembأ©"/>
    <s v="Hotels"/>
    <n v="479.62"/>
    <n v="8"/>
    <s v="In-Store"/>
    <x v="1"/>
    <n v="1"/>
    <n v="2"/>
    <s v="High"/>
    <s v="Not Sensitive"/>
    <n v="1"/>
    <n v="3"/>
    <s v="Low"/>
    <s v="Tablet"/>
    <s v="Other"/>
    <d v="2024-04-19T00:00:00"/>
    <b v="0"/>
    <x v="0"/>
    <s v="Planned"/>
    <s v="Express"/>
    <n v="10"/>
  </r>
  <r>
    <x v="984"/>
    <x v="984"/>
    <x v="10"/>
    <x v="1"/>
    <x v="1"/>
    <x v="1"/>
    <x v="0"/>
    <x v="0"/>
    <x v="0"/>
    <x v="953"/>
    <s v="Novokayakent"/>
    <s v="Novokayakent"/>
    <s v="Electronics"/>
    <n v="208.6"/>
    <n v="2"/>
    <s v="Mixed"/>
    <x v="0"/>
    <n v="1"/>
    <n v="2"/>
    <s v="None"/>
    <s v="Somewhat Sensitive"/>
    <n v="0"/>
    <n v="5"/>
    <s v="High"/>
    <s v="Smartphone"/>
    <s v="Credit Card"/>
    <d v="2024-02-29T00:00:00"/>
    <b v="1"/>
    <x v="1"/>
    <s v="Impulsive"/>
    <s v="Standard"/>
    <n v="3"/>
  </r>
  <r>
    <x v="985"/>
    <x v="985"/>
    <x v="17"/>
    <x v="0"/>
    <x v="0"/>
    <x v="0"/>
    <x v="1"/>
    <x v="2"/>
    <x v="1"/>
    <x v="954"/>
    <s v="Hekou"/>
    <s v="Hekou"/>
    <s v="Software &amp; Apps"/>
    <n v="180.21"/>
    <n v="2"/>
    <s v="Mixed"/>
    <x v="0"/>
    <n v="5"/>
    <n v="0"/>
    <s v="None"/>
    <s v="Very Sensitive"/>
    <n v="1"/>
    <n v="1"/>
    <s v="Medium"/>
    <s v="Desktop"/>
    <s v="Cash"/>
    <d v="2024-01-22T00:00:00"/>
    <b v="0"/>
    <x v="1"/>
    <s v="Need-based"/>
    <s v="Express"/>
    <n v="14"/>
  </r>
  <r>
    <x v="986"/>
    <x v="986"/>
    <x v="8"/>
    <x v="1"/>
    <x v="1"/>
    <x v="0"/>
    <x v="1"/>
    <x v="1"/>
    <x v="1"/>
    <x v="955"/>
    <s v="Bailadores"/>
    <s v="Bailadores"/>
    <s v="Electronics"/>
    <n v="197.9"/>
    <n v="3"/>
    <s v="Mixed"/>
    <x v="2"/>
    <n v="1"/>
    <n v="2"/>
    <s v="Medium"/>
    <s v="Not Sensitive"/>
    <n v="0"/>
    <n v="8"/>
    <s v="High"/>
    <s v="Desktop"/>
    <s v="Debit Card"/>
    <d v="2024-01-18T00:00:00"/>
    <b v="1"/>
    <x v="1"/>
    <s v="Wants-based"/>
    <s v="Standard"/>
    <n v="14"/>
  </r>
  <r>
    <x v="987"/>
    <x v="987"/>
    <x v="1"/>
    <x v="1"/>
    <x v="1"/>
    <x v="0"/>
    <x v="1"/>
    <x v="0"/>
    <x v="1"/>
    <x v="956"/>
    <s v="Masuda"/>
    <s v="Masuda"/>
    <s v="Home Appliances"/>
    <n v="362.3"/>
    <n v="7"/>
    <s v="Online"/>
    <x v="4"/>
    <n v="2"/>
    <n v="0.2"/>
    <s v="Low"/>
    <s v="Not Sensitive"/>
    <n v="0"/>
    <n v="4"/>
    <s v="Low"/>
    <s v="Tablet"/>
    <s v="Other"/>
    <d v="2024-09-30T00:00:00"/>
    <b v="1"/>
    <x v="1"/>
    <s v="Planned"/>
    <s v="Standard"/>
    <n v="6"/>
  </r>
  <r>
    <x v="988"/>
    <x v="988"/>
    <x v="8"/>
    <x v="0"/>
    <x v="0"/>
    <x v="1"/>
    <x v="3"/>
    <x v="0"/>
    <x v="1"/>
    <x v="957"/>
    <s v="Martanesh"/>
    <s v="Martanesh"/>
    <s v="Health Supplements"/>
    <n v="159.53"/>
    <n v="11"/>
    <s v="Mixed"/>
    <x v="1"/>
    <n v="4"/>
    <n v="2"/>
    <s v="Low"/>
    <s v="Very Sensitive"/>
    <n v="0"/>
    <n v="3"/>
    <s v="Low"/>
    <s v="Desktop"/>
    <s v="Cash"/>
    <d v="2024-04-27T00:00:00"/>
    <b v="1"/>
    <x v="1"/>
    <s v="Impulsive"/>
    <s v="Express"/>
    <n v="7"/>
  </r>
  <r>
    <x v="989"/>
    <x v="989"/>
    <x v="13"/>
    <x v="0"/>
    <x v="0"/>
    <x v="1"/>
    <x v="2"/>
    <x v="1"/>
    <x v="1"/>
    <x v="958"/>
    <s v="Xinzhou"/>
    <s v="Xinzhou"/>
    <s v="Jewelry &amp; Accessories"/>
    <n v="149.52000000000001"/>
    <n v="9"/>
    <s v="In-Store"/>
    <x v="2"/>
    <n v="5"/>
    <n v="1"/>
    <s v="None"/>
    <s v="Somewhat Sensitive"/>
    <n v="0"/>
    <n v="6"/>
    <s v="None"/>
    <s v="Smartphone"/>
    <s v="Cash"/>
    <d v="2024-03-10T00:00:00"/>
    <b v="0"/>
    <x v="0"/>
    <s v="Wants-based"/>
    <s v="No Preference"/>
    <n v="8"/>
  </r>
  <r>
    <x v="990"/>
    <x v="990"/>
    <x v="24"/>
    <x v="0"/>
    <x v="0"/>
    <x v="1"/>
    <x v="2"/>
    <x v="0"/>
    <x v="1"/>
    <x v="959"/>
    <s v="Nanfeng"/>
    <s v="Nanfeng"/>
    <s v="Toys &amp; Games"/>
    <n v="206.32"/>
    <n v="5"/>
    <s v="Online"/>
    <x v="1"/>
    <n v="3"/>
    <n v="1"/>
    <s v="Low"/>
    <s v="Not Sensitive"/>
    <n v="0"/>
    <n v="4"/>
    <s v="None"/>
    <s v="Desktop"/>
    <s v="PayPal"/>
    <d v="2024-10-12T00:00:00"/>
    <b v="1"/>
    <x v="0"/>
    <s v="Wants-based"/>
    <s v="Express"/>
    <n v="12"/>
  </r>
  <r>
    <x v="991"/>
    <x v="991"/>
    <x v="13"/>
    <x v="2"/>
    <x v="2"/>
    <x v="1"/>
    <x v="1"/>
    <x v="0"/>
    <x v="1"/>
    <x v="960"/>
    <s v="Oke Ila"/>
    <s v="Oke Ila"/>
    <s v="Baby Products"/>
    <n v="308.58"/>
    <n v="11"/>
    <s v="Online"/>
    <x v="2"/>
    <n v="5"/>
    <n v="2"/>
    <s v="Medium"/>
    <s v="Not Sensitive"/>
    <n v="0"/>
    <n v="7"/>
    <s v="Medium"/>
    <s v="Smartphone"/>
    <s v="Debit Card"/>
    <d v="2024-05-21T00:00:00"/>
    <b v="0"/>
    <x v="1"/>
    <s v="Need-based"/>
    <s v="Express"/>
    <n v="12"/>
  </r>
  <r>
    <x v="992"/>
    <x v="992"/>
    <x v="0"/>
    <x v="0"/>
    <x v="0"/>
    <x v="1"/>
    <x v="1"/>
    <x v="1"/>
    <x v="0"/>
    <x v="961"/>
    <s v="Rio Pardo"/>
    <s v="Rio Pardo"/>
    <s v="Groceries"/>
    <n v="91.34"/>
    <n v="5"/>
    <s v="Online"/>
    <x v="2"/>
    <n v="1"/>
    <n v="1"/>
    <s v="None"/>
    <s v="Not Sensitive"/>
    <n v="0"/>
    <n v="1"/>
    <s v="None"/>
    <s v="Smartphone"/>
    <s v="Debit Card"/>
    <d v="2024-01-10T00:00:00"/>
    <b v="1"/>
    <x v="1"/>
    <s v="Impulsive"/>
    <s v="Express"/>
    <n v="6"/>
  </r>
  <r>
    <x v="993"/>
    <x v="993"/>
    <x v="8"/>
    <x v="0"/>
    <x v="0"/>
    <x v="1"/>
    <x v="3"/>
    <x v="1"/>
    <x v="0"/>
    <x v="962"/>
    <s v="Pingtang"/>
    <s v="Pingtang"/>
    <s v="Luxury Goods"/>
    <n v="455.44"/>
    <n v="7"/>
    <s v="Mixed"/>
    <x v="4"/>
    <n v="2"/>
    <n v="1"/>
    <s v="Low"/>
    <s v="Very Sensitive"/>
    <n v="2"/>
    <n v="3"/>
    <s v="Low"/>
    <s v="Smartphone"/>
    <s v="Other"/>
    <d v="2024-05-07T00:00:00"/>
    <b v="0"/>
    <x v="0"/>
    <s v="Need-based"/>
    <s v="No Preference"/>
    <n v="3"/>
  </r>
  <r>
    <x v="994"/>
    <x v="994"/>
    <x v="11"/>
    <x v="0"/>
    <x v="0"/>
    <x v="1"/>
    <x v="3"/>
    <x v="2"/>
    <x v="0"/>
    <x v="963"/>
    <s v="Podbrdo"/>
    <s v="Podbrdo"/>
    <s v="Baby Products"/>
    <n v="468.16"/>
    <n v="8"/>
    <s v="Online"/>
    <x v="1"/>
    <n v="5"/>
    <n v="1"/>
    <s v="Low"/>
    <s v="Somewhat Sensitive"/>
    <n v="1"/>
    <n v="5"/>
    <s v="High"/>
    <s v="Desktop"/>
    <s v="Credit Card"/>
    <d v="2024-01-22T00:00:00"/>
    <b v="0"/>
    <x v="0"/>
    <s v="Planned"/>
    <s v="Standard"/>
    <n v="2"/>
  </r>
  <r>
    <x v="995"/>
    <x v="995"/>
    <x v="32"/>
    <x v="0"/>
    <x v="0"/>
    <x v="1"/>
    <x v="3"/>
    <x v="0"/>
    <x v="1"/>
    <x v="964"/>
    <s v="Aramayuan"/>
    <s v="Aramayuan"/>
    <s v="Mobile Accessories"/>
    <n v="463.67"/>
    <n v="5"/>
    <s v="Online"/>
    <x v="2"/>
    <n v="4"/>
    <n v="0.3"/>
    <s v="High"/>
    <s v="Not Sensitive"/>
    <n v="2"/>
    <n v="4"/>
    <s v="None"/>
    <s v="Tablet"/>
    <s v="PayPal"/>
    <d v="2024-07-07T00:00:00"/>
    <b v="1"/>
    <x v="0"/>
    <s v="Need-based"/>
    <s v="Standard"/>
    <n v="5"/>
  </r>
  <r>
    <x v="996"/>
    <x v="996"/>
    <x v="17"/>
    <x v="0"/>
    <x v="0"/>
    <x v="1"/>
    <x v="1"/>
    <x v="1"/>
    <x v="0"/>
    <x v="965"/>
    <s v="Paquera"/>
    <s v="Paquera"/>
    <s v="Gardening &amp; Outdoors"/>
    <n v="69.78"/>
    <n v="9"/>
    <s v="Mixed"/>
    <x v="4"/>
    <n v="3"/>
    <n v="2"/>
    <s v="Low"/>
    <s v="Very Sensitive"/>
    <n v="0"/>
    <n v="6"/>
    <s v="Low"/>
    <s v="Tablet"/>
    <s v="Cash"/>
    <d v="2024-03-28T00:00:00"/>
    <b v="1"/>
    <x v="0"/>
    <s v="Wants-based"/>
    <s v="No Preference"/>
    <n v="9"/>
  </r>
  <r>
    <x v="997"/>
    <x v="997"/>
    <x v="29"/>
    <x v="1"/>
    <x v="1"/>
    <x v="1"/>
    <x v="0"/>
    <x v="0"/>
    <x v="1"/>
    <x v="966"/>
    <s v="Warudoyong"/>
    <s v="Warudoyong"/>
    <s v="Food &amp; Beverages"/>
    <n v="453.37"/>
    <n v="10"/>
    <s v="Mixed"/>
    <x v="3"/>
    <n v="1"/>
    <n v="2"/>
    <s v="Low"/>
    <s v="Very Sensitive"/>
    <n v="0"/>
    <n v="6"/>
    <s v="High"/>
    <s v="Desktop"/>
    <s v="Credit Card"/>
    <d v="2024-03-11T00:00:00"/>
    <b v="1"/>
    <x v="1"/>
    <s v="Wants-based"/>
    <s v="Express"/>
    <n v="9"/>
  </r>
  <r>
    <x v="998"/>
    <x v="998"/>
    <x v="6"/>
    <x v="0"/>
    <x v="0"/>
    <x v="1"/>
    <x v="2"/>
    <x v="0"/>
    <x v="0"/>
    <x v="967"/>
    <s v="Bziers"/>
    <s v="Bأ©ziers"/>
    <s v="Baby Products"/>
    <n v="106.15"/>
    <n v="12"/>
    <s v="In-Store"/>
    <x v="4"/>
    <n v="4"/>
    <n v="0.3"/>
    <s v="Low"/>
    <s v="Somewhat Sensitive"/>
    <n v="0"/>
    <n v="5"/>
    <s v="Medium"/>
    <s v="Desktop"/>
    <s v="Cash"/>
    <d v="2024-03-30T00:00:00"/>
    <b v="1"/>
    <x v="1"/>
    <s v="Impulsive"/>
    <s v="Standard"/>
    <n v="8"/>
  </r>
  <r>
    <x v="999"/>
    <x v="999"/>
    <x v="6"/>
    <x v="0"/>
    <x v="0"/>
    <x v="0"/>
    <x v="1"/>
    <x v="1"/>
    <x v="1"/>
    <x v="968"/>
    <s v="Dongzhou"/>
    <s v="Dongzhou"/>
    <s v="Health Care"/>
    <n v="378.47"/>
    <n v="6"/>
    <s v="Online"/>
    <x v="0"/>
    <n v="2"/>
    <n v="0.33"/>
    <s v="Medium"/>
    <s v="Not Sensitive"/>
    <n v="1"/>
    <n v="10"/>
    <s v="Low"/>
    <s v="Tablet"/>
    <s v="Other"/>
    <d v="2024-12-08T00:00:00"/>
    <b v="0"/>
    <x v="0"/>
    <s v="Planned"/>
    <s v="Express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FD748-07AF-4D49-BDEE-61925EAA7933}" name="pvt_Loyalty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E30:F34" firstHeaderRow="1" firstDataRow="1" firstDataCol="1"/>
  <pivotFields count="32">
    <pivotField compact="0" outline="0" showAll="0"/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dataField="1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rand_Loyalty" fld="16" subtotal="count" showDataAs="percentOfTotal" baseField="0" baseItem="0" numFmtId="10"/>
  </dataFields>
  <chartFormats count="4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EDE47-1D92-4311-9EC3-7E9B94FE9E77}" name="pvt_Occupation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I18:J21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BF602-4F21-4ED3-80C0-0F9F9EC4C82F}" name="pvt_Income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E19:F22" firstHeaderRow="1" firstDataRow="1" firstDataCol="1"/>
  <pivotFields count="32">
    <pivotField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628EF-2D36-4CFE-8426-50F984E822E9}" name="pvt_Location_Top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6">
  <location ref="I23:J29" firstHeaderRow="1" firstDataRow="1" firstDataCol="1"/>
  <pivotFields count="32">
    <pivotField compact="0" outline="0" showAll="0">
      <items count="1001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name="Location_Top" axis="axisRow" compact="0" outline="0" showAll="0" measureFilter="1" sortType="descending">
      <items count="970">
        <item x="569"/>
        <item x="412"/>
        <item x="566"/>
        <item x="258"/>
        <item x="690"/>
        <item x="414"/>
        <item x="100"/>
        <item x="427"/>
        <item x="381"/>
        <item x="486"/>
        <item x="478"/>
        <item x="638"/>
        <item x="745"/>
        <item x="827"/>
        <item x="580"/>
        <item x="246"/>
        <item x="917"/>
        <item x="541"/>
        <item x="14"/>
        <item x="53"/>
        <item x="237"/>
        <item x="935"/>
        <item x="755"/>
        <item x="708"/>
        <item x="781"/>
        <item x="512"/>
        <item x="918"/>
        <item x="816"/>
        <item x="249"/>
        <item x="206"/>
        <item x="451"/>
        <item x="500"/>
        <item x="964"/>
        <item x="395"/>
        <item x="385"/>
        <item x="615"/>
        <item x="390"/>
        <item x="676"/>
        <item x="839"/>
        <item x="880"/>
        <item x="243"/>
        <item x="221"/>
        <item x="705"/>
        <item x="90"/>
        <item x="715"/>
        <item x="36"/>
        <item x="852"/>
        <item x="955"/>
        <item x="411"/>
        <item x="888"/>
        <item x="195"/>
        <item x="327"/>
        <item x="766"/>
        <item x="24"/>
        <item x="811"/>
        <item x="675"/>
        <item x="768"/>
        <item x="384"/>
        <item x="681"/>
        <item x="187"/>
        <item x="75"/>
        <item x="835"/>
        <item x="730"/>
        <item x="877"/>
        <item x="836"/>
        <item x="893"/>
        <item x="166"/>
        <item x="51"/>
        <item x="140"/>
        <item x="297"/>
        <item x="777"/>
        <item x="242"/>
        <item x="159"/>
        <item x="863"/>
        <item x="619"/>
        <item x="453"/>
        <item x="60"/>
        <item x="809"/>
        <item x="114"/>
        <item x="610"/>
        <item x="289"/>
        <item x="361"/>
        <item x="183"/>
        <item x="514"/>
        <item x="906"/>
        <item x="851"/>
        <item x="614"/>
        <item x="578"/>
        <item x="687"/>
        <item x="345"/>
        <item x="5"/>
        <item x="710"/>
        <item x="227"/>
        <item x="752"/>
        <item x="276"/>
        <item x="285"/>
        <item x="406"/>
        <item x="33"/>
        <item x="526"/>
        <item x="360"/>
        <item x="563"/>
        <item x="416"/>
        <item x="577"/>
        <item x="967"/>
        <item x="944"/>
        <item x="875"/>
        <item x="472"/>
        <item x="713"/>
        <item x="69"/>
        <item x="283"/>
        <item x="391"/>
        <item x="949"/>
        <item x="543"/>
        <item x="750"/>
        <item x="797"/>
        <item x="272"/>
        <item x="547"/>
        <item x="579"/>
        <item x="731"/>
        <item x="799"/>
        <item x="295"/>
        <item x="696"/>
        <item x="617"/>
        <item x="481"/>
        <item x="417"/>
        <item x="404"/>
        <item x="172"/>
        <item x="611"/>
        <item x="902"/>
        <item x="927"/>
        <item x="801"/>
        <item x="448"/>
        <item x="252"/>
        <item x="698"/>
        <item x="363"/>
        <item x="874"/>
        <item x="402"/>
        <item x="408"/>
        <item x="196"/>
        <item x="145"/>
        <item x="521"/>
        <item x="684"/>
        <item x="364"/>
        <item x="268"/>
        <item x="694"/>
        <item x="573"/>
        <item x="788"/>
        <item x="517"/>
        <item x="459"/>
        <item x="313"/>
        <item x="606"/>
        <item x="582"/>
        <item x="496"/>
        <item x="741"/>
        <item x="279"/>
        <item x="264"/>
        <item x="282"/>
        <item x="231"/>
        <item x="746"/>
        <item x="240"/>
        <item x="458"/>
        <item x="447"/>
        <item x="627"/>
        <item x="117"/>
        <item x="200"/>
        <item x="153"/>
        <item x="386"/>
        <item x="426"/>
        <item x="44"/>
        <item x="418"/>
        <item x="421"/>
        <item x="670"/>
        <item x="817"/>
        <item x="805"/>
        <item x="15"/>
        <item x="171"/>
        <item x="564"/>
        <item x="127"/>
        <item x="109"/>
        <item x="643"/>
        <item x="501"/>
        <item x="798"/>
        <item x="677"/>
        <item x="968"/>
        <item x="398"/>
        <item x="149"/>
        <item x="485"/>
        <item x="423"/>
        <item x="207"/>
        <item x="722"/>
        <item x="800"/>
        <item x="583"/>
        <item x="232"/>
        <item x="868"/>
        <item x="887"/>
        <item x="791"/>
        <item x="335"/>
        <item x="886"/>
        <item x="901"/>
        <item x="861"/>
        <item x="652"/>
        <item x="829"/>
        <item x="796"/>
        <item x="0"/>
        <item x="945"/>
        <item x="542"/>
        <item x="779"/>
        <item x="366"/>
        <item x="871"/>
        <item x="96"/>
        <item x="947"/>
        <item x="89"/>
        <item x="607"/>
        <item x="290"/>
        <item x="134"/>
        <item x="94"/>
        <item x="716"/>
        <item x="734"/>
        <item x="344"/>
        <item x="150"/>
        <item x="491"/>
        <item x="548"/>
        <item x="370"/>
        <item x="792"/>
        <item x="58"/>
        <item x="665"/>
        <item x="717"/>
        <item x="120"/>
        <item x="592"/>
        <item x="12"/>
        <item x="907"/>
        <item x="646"/>
        <item x="439"/>
        <item x="555"/>
        <item x="291"/>
        <item x="650"/>
        <item x="661"/>
        <item x="262"/>
        <item x="337"/>
        <item x="806"/>
        <item x="179"/>
        <item x="697"/>
        <item x="80"/>
        <item x="28"/>
        <item x="910"/>
        <item x="136"/>
        <item x="154"/>
        <item x="331"/>
        <item x="931"/>
        <item x="8"/>
        <item x="308"/>
        <item x="475"/>
        <item x="377"/>
        <item x="753"/>
        <item x="81"/>
        <item x="454"/>
        <item x="561"/>
        <item x="532"/>
        <item x="554"/>
        <item x="349"/>
        <item x="691"/>
        <item x="193"/>
        <item x="942"/>
        <item x="908"/>
        <item x="132"/>
        <item x="790"/>
        <item x="456"/>
        <item x="11"/>
        <item x="129"/>
        <item x="202"/>
        <item x="270"/>
        <item x="271"/>
        <item x="939"/>
        <item x="589"/>
        <item x="763"/>
        <item x="747"/>
        <item x="869"/>
        <item x="950"/>
        <item x="954"/>
        <item x="168"/>
        <item x="686"/>
        <item x="255"/>
        <item x="508"/>
        <item x="663"/>
        <item x="883"/>
        <item x="339"/>
        <item x="93"/>
        <item x="70"/>
        <item x="67"/>
        <item x="39"/>
        <item x="73"/>
        <item x="804"/>
        <item x="304"/>
        <item x="938"/>
        <item x="719"/>
        <item x="167"/>
        <item x="59"/>
        <item x="415"/>
        <item x="671"/>
        <item x="213"/>
        <item x="186"/>
        <item x="623"/>
        <item x="208"/>
        <item x="467"/>
        <item x="640"/>
        <item x="353"/>
        <item x="299"/>
        <item x="62"/>
        <item x="1"/>
        <item x="624"/>
        <item x="2"/>
        <item x="832"/>
        <item x="468"/>
        <item x="706"/>
        <item x="34"/>
        <item x="678"/>
        <item x="824"/>
        <item x="61"/>
        <item x="369"/>
        <item x="699"/>
        <item x="912"/>
        <item x="368"/>
        <item x="537"/>
        <item x="516"/>
        <item x="493"/>
        <item x="477"/>
        <item x="642"/>
        <item x="762"/>
        <item x="66"/>
        <item x="862"/>
        <item x="97"/>
        <item x="936"/>
        <item x="236"/>
        <item x="525"/>
        <item x="317"/>
        <item x="559"/>
        <item x="194"/>
        <item x="16"/>
        <item x="160"/>
        <item x="383"/>
        <item x="333"/>
        <item x="420"/>
        <item x="605"/>
        <item x="130"/>
        <item x="347"/>
        <item x="714"/>
        <item x="83"/>
        <item x="621"/>
        <item x="534"/>
        <item x="483"/>
        <item x="754"/>
        <item x="156"/>
        <item x="751"/>
        <item x="795"/>
        <item x="256"/>
        <item x="307"/>
        <item x="770"/>
        <item x="729"/>
        <item x="630"/>
        <item x="358"/>
        <item x="635"/>
        <item x="878"/>
        <item x="124"/>
        <item x="77"/>
        <item x="551"/>
        <item x="119"/>
        <item x="121"/>
        <item x="644"/>
        <item x="773"/>
        <item x="465"/>
        <item x="586"/>
        <item x="952"/>
        <item x="807"/>
        <item x="371"/>
        <item x="312"/>
        <item x="682"/>
        <item x="280"/>
        <item x="709"/>
        <item x="288"/>
        <item x="147"/>
        <item x="192"/>
        <item x="522"/>
        <item x="351"/>
        <item x="126"/>
        <item x="736"/>
        <item x="700"/>
        <item x="864"/>
        <item x="157"/>
        <item x="42"/>
        <item x="362"/>
        <item x="842"/>
        <item x="618"/>
        <item x="382"/>
        <item x="137"/>
        <item x="212"/>
        <item x="648"/>
        <item x="450"/>
        <item x="572"/>
        <item x="701"/>
        <item x="209"/>
        <item x="925"/>
        <item x="217"/>
        <item x="98"/>
        <item x="527"/>
        <item x="905"/>
        <item x="837"/>
        <item x="101"/>
        <item x="528"/>
        <item x="56"/>
        <item x="913"/>
        <item x="928"/>
        <item x="133"/>
        <item x="292"/>
        <item x="397"/>
        <item x="110"/>
        <item x="328"/>
        <item x="287"/>
        <item x="667"/>
        <item x="239"/>
        <item x="562"/>
        <item x="765"/>
        <item x="828"/>
        <item x="162"/>
        <item x="937"/>
        <item x="85"/>
        <item x="830"/>
        <item x="531"/>
        <item x="892"/>
        <item x="590"/>
        <item x="261"/>
        <item x="21"/>
        <item x="840"/>
        <item x="865"/>
        <item x="452"/>
        <item x="92"/>
        <item x="850"/>
        <item x="84"/>
        <item x="629"/>
        <item x="254"/>
        <item x="407"/>
        <item x="904"/>
        <item x="598"/>
        <item x="882"/>
        <item x="410"/>
        <item x="544"/>
        <item x="518"/>
        <item x="6"/>
        <item x="445"/>
        <item x="185"/>
        <item x="399"/>
        <item x="449"/>
        <item x="692"/>
        <item x="567"/>
        <item x="354"/>
        <item x="314"/>
        <item x="259"/>
        <item x="689"/>
        <item x="65"/>
        <item x="822"/>
        <item x="941"/>
        <item x="22"/>
        <item x="672"/>
        <item x="71"/>
        <item x="695"/>
        <item x="429"/>
        <item x="151"/>
        <item x="301"/>
        <item x="662"/>
        <item x="91"/>
        <item x="921"/>
        <item x="302"/>
        <item x="43"/>
        <item x="933"/>
        <item x="879"/>
        <item x="352"/>
        <item x="535"/>
        <item x="141"/>
        <item x="46"/>
        <item x="294"/>
        <item x="123"/>
        <item x="743"/>
        <item x="631"/>
        <item x="885"/>
        <item x="595"/>
        <item x="645"/>
        <item x="471"/>
        <item x="30"/>
        <item x="269"/>
        <item x="957"/>
        <item x="639"/>
        <item x="365"/>
        <item x="876"/>
        <item x="956"/>
        <item x="330"/>
        <item x="660"/>
        <item x="738"/>
        <item x="163"/>
        <item x="764"/>
        <item x="320"/>
        <item x="105"/>
        <item x="574"/>
        <item x="138"/>
        <item x="161"/>
        <item x="188"/>
        <item x="461"/>
        <item x="599"/>
        <item x="703"/>
        <item x="343"/>
        <item x="474"/>
        <item x="143"/>
        <item x="216"/>
        <item x="597"/>
        <item x="659"/>
        <item x="233"/>
        <item x="19"/>
        <item x="315"/>
        <item x="122"/>
        <item x="211"/>
        <item x="634"/>
        <item x="442"/>
        <item x="460"/>
        <item x="25"/>
        <item x="438"/>
        <item x="350"/>
        <item x="323"/>
        <item x="539"/>
        <item x="441"/>
        <item x="265"/>
        <item x="303"/>
        <item x="873"/>
        <item x="106"/>
        <item x="247"/>
        <item x="612"/>
        <item x="403"/>
        <item x="79"/>
        <item x="647"/>
        <item x="782"/>
        <item x="479"/>
        <item x="758"/>
        <item x="608"/>
        <item x="470"/>
        <item x="664"/>
        <item x="396"/>
        <item x="803"/>
        <item x="495"/>
        <item x="50"/>
        <item x="859"/>
        <item x="959"/>
        <item x="557"/>
        <item x="823"/>
        <item x="847"/>
        <item x="509"/>
        <item x="576"/>
        <item x="867"/>
        <item x="4"/>
        <item x="257"/>
        <item x="178"/>
        <item x="490"/>
        <item x="31"/>
        <item x="430"/>
        <item x="688"/>
        <item x="281"/>
        <item x="87"/>
        <item x="334"/>
        <item x="530"/>
        <item x="26"/>
        <item x="846"/>
        <item x="107"/>
        <item x="17"/>
        <item x="387"/>
        <item x="116"/>
        <item x="934"/>
        <item x="600"/>
        <item x="47"/>
        <item x="953"/>
        <item x="724"/>
        <item x="99"/>
        <item x="735"/>
        <item x="524"/>
        <item x="250"/>
        <item x="300"/>
        <item x="125"/>
        <item x="218"/>
        <item x="55"/>
        <item x="683"/>
        <item x="40"/>
        <item x="825"/>
        <item x="960"/>
        <item x="316"/>
        <item x="197"/>
        <item x="225"/>
        <item x="833"/>
        <item x="108"/>
        <item x="238"/>
        <item x="72"/>
        <item x="494"/>
        <item x="329"/>
        <item x="482"/>
        <item x="794"/>
        <item x="498"/>
        <item x="720"/>
        <item x="82"/>
        <item x="519"/>
        <item x="657"/>
        <item x="152"/>
        <item x="341"/>
        <item x="20"/>
        <item x="815"/>
        <item x="870"/>
        <item x="965"/>
        <item x="32"/>
        <item x="173"/>
        <item x="484"/>
        <item x="223"/>
        <item x="76"/>
        <item x="680"/>
        <item x="855"/>
        <item x="27"/>
        <item x="413"/>
        <item x="742"/>
        <item x="466"/>
        <item x="915"/>
        <item x="309"/>
        <item x="131"/>
        <item x="854"/>
        <item x="165"/>
        <item x="860"/>
        <item x="726"/>
        <item x="49"/>
        <item x="748"/>
        <item x="306"/>
        <item x="848"/>
        <item x="506"/>
        <item x="704"/>
        <item x="727"/>
        <item x="757"/>
        <item x="721"/>
        <item x="342"/>
        <item x="761"/>
        <item x="68"/>
        <item x="476"/>
        <item x="380"/>
        <item x="487"/>
        <item x="962"/>
        <item x="632"/>
        <item x="319"/>
        <item x="267"/>
        <item x="434"/>
        <item x="963"/>
        <item x="392"/>
        <item x="111"/>
        <item x="620"/>
        <item x="603"/>
        <item x="102"/>
        <item x="924"/>
        <item x="226"/>
        <item x="175"/>
        <item x="668"/>
        <item x="394"/>
        <item x="760"/>
        <item x="909"/>
        <item x="497"/>
        <item x="943"/>
        <item x="324"/>
        <item x="443"/>
        <item x="235"/>
        <item x="802"/>
        <item x="155"/>
        <item x="54"/>
        <item x="220"/>
        <item x="9"/>
        <item x="457"/>
        <item x="707"/>
        <item x="203"/>
        <item x="182"/>
        <item x="10"/>
        <item x="853"/>
        <item x="113"/>
        <item x="789"/>
        <item x="649"/>
        <item x="540"/>
        <item x="35"/>
        <item x="340"/>
        <item x="920"/>
        <item x="666"/>
        <item x="52"/>
        <item x="759"/>
        <item x="737"/>
        <item x="332"/>
        <item x="266"/>
        <item x="613"/>
        <item x="215"/>
        <item x="785"/>
        <item x="177"/>
        <item x="229"/>
        <item x="428"/>
        <item x="95"/>
        <item x="277"/>
        <item x="310"/>
        <item x="248"/>
        <item x="774"/>
        <item x="464"/>
        <item x="424"/>
        <item x="857"/>
        <item x="488"/>
        <item x="821"/>
        <item x="845"/>
        <item x="961"/>
        <item x="57"/>
        <item x="13"/>
        <item x="655"/>
        <item x="174"/>
        <item x="379"/>
        <item x="513"/>
        <item x="401"/>
        <item x="505"/>
        <item x="37"/>
        <item x="507"/>
        <item x="622"/>
        <item x="733"/>
        <item x="718"/>
        <item x="914"/>
        <item x="375"/>
        <item x="278"/>
        <item x="814"/>
        <item x="628"/>
        <item x="422"/>
        <item x="856"/>
        <item x="462"/>
        <item x="923"/>
        <item x="820"/>
        <item x="784"/>
        <item x="656"/>
        <item x="872"/>
        <item x="214"/>
        <item x="929"/>
        <item x="305"/>
        <item x="926"/>
        <item x="602"/>
        <item x="654"/>
        <item x="199"/>
        <item x="499"/>
        <item x="88"/>
        <item x="813"/>
        <item x="502"/>
        <item x="86"/>
        <item x="446"/>
        <item x="881"/>
        <item x="45"/>
        <item x="355"/>
        <item x="405"/>
        <item x="409"/>
        <item x="529"/>
        <item x="293"/>
        <item x="669"/>
        <item x="587"/>
        <item x="241"/>
        <item x="210"/>
        <item x="545"/>
        <item x="425"/>
        <item x="419"/>
        <item x="78"/>
        <item x="176"/>
        <item x="275"/>
        <item x="585"/>
        <item x="128"/>
        <item x="503"/>
        <item x="348"/>
        <item x="435"/>
        <item x="222"/>
        <item x="756"/>
        <item x="841"/>
        <item x="739"/>
        <item x="63"/>
        <item x="191"/>
        <item x="181"/>
        <item x="318"/>
        <item x="658"/>
        <item x="169"/>
        <item x="604"/>
        <item x="389"/>
        <item x="230"/>
        <item x="511"/>
        <item x="431"/>
        <item x="641"/>
        <item x="889"/>
        <item x="378"/>
        <item x="359"/>
        <item x="890"/>
        <item x="400"/>
        <item x="903"/>
        <item x="23"/>
        <item x="769"/>
        <item x="556"/>
        <item x="489"/>
        <item x="338"/>
        <item x="146"/>
        <item x="749"/>
        <item x="48"/>
        <item x="336"/>
        <item x="786"/>
        <item x="139"/>
        <item x="767"/>
        <item x="673"/>
        <item x="224"/>
        <item x="38"/>
        <item x="64"/>
        <item x="946"/>
        <item x="244"/>
        <item x="636"/>
        <item x="148"/>
        <item x="284"/>
        <item x="593"/>
        <item x="533"/>
        <item x="251"/>
        <item x="274"/>
        <item x="930"/>
        <item x="480"/>
        <item x="560"/>
        <item x="780"/>
        <item x="793"/>
        <item x="473"/>
        <item x="891"/>
        <item x="510"/>
        <item x="463"/>
        <item x="849"/>
        <item x="911"/>
        <item x="783"/>
        <item x="948"/>
        <item x="558"/>
        <item x="772"/>
        <item x="826"/>
        <item x="7"/>
        <item x="601"/>
        <item x="884"/>
        <item x="932"/>
        <item x="205"/>
        <item x="357"/>
        <item x="115"/>
        <item x="609"/>
        <item x="228"/>
        <item x="616"/>
        <item x="581"/>
        <item x="520"/>
        <item x="112"/>
        <item x="440"/>
        <item x="432"/>
        <item x="436"/>
        <item x="633"/>
        <item x="896"/>
        <item x="897"/>
        <item x="594"/>
        <item x="744"/>
        <item x="29"/>
        <item x="118"/>
        <item x="584"/>
        <item x="679"/>
        <item x="74"/>
        <item x="41"/>
        <item x="198"/>
        <item x="376"/>
        <item x="311"/>
        <item x="104"/>
        <item x="549"/>
        <item x="626"/>
        <item x="922"/>
        <item x="810"/>
        <item x="838"/>
        <item x="504"/>
        <item x="469"/>
        <item x="437"/>
        <item x="492"/>
        <item x="515"/>
        <item x="245"/>
        <item x="536"/>
        <item x="711"/>
        <item x="808"/>
        <item x="818"/>
        <item x="771"/>
        <item x="940"/>
        <item x="298"/>
        <item x="393"/>
        <item x="201"/>
        <item x="433"/>
        <item x="776"/>
        <item x="844"/>
        <item x="180"/>
        <item x="142"/>
        <item x="787"/>
        <item x="553"/>
        <item x="552"/>
        <item x="728"/>
        <item x="234"/>
        <item x="898"/>
        <item x="778"/>
        <item x="568"/>
        <item x="253"/>
        <item x="900"/>
        <item x="966"/>
        <item x="899"/>
        <item x="273"/>
        <item x="18"/>
        <item x="3"/>
        <item x="775"/>
        <item x="819"/>
        <item x="685"/>
        <item x="725"/>
        <item x="831"/>
        <item x="894"/>
        <item x="570"/>
        <item x="455"/>
        <item x="372"/>
        <item x="286"/>
        <item x="388"/>
        <item x="326"/>
        <item x="565"/>
        <item x="702"/>
        <item x="204"/>
        <item x="653"/>
        <item x="170"/>
        <item x="596"/>
        <item x="625"/>
        <item x="219"/>
        <item x="916"/>
        <item x="958"/>
        <item x="373"/>
        <item x="189"/>
        <item x="723"/>
        <item x="951"/>
        <item x="550"/>
        <item x="732"/>
        <item x="296"/>
        <item x="356"/>
        <item x="374"/>
        <item x="740"/>
        <item x="367"/>
        <item x="812"/>
        <item x="164"/>
        <item x="588"/>
        <item x="575"/>
        <item x="546"/>
        <item x="843"/>
        <item x="263"/>
        <item x="866"/>
        <item x="693"/>
        <item x="538"/>
        <item x="184"/>
        <item x="919"/>
        <item x="190"/>
        <item x="444"/>
        <item x="103"/>
        <item x="346"/>
        <item x="858"/>
        <item x="674"/>
        <item x="325"/>
        <item x="322"/>
        <item x="895"/>
        <item x="144"/>
        <item x="135"/>
        <item x="591"/>
        <item x="158"/>
        <item x="834"/>
        <item x="651"/>
        <item x="260"/>
        <item x="523"/>
        <item x="712"/>
        <item x="321"/>
        <item x="571"/>
        <item x="6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 v="252"/>
    </i>
    <i>
      <x v="592"/>
    </i>
    <i>
      <x v="675"/>
    </i>
    <i>
      <x v="468"/>
    </i>
    <i>
      <x v="292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F11C9-61CF-47AA-81D5-B545CC2BA679}" name="pvt_Location_Bottom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L23:M29" firstHeaderRow="1" firstDataRow="1" firstDataCol="1"/>
  <pivotFields count="32">
    <pivotField compact="0" outline="0" showAll="0">
      <items count="1001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name="Location_Bottom" axis="axisRow" compact="0" outline="0" showAll="0" measureFilter="1" sortType="descending">
      <items count="970">
        <item x="569"/>
        <item x="412"/>
        <item x="566"/>
        <item x="258"/>
        <item x="690"/>
        <item x="414"/>
        <item x="100"/>
        <item x="427"/>
        <item x="381"/>
        <item x="486"/>
        <item x="478"/>
        <item x="638"/>
        <item x="745"/>
        <item x="827"/>
        <item x="580"/>
        <item x="246"/>
        <item x="917"/>
        <item x="541"/>
        <item x="14"/>
        <item x="53"/>
        <item x="237"/>
        <item x="935"/>
        <item x="755"/>
        <item x="708"/>
        <item x="781"/>
        <item x="512"/>
        <item x="918"/>
        <item x="816"/>
        <item x="249"/>
        <item x="206"/>
        <item x="451"/>
        <item x="500"/>
        <item x="964"/>
        <item x="395"/>
        <item x="385"/>
        <item x="615"/>
        <item x="390"/>
        <item x="676"/>
        <item x="839"/>
        <item x="880"/>
        <item x="243"/>
        <item x="221"/>
        <item x="705"/>
        <item x="90"/>
        <item x="715"/>
        <item x="36"/>
        <item x="852"/>
        <item x="955"/>
        <item x="411"/>
        <item x="888"/>
        <item x="195"/>
        <item x="327"/>
        <item x="766"/>
        <item x="24"/>
        <item x="811"/>
        <item x="675"/>
        <item x="768"/>
        <item x="384"/>
        <item x="681"/>
        <item x="187"/>
        <item x="75"/>
        <item x="835"/>
        <item x="730"/>
        <item x="877"/>
        <item x="836"/>
        <item x="893"/>
        <item x="166"/>
        <item x="51"/>
        <item x="140"/>
        <item x="297"/>
        <item x="777"/>
        <item x="242"/>
        <item x="159"/>
        <item x="863"/>
        <item x="619"/>
        <item x="453"/>
        <item x="60"/>
        <item x="809"/>
        <item x="114"/>
        <item x="610"/>
        <item x="289"/>
        <item x="361"/>
        <item x="183"/>
        <item x="514"/>
        <item x="906"/>
        <item x="851"/>
        <item x="614"/>
        <item x="578"/>
        <item x="687"/>
        <item x="345"/>
        <item x="5"/>
        <item x="710"/>
        <item x="227"/>
        <item x="752"/>
        <item x="276"/>
        <item x="285"/>
        <item x="406"/>
        <item x="33"/>
        <item x="526"/>
        <item x="360"/>
        <item x="563"/>
        <item x="416"/>
        <item x="577"/>
        <item x="967"/>
        <item x="944"/>
        <item x="875"/>
        <item x="472"/>
        <item x="713"/>
        <item x="69"/>
        <item x="283"/>
        <item x="391"/>
        <item x="949"/>
        <item x="543"/>
        <item x="750"/>
        <item x="797"/>
        <item x="272"/>
        <item x="547"/>
        <item x="579"/>
        <item x="731"/>
        <item x="799"/>
        <item x="295"/>
        <item x="696"/>
        <item x="617"/>
        <item x="481"/>
        <item x="417"/>
        <item x="404"/>
        <item x="172"/>
        <item x="611"/>
        <item x="902"/>
        <item x="927"/>
        <item x="801"/>
        <item x="448"/>
        <item x="252"/>
        <item x="698"/>
        <item x="363"/>
        <item x="874"/>
        <item x="402"/>
        <item x="408"/>
        <item x="196"/>
        <item x="145"/>
        <item x="521"/>
        <item x="684"/>
        <item x="364"/>
        <item x="268"/>
        <item x="694"/>
        <item x="573"/>
        <item x="788"/>
        <item x="517"/>
        <item x="459"/>
        <item x="313"/>
        <item x="606"/>
        <item x="582"/>
        <item x="496"/>
        <item x="741"/>
        <item x="279"/>
        <item x="264"/>
        <item x="282"/>
        <item x="231"/>
        <item x="746"/>
        <item x="240"/>
        <item x="458"/>
        <item x="447"/>
        <item x="627"/>
        <item x="117"/>
        <item x="200"/>
        <item x="153"/>
        <item x="386"/>
        <item x="426"/>
        <item x="44"/>
        <item x="418"/>
        <item x="421"/>
        <item x="670"/>
        <item x="817"/>
        <item x="805"/>
        <item x="15"/>
        <item x="171"/>
        <item x="564"/>
        <item x="127"/>
        <item x="109"/>
        <item x="643"/>
        <item x="501"/>
        <item x="798"/>
        <item x="677"/>
        <item x="968"/>
        <item x="398"/>
        <item x="149"/>
        <item x="485"/>
        <item x="423"/>
        <item x="207"/>
        <item x="722"/>
        <item x="800"/>
        <item x="583"/>
        <item x="232"/>
        <item x="868"/>
        <item x="887"/>
        <item x="791"/>
        <item x="335"/>
        <item x="886"/>
        <item x="901"/>
        <item x="861"/>
        <item x="652"/>
        <item x="829"/>
        <item x="796"/>
        <item x="0"/>
        <item x="945"/>
        <item x="542"/>
        <item x="779"/>
        <item x="366"/>
        <item x="871"/>
        <item x="96"/>
        <item x="947"/>
        <item x="89"/>
        <item x="607"/>
        <item x="290"/>
        <item x="134"/>
        <item x="94"/>
        <item x="716"/>
        <item x="734"/>
        <item x="344"/>
        <item x="150"/>
        <item x="491"/>
        <item x="548"/>
        <item x="370"/>
        <item x="792"/>
        <item x="58"/>
        <item x="665"/>
        <item x="717"/>
        <item x="120"/>
        <item x="592"/>
        <item x="12"/>
        <item x="907"/>
        <item x="646"/>
        <item x="439"/>
        <item x="555"/>
        <item x="291"/>
        <item x="650"/>
        <item x="661"/>
        <item x="262"/>
        <item x="337"/>
        <item x="806"/>
        <item x="179"/>
        <item x="697"/>
        <item x="80"/>
        <item x="28"/>
        <item x="910"/>
        <item x="136"/>
        <item x="154"/>
        <item x="331"/>
        <item x="931"/>
        <item x="8"/>
        <item x="308"/>
        <item x="475"/>
        <item x="377"/>
        <item x="753"/>
        <item x="81"/>
        <item x="454"/>
        <item x="561"/>
        <item x="532"/>
        <item x="554"/>
        <item x="349"/>
        <item x="691"/>
        <item x="193"/>
        <item x="942"/>
        <item x="908"/>
        <item x="132"/>
        <item x="790"/>
        <item x="456"/>
        <item x="11"/>
        <item x="129"/>
        <item x="202"/>
        <item x="270"/>
        <item x="271"/>
        <item x="939"/>
        <item x="589"/>
        <item x="763"/>
        <item x="747"/>
        <item x="869"/>
        <item x="950"/>
        <item x="954"/>
        <item x="168"/>
        <item x="686"/>
        <item x="255"/>
        <item x="508"/>
        <item x="663"/>
        <item x="883"/>
        <item x="339"/>
        <item x="93"/>
        <item x="70"/>
        <item x="67"/>
        <item x="39"/>
        <item x="73"/>
        <item x="804"/>
        <item x="304"/>
        <item x="938"/>
        <item x="719"/>
        <item x="167"/>
        <item x="59"/>
        <item x="415"/>
        <item x="671"/>
        <item x="213"/>
        <item x="186"/>
        <item x="623"/>
        <item x="208"/>
        <item x="467"/>
        <item x="640"/>
        <item x="353"/>
        <item x="299"/>
        <item x="62"/>
        <item x="1"/>
        <item x="624"/>
        <item x="2"/>
        <item x="832"/>
        <item x="468"/>
        <item x="706"/>
        <item x="34"/>
        <item x="678"/>
        <item x="824"/>
        <item x="61"/>
        <item x="369"/>
        <item x="699"/>
        <item x="912"/>
        <item x="368"/>
        <item x="537"/>
        <item x="516"/>
        <item x="493"/>
        <item x="477"/>
        <item x="642"/>
        <item x="762"/>
        <item x="66"/>
        <item x="862"/>
        <item x="97"/>
        <item x="936"/>
        <item x="236"/>
        <item x="525"/>
        <item x="317"/>
        <item x="559"/>
        <item x="194"/>
        <item x="16"/>
        <item x="160"/>
        <item x="383"/>
        <item x="333"/>
        <item x="420"/>
        <item x="605"/>
        <item x="130"/>
        <item x="347"/>
        <item x="714"/>
        <item x="83"/>
        <item x="621"/>
        <item x="534"/>
        <item x="483"/>
        <item x="754"/>
        <item x="156"/>
        <item x="751"/>
        <item x="795"/>
        <item x="256"/>
        <item x="307"/>
        <item x="770"/>
        <item x="729"/>
        <item x="630"/>
        <item x="358"/>
        <item x="635"/>
        <item x="878"/>
        <item x="124"/>
        <item x="77"/>
        <item x="551"/>
        <item x="119"/>
        <item x="121"/>
        <item x="644"/>
        <item x="773"/>
        <item x="465"/>
        <item x="586"/>
        <item x="952"/>
        <item x="807"/>
        <item x="371"/>
        <item x="312"/>
        <item x="682"/>
        <item x="280"/>
        <item x="709"/>
        <item x="288"/>
        <item x="147"/>
        <item x="192"/>
        <item x="522"/>
        <item x="351"/>
        <item x="126"/>
        <item x="736"/>
        <item x="700"/>
        <item x="864"/>
        <item x="157"/>
        <item x="42"/>
        <item x="362"/>
        <item x="842"/>
        <item x="618"/>
        <item x="382"/>
        <item x="137"/>
        <item x="212"/>
        <item x="648"/>
        <item x="450"/>
        <item x="572"/>
        <item x="701"/>
        <item x="209"/>
        <item x="925"/>
        <item x="217"/>
        <item x="98"/>
        <item x="527"/>
        <item x="905"/>
        <item x="837"/>
        <item x="101"/>
        <item x="528"/>
        <item x="56"/>
        <item x="913"/>
        <item x="928"/>
        <item x="133"/>
        <item x="292"/>
        <item x="397"/>
        <item x="110"/>
        <item x="328"/>
        <item x="287"/>
        <item x="667"/>
        <item x="239"/>
        <item x="562"/>
        <item x="765"/>
        <item x="828"/>
        <item x="162"/>
        <item x="937"/>
        <item x="85"/>
        <item x="830"/>
        <item x="531"/>
        <item x="892"/>
        <item x="590"/>
        <item x="261"/>
        <item x="21"/>
        <item x="840"/>
        <item x="865"/>
        <item x="452"/>
        <item x="92"/>
        <item x="850"/>
        <item x="84"/>
        <item x="629"/>
        <item x="254"/>
        <item x="407"/>
        <item x="904"/>
        <item x="598"/>
        <item x="882"/>
        <item x="410"/>
        <item x="544"/>
        <item x="518"/>
        <item x="6"/>
        <item x="445"/>
        <item x="185"/>
        <item x="399"/>
        <item x="449"/>
        <item x="692"/>
        <item x="567"/>
        <item x="354"/>
        <item x="314"/>
        <item x="259"/>
        <item x="689"/>
        <item x="65"/>
        <item x="822"/>
        <item x="941"/>
        <item x="22"/>
        <item x="672"/>
        <item x="71"/>
        <item x="695"/>
        <item x="429"/>
        <item x="151"/>
        <item x="301"/>
        <item x="662"/>
        <item x="91"/>
        <item x="921"/>
        <item x="302"/>
        <item x="43"/>
        <item x="933"/>
        <item x="879"/>
        <item x="352"/>
        <item x="535"/>
        <item x="141"/>
        <item x="46"/>
        <item x="294"/>
        <item x="123"/>
        <item x="743"/>
        <item x="631"/>
        <item x="885"/>
        <item x="595"/>
        <item x="645"/>
        <item x="471"/>
        <item x="30"/>
        <item x="269"/>
        <item x="957"/>
        <item x="639"/>
        <item x="365"/>
        <item x="876"/>
        <item x="956"/>
        <item x="330"/>
        <item x="660"/>
        <item x="738"/>
        <item x="163"/>
        <item x="764"/>
        <item x="320"/>
        <item x="105"/>
        <item x="574"/>
        <item x="138"/>
        <item x="161"/>
        <item x="188"/>
        <item x="461"/>
        <item x="599"/>
        <item x="703"/>
        <item x="343"/>
        <item x="474"/>
        <item x="143"/>
        <item x="216"/>
        <item x="597"/>
        <item x="659"/>
        <item x="233"/>
        <item x="19"/>
        <item x="315"/>
        <item x="122"/>
        <item x="211"/>
        <item x="634"/>
        <item x="442"/>
        <item x="460"/>
        <item x="25"/>
        <item x="438"/>
        <item x="350"/>
        <item x="323"/>
        <item x="539"/>
        <item x="441"/>
        <item x="265"/>
        <item x="303"/>
        <item x="873"/>
        <item x="106"/>
        <item x="247"/>
        <item x="612"/>
        <item x="403"/>
        <item x="79"/>
        <item x="647"/>
        <item x="782"/>
        <item x="479"/>
        <item x="758"/>
        <item x="608"/>
        <item x="470"/>
        <item x="664"/>
        <item x="396"/>
        <item x="803"/>
        <item x="495"/>
        <item x="50"/>
        <item x="859"/>
        <item x="959"/>
        <item x="557"/>
        <item x="823"/>
        <item x="847"/>
        <item x="509"/>
        <item x="576"/>
        <item x="867"/>
        <item x="4"/>
        <item x="257"/>
        <item x="178"/>
        <item x="490"/>
        <item x="31"/>
        <item x="430"/>
        <item x="688"/>
        <item x="281"/>
        <item x="87"/>
        <item x="334"/>
        <item x="530"/>
        <item x="26"/>
        <item x="846"/>
        <item x="107"/>
        <item x="17"/>
        <item x="387"/>
        <item x="116"/>
        <item x="934"/>
        <item x="600"/>
        <item x="47"/>
        <item x="953"/>
        <item x="724"/>
        <item x="99"/>
        <item x="735"/>
        <item x="524"/>
        <item x="250"/>
        <item x="300"/>
        <item x="125"/>
        <item x="218"/>
        <item x="55"/>
        <item x="683"/>
        <item x="40"/>
        <item x="825"/>
        <item x="960"/>
        <item x="316"/>
        <item x="197"/>
        <item x="225"/>
        <item x="833"/>
        <item x="108"/>
        <item x="238"/>
        <item x="72"/>
        <item x="494"/>
        <item x="329"/>
        <item x="482"/>
        <item x="794"/>
        <item x="498"/>
        <item x="720"/>
        <item x="82"/>
        <item x="519"/>
        <item x="657"/>
        <item x="152"/>
        <item x="341"/>
        <item x="20"/>
        <item x="815"/>
        <item x="870"/>
        <item x="965"/>
        <item x="32"/>
        <item x="173"/>
        <item x="484"/>
        <item x="223"/>
        <item x="76"/>
        <item x="680"/>
        <item x="855"/>
        <item x="27"/>
        <item x="413"/>
        <item x="742"/>
        <item x="466"/>
        <item x="915"/>
        <item x="309"/>
        <item x="131"/>
        <item x="854"/>
        <item x="165"/>
        <item x="860"/>
        <item x="726"/>
        <item x="49"/>
        <item x="748"/>
        <item x="306"/>
        <item x="848"/>
        <item x="506"/>
        <item x="704"/>
        <item x="727"/>
        <item x="757"/>
        <item x="721"/>
        <item x="342"/>
        <item x="761"/>
        <item x="68"/>
        <item x="476"/>
        <item x="380"/>
        <item x="487"/>
        <item x="962"/>
        <item x="632"/>
        <item x="319"/>
        <item x="267"/>
        <item x="434"/>
        <item x="963"/>
        <item x="392"/>
        <item x="111"/>
        <item x="620"/>
        <item x="603"/>
        <item x="102"/>
        <item x="924"/>
        <item x="226"/>
        <item x="175"/>
        <item x="668"/>
        <item x="394"/>
        <item x="760"/>
        <item x="909"/>
        <item x="497"/>
        <item x="943"/>
        <item x="324"/>
        <item x="443"/>
        <item x="235"/>
        <item x="802"/>
        <item x="155"/>
        <item x="54"/>
        <item x="220"/>
        <item x="9"/>
        <item x="457"/>
        <item x="707"/>
        <item x="203"/>
        <item x="182"/>
        <item x="10"/>
        <item x="853"/>
        <item x="113"/>
        <item x="789"/>
        <item x="649"/>
        <item x="540"/>
        <item x="35"/>
        <item x="340"/>
        <item x="920"/>
        <item x="666"/>
        <item x="52"/>
        <item x="759"/>
        <item x="737"/>
        <item x="332"/>
        <item x="266"/>
        <item x="613"/>
        <item x="215"/>
        <item x="785"/>
        <item x="177"/>
        <item x="229"/>
        <item x="428"/>
        <item x="95"/>
        <item x="277"/>
        <item x="310"/>
        <item x="248"/>
        <item x="774"/>
        <item x="464"/>
        <item x="424"/>
        <item x="857"/>
        <item x="488"/>
        <item x="821"/>
        <item x="845"/>
        <item x="961"/>
        <item x="57"/>
        <item x="13"/>
        <item x="655"/>
        <item x="174"/>
        <item x="379"/>
        <item x="513"/>
        <item x="401"/>
        <item x="505"/>
        <item x="37"/>
        <item x="507"/>
        <item x="622"/>
        <item x="733"/>
        <item x="718"/>
        <item x="914"/>
        <item x="375"/>
        <item x="278"/>
        <item x="814"/>
        <item x="628"/>
        <item x="422"/>
        <item x="856"/>
        <item x="462"/>
        <item x="923"/>
        <item x="820"/>
        <item x="784"/>
        <item x="656"/>
        <item x="872"/>
        <item x="214"/>
        <item x="929"/>
        <item x="305"/>
        <item x="926"/>
        <item x="602"/>
        <item x="654"/>
        <item x="199"/>
        <item x="499"/>
        <item x="88"/>
        <item x="813"/>
        <item x="502"/>
        <item x="86"/>
        <item x="446"/>
        <item x="881"/>
        <item x="45"/>
        <item x="355"/>
        <item x="405"/>
        <item x="409"/>
        <item x="529"/>
        <item x="293"/>
        <item x="669"/>
        <item x="587"/>
        <item x="241"/>
        <item x="210"/>
        <item x="545"/>
        <item x="425"/>
        <item x="419"/>
        <item x="78"/>
        <item x="176"/>
        <item x="275"/>
        <item x="585"/>
        <item x="128"/>
        <item x="503"/>
        <item x="348"/>
        <item x="435"/>
        <item x="222"/>
        <item x="756"/>
        <item x="841"/>
        <item x="739"/>
        <item x="63"/>
        <item x="191"/>
        <item x="181"/>
        <item x="318"/>
        <item x="658"/>
        <item x="169"/>
        <item x="604"/>
        <item x="389"/>
        <item x="230"/>
        <item x="511"/>
        <item x="431"/>
        <item x="641"/>
        <item x="889"/>
        <item x="378"/>
        <item x="359"/>
        <item x="890"/>
        <item x="400"/>
        <item x="903"/>
        <item x="23"/>
        <item x="769"/>
        <item x="556"/>
        <item x="489"/>
        <item x="338"/>
        <item x="146"/>
        <item x="749"/>
        <item x="48"/>
        <item x="336"/>
        <item x="786"/>
        <item x="139"/>
        <item x="767"/>
        <item x="673"/>
        <item x="224"/>
        <item x="38"/>
        <item x="64"/>
        <item x="946"/>
        <item x="244"/>
        <item x="636"/>
        <item x="148"/>
        <item x="284"/>
        <item x="593"/>
        <item x="533"/>
        <item x="251"/>
        <item x="274"/>
        <item x="930"/>
        <item x="480"/>
        <item x="560"/>
        <item x="780"/>
        <item x="793"/>
        <item x="473"/>
        <item x="891"/>
        <item x="510"/>
        <item x="463"/>
        <item x="849"/>
        <item x="911"/>
        <item x="783"/>
        <item x="948"/>
        <item x="558"/>
        <item x="772"/>
        <item x="826"/>
        <item x="7"/>
        <item x="601"/>
        <item x="884"/>
        <item x="932"/>
        <item x="205"/>
        <item x="357"/>
        <item x="115"/>
        <item x="609"/>
        <item x="228"/>
        <item x="616"/>
        <item x="581"/>
        <item x="520"/>
        <item x="112"/>
        <item x="440"/>
        <item x="432"/>
        <item x="436"/>
        <item x="633"/>
        <item x="896"/>
        <item x="897"/>
        <item x="594"/>
        <item x="744"/>
        <item x="29"/>
        <item x="118"/>
        <item x="584"/>
        <item x="679"/>
        <item x="74"/>
        <item x="41"/>
        <item x="198"/>
        <item x="376"/>
        <item x="311"/>
        <item x="104"/>
        <item x="549"/>
        <item x="626"/>
        <item x="922"/>
        <item x="810"/>
        <item x="838"/>
        <item x="504"/>
        <item x="469"/>
        <item x="437"/>
        <item x="492"/>
        <item x="515"/>
        <item x="245"/>
        <item x="536"/>
        <item x="711"/>
        <item x="808"/>
        <item x="818"/>
        <item x="771"/>
        <item x="940"/>
        <item x="298"/>
        <item x="393"/>
        <item x="201"/>
        <item x="433"/>
        <item x="776"/>
        <item x="844"/>
        <item x="180"/>
        <item x="142"/>
        <item x="787"/>
        <item x="553"/>
        <item x="552"/>
        <item x="728"/>
        <item x="234"/>
        <item x="898"/>
        <item x="778"/>
        <item x="568"/>
        <item x="253"/>
        <item x="900"/>
        <item x="966"/>
        <item x="899"/>
        <item x="273"/>
        <item x="18"/>
        <item x="3"/>
        <item x="775"/>
        <item x="819"/>
        <item x="685"/>
        <item x="725"/>
        <item x="831"/>
        <item x="894"/>
        <item x="570"/>
        <item x="455"/>
        <item x="372"/>
        <item x="286"/>
        <item x="388"/>
        <item x="326"/>
        <item x="565"/>
        <item x="702"/>
        <item x="204"/>
        <item x="653"/>
        <item x="170"/>
        <item x="596"/>
        <item x="625"/>
        <item x="219"/>
        <item x="916"/>
        <item x="958"/>
        <item x="373"/>
        <item x="189"/>
        <item x="723"/>
        <item x="951"/>
        <item x="550"/>
        <item x="732"/>
        <item x="296"/>
        <item x="356"/>
        <item x="374"/>
        <item x="740"/>
        <item x="367"/>
        <item x="812"/>
        <item x="164"/>
        <item x="588"/>
        <item x="575"/>
        <item x="546"/>
        <item x="843"/>
        <item x="263"/>
        <item x="866"/>
        <item x="693"/>
        <item x="538"/>
        <item x="184"/>
        <item x="919"/>
        <item x="190"/>
        <item x="444"/>
        <item x="103"/>
        <item x="346"/>
        <item x="858"/>
        <item x="674"/>
        <item x="325"/>
        <item x="322"/>
        <item x="895"/>
        <item x="144"/>
        <item x="135"/>
        <item x="591"/>
        <item x="158"/>
        <item x="834"/>
        <item x="651"/>
        <item x="260"/>
        <item x="523"/>
        <item x="712"/>
        <item x="321"/>
        <item x="571"/>
        <item x="6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 v="441"/>
    </i>
    <i>
      <x v="573"/>
    </i>
    <i>
      <x v="925"/>
    </i>
    <i>
      <x v="939"/>
    </i>
    <i>
      <x v="20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9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8E145-6073-48E6-A8A4-D21E2315FCE0}" name="pvt_Gender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3">
  <location ref="K3:M7" firstHeaderRow="0" firstDataRow="1" firstDataCol="1"/>
  <pivotFields count="32"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showDataAs="percentOfTotal" baseField="0" baseItem="0" numFmtId="10"/>
    <dataField name="Sum of Purchase_Amount" fld="13" baseField="0" baseItem="0" numFmtId="8"/>
  </dataFields>
  <chartFormats count="8"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EF79B-7E55-46E6-A8AE-D98FFE2D4D79}" name="pvt_Top 5 Purchse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9">
  <location ref="E3:F9" firstHeaderRow="1" firstDataRow="1" firstDataCol="1"/>
  <pivotFields count="32">
    <pivotField compact="0" outline="0" showAll="0"/>
    <pivotField axis="axisRow" compact="0" outline="0" showAll="0" measureFilter="1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360"/>
    </i>
    <i>
      <x v="707"/>
    </i>
    <i>
      <x v="473"/>
    </i>
    <i>
      <x v="927"/>
    </i>
    <i>
      <x v="847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90302-49EC-422A-ABB3-9C72ED285562}" name="pvt_Loyalty_Program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E36:F39" firstHeaderRow="1" firstDataRow="1" firstDataCol="1"/>
  <pivotFields count="32">
    <pivotField dataField="1" compact="0" outline="0" showAll="0"/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9">
        <item x="6"/>
        <item x="2"/>
        <item x="0"/>
        <item x="3"/>
        <item x="7"/>
        <item x="1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6829B-2F0F-4B9A-BF00-045C8B041F5C}" name="pvt_Bottom 5 Purchse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E11:F17" firstHeaderRow="1" firstDataRow="1" firstDataCol="1"/>
  <pivotFields count="32">
    <pivotField compact="0" outline="0" showAll="0"/>
    <pivotField axis="axisRow" compact="0" outline="0" showAll="0" measureFilter="1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614"/>
    </i>
    <i>
      <x v="47"/>
    </i>
    <i>
      <x v="381"/>
    </i>
    <i>
      <x v="588"/>
    </i>
    <i>
      <x v="242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1E389-C0C9-41A5-88A7-64DE9DA8CD15}" name="pvt_Education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6">
  <location ref="E24:F28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sd="0" x="0"/>
        <item sd="0" x="1"/>
        <item sd="0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AD719-2431-41DB-8770-578525476407}" name="pvt_Status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1">
  <location ref="I11:J16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sd="0" x="0"/>
        <item sd="0" x="1"/>
        <item sd="0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Purchase_Amount" fld="13" baseField="0" baseItem="0" numFmtId="8"/>
  </dataField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0B62D-2193-4167-9E1B-862D4CE1F874}" name="pvt_Age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H3:I8" firstHeaderRow="1" firstDataRow="1" firstDataCol="1"/>
  <pivotFields count="32">
    <pivotField dataField="1"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DD3F1-4637-4115-B484-EBD615B3D1E0}" name="tbl_Original" displayName="tbl_Original" ref="A2:AF1002" totalsRowShown="0">
  <autoFilter ref="A2:AF1002" xr:uid="{AE5DD3F1-4637-4115-B484-EBD615B3D1E0}"/>
  <tableColumns count="32">
    <tableColumn id="1" xr3:uid="{021A2311-EDB2-47FE-8D99-40FD7ABBACD6}" name="Customer_ID"/>
    <tableColumn id="29" xr3:uid="{1B6E2729-0146-4C65-81DA-13EDB790133F}" name="Cutomer_Number"/>
    <tableColumn id="2" xr3:uid="{2FB8CE26-89AB-4AF3-8AF9-C09D6833F4AE}" name="Age"/>
    <tableColumn id="30" xr3:uid="{53ECF5A3-2AB3-4C93-A8C3-01EDC58344CA}" name="Gender" dataDxfId="8">
      <calculatedColumnFormula>IF(tbl_Original[[#This Row],[Gender2]]="Female","Female",IF(tbl_Original[[#This Row],[Gender2]]="Male","Male","Other"))</calculatedColumnFormula>
    </tableColumn>
    <tableColumn id="3" xr3:uid="{E12B3B3B-E378-4071-BBD6-4F45B74BA4A6}" name="Gender2"/>
    <tableColumn id="4" xr3:uid="{822A1BC4-1CEF-4159-8FC7-9A8088C9B9D7}" name="Income_Level"/>
    <tableColumn id="5" xr3:uid="{A32B9E16-F2A8-4E47-B427-FA3C48DF2089}" name="Marital_Status"/>
    <tableColumn id="6" xr3:uid="{185C501A-DD90-4F0B-B7D3-FADB784FF566}" name="Education_Level"/>
    <tableColumn id="7" xr3:uid="{A7CDDA05-3CED-44AD-A1DA-8FBAE56F87C1}" name="Occupation"/>
    <tableColumn id="35" xr3:uid="{DF34DF03-D0AA-4A02-86BA-03C6FE8C08AD}" name="Location" dataDxfId="7">
      <calculatedColumnFormula>PROPER(TRIM(CLEAN(tbl_Original[[#This Row],[Column1]])))</calculatedColumnFormula>
    </tableColumn>
    <tableColumn id="34" xr3:uid="{133E9F16-D24A-46DA-ABBE-39AD4A2EC042}" name="Column1"/>
    <tableColumn id="8" xr3:uid="{C942C112-5168-446A-9B03-0537640101CC}" name="Location2"/>
    <tableColumn id="9" xr3:uid="{AEC95B4A-AD7E-49F3-9991-854D250517E0}" name="Purchase_Category"/>
    <tableColumn id="10" xr3:uid="{F6447D56-DF8D-4258-A869-488C3A553BC9}" name="Purchase_Amount" dataDxfId="6"/>
    <tableColumn id="11" xr3:uid="{E167DEA0-7E97-48BC-A512-2E03DA418790}" name="Frequency_of_Purchase"/>
    <tableColumn id="12" xr3:uid="{CD9E3C92-93A5-4DFE-AC4F-7747DFD65627}" name="Purchase_Channel"/>
    <tableColumn id="13" xr3:uid="{DF9CEE18-35CD-4958-B2EE-16B5C996AD75}" name="Brand_Loyalty"/>
    <tableColumn id="14" xr3:uid="{C9258E10-357A-450A-8218-62DDDC94529B}" name="Product_Rating"/>
    <tableColumn id="15" xr3:uid="{B2545BAE-7FF0-4AA8-A165-DB5C338757E9}" name="Time_Spent_on_Product_Research(hours)"/>
    <tableColumn id="16" xr3:uid="{887DF99C-9389-4A74-963E-BAB28168065F}" name="Social_Media_Influence"/>
    <tableColumn id="17" xr3:uid="{0FF6D395-AB16-4953-A839-9B07A7DEA3B4}" name="Discount_Sensitivity"/>
    <tableColumn id="18" xr3:uid="{F0DA3241-FE1E-4C37-9716-F2029AACD2FC}" name="Return_Rate"/>
    <tableColumn id="19" xr3:uid="{71C43643-EF83-4D4D-BA84-7CF8D9961BFF}" name="Customer_Satisfaction"/>
    <tableColumn id="20" xr3:uid="{4F1F3131-BB03-4ECA-912E-3DB2EBB171B0}" name="Engagement_with_Ads"/>
    <tableColumn id="21" xr3:uid="{50D53922-2BC7-4573-9A77-E4A1B98AAA00}" name="Device_Used_for_Shopping"/>
    <tableColumn id="22" xr3:uid="{97895A31-37DB-4418-8416-546F3A599F81}" name="Payment_Method"/>
    <tableColumn id="23" xr3:uid="{1A88F3C7-C04F-4184-B9AD-45C2CB7C5C26}" name="Time_of_Purchase" dataDxfId="5"/>
    <tableColumn id="24" xr3:uid="{3461DD6D-4BA9-4F76-9A6F-93DBFD3E4117}" name="Discount_Used"/>
    <tableColumn id="25" xr3:uid="{5950B101-F734-428C-ABEA-42DF18B05B40}" name="Customer_Loyalty_Program_Member"/>
    <tableColumn id="26" xr3:uid="{576902F7-40B0-4021-B8E3-49EF955AC346}" name="Purchase_Intent"/>
    <tableColumn id="27" xr3:uid="{392D08EB-685A-4BA6-81D3-D40D9FABEFBE}" name="Shipping_Preference"/>
    <tableColumn id="28" xr3:uid="{457A87EA-2F2B-4635-88EE-33284CA503D1}" name="Time_to_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A5E84B-6751-4E60-AD27-F29BB9F88849}" name="Table4" displayName="Table4" ref="A3:C1003" totalsRowShown="0">
  <autoFilter ref="A3:C1003" xr:uid="{B4A5E84B-6751-4E60-AD27-F29BB9F88849}"/>
  <tableColumns count="3">
    <tableColumn id="1" xr3:uid="{FC7373D4-63F1-4C14-BFCA-467EA9E4ADD4}" name="Purchase_Amount" dataDxfId="4"/>
    <tableColumn id="2" xr3:uid="{3EDB080E-A5CE-444E-882E-4B38E5DED6AC}" name="Density Value">
      <calculatedColumnFormula>_xlfn.NORM.DIST(A4,$B$1,$D$1,FALSE)</calculatedColumnFormula>
    </tableColumn>
    <tableColumn id="3" xr3:uid="{052D56B8-DA09-48DB-810B-CF963227BF7B}" name="Area" dataDxfId="3">
      <calculatedColumnFormula>IF(A4&gt;=$A$2,B4,-100)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B7D9E-B823-4E4D-AC24-249F4DB29CDC}" name="tbl_Dictionary" displayName="tbl_Dictionary" ref="A1:E29" totalsRowShown="0" headerRowDxfId="2">
  <autoFilter ref="A1:E29" xr:uid="{77EB7D9E-B823-4E4D-AC24-249F4DB29CDC}"/>
  <tableColumns count="5">
    <tableColumn id="1" xr3:uid="{0A47660E-631E-446D-A365-3155B1A22294}" name="Column Name"/>
    <tableColumn id="2" xr3:uid="{9E22FE9D-C980-4B66-BC68-1D39256FD432}" name="Data Type"/>
    <tableColumn id="3" xr3:uid="{5F8E46D2-9719-4FAD-B585-54413831EFF5}" name="Type"/>
    <tableColumn id="4" xr3:uid="{BDF84C5C-F073-4EF2-BFFD-0154B0A46048}" name="Purpose"/>
    <tableColumn id="5" xr3:uid="{62B0E290-13C1-4BFC-9968-FE70950A6C3A}" name="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9B4F-8DB0-4856-832C-8B84E72DEE39}">
  <dimension ref="A1:AF1002"/>
  <sheetViews>
    <sheetView topLeftCell="C2" workbookViewId="0">
      <selection activeCell="N2" sqref="N2"/>
    </sheetView>
  </sheetViews>
  <sheetFormatPr defaultColWidth="17" defaultRowHeight="15" x14ac:dyDescent="0.25"/>
  <cols>
    <col min="1" max="1" width="15.140625" bestFit="1" customWidth="1"/>
    <col min="2" max="2" width="19.7109375" bestFit="1" customWidth="1"/>
    <col min="3" max="4" width="10.5703125" customWidth="1"/>
    <col min="5" max="5" width="12.28515625" hidden="1" customWidth="1"/>
    <col min="6" max="6" width="15.85546875" bestFit="1" customWidth="1"/>
    <col min="7" max="7" width="16.140625" bestFit="1" customWidth="1"/>
    <col min="8" max="8" width="18.140625" bestFit="1" customWidth="1"/>
    <col min="9" max="9" width="13.5703125" bestFit="1" customWidth="1"/>
    <col min="10" max="10" width="13.5703125" customWidth="1"/>
    <col min="11" max="11" width="13.5703125" hidden="1" customWidth="1"/>
    <col min="12" max="12" width="29.28515625" hidden="1" customWidth="1"/>
    <col min="13" max="13" width="22.140625" bestFit="1" customWidth="1"/>
    <col min="14" max="14" width="19.7109375" bestFit="1" customWidth="1"/>
    <col min="15" max="15" width="25" bestFit="1" customWidth="1"/>
    <col min="16" max="16" width="20.28515625" bestFit="1" customWidth="1"/>
    <col min="17" max="17" width="15.85546875" bestFit="1" customWidth="1"/>
    <col min="19" max="19" width="41.7109375" bestFit="1" customWidth="1"/>
    <col min="20" max="20" width="24.85546875" bestFit="1" customWidth="1"/>
    <col min="21" max="21" width="22.140625" bestFit="1" customWidth="1"/>
    <col min="22" max="22" width="14.42578125" bestFit="1" customWidth="1"/>
    <col min="23" max="23" width="24.28515625" bestFit="1" customWidth="1"/>
    <col min="24" max="24" width="23.7109375" bestFit="1" customWidth="1"/>
    <col min="25" max="25" width="28.28515625" bestFit="1" customWidth="1"/>
    <col min="26" max="26" width="19" bestFit="1" customWidth="1"/>
    <col min="27" max="27" width="19.85546875" bestFit="1" customWidth="1"/>
    <col min="29" max="29" width="37" bestFit="1" customWidth="1"/>
    <col min="30" max="30" width="18" bestFit="1" customWidth="1"/>
    <col min="31" max="31" width="22.28515625" bestFit="1" customWidth="1"/>
    <col min="32" max="32" width="19.5703125" bestFit="1" customWidth="1"/>
  </cols>
  <sheetData>
    <row r="1" spans="1:32" x14ac:dyDescent="0.25">
      <c r="A1">
        <f>COUNTA(tbl_Original[Customer_ID])-COUNTA(_xlfn.UNIQUE(tbl_Original[Customer_ID]))</f>
        <v>0</v>
      </c>
    </row>
    <row r="2" spans="1:32" x14ac:dyDescent="0.25">
      <c r="A2" t="s">
        <v>0</v>
      </c>
      <c r="B2" t="s">
        <v>2317</v>
      </c>
      <c r="C2" t="s">
        <v>1</v>
      </c>
      <c r="D2" t="s">
        <v>2</v>
      </c>
      <c r="E2" t="s">
        <v>2129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2128</v>
      </c>
      <c r="L2" t="s">
        <v>2291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</row>
    <row r="3" spans="1:32" x14ac:dyDescent="0.25">
      <c r="A3" t="s">
        <v>28</v>
      </c>
      <c r="B3">
        <v>1</v>
      </c>
      <c r="C3">
        <v>22</v>
      </c>
      <c r="D3" t="str">
        <f>IF(tbl_Original[[#This Row],[Gender2]]="Female","Female",IF(tbl_Original[[#This Row],[Gender2]]="Male","Male","Other"))</f>
        <v>Female</v>
      </c>
      <c r="E3" t="s">
        <v>29</v>
      </c>
      <c r="F3" t="s">
        <v>30</v>
      </c>
      <c r="G3" t="s">
        <v>31</v>
      </c>
      <c r="H3" t="s">
        <v>32</v>
      </c>
      <c r="I3" t="s">
        <v>30</v>
      </c>
      <c r="J3" t="str">
        <f>PROPER(TRIM(CLEAN(tbl_Original[[#This Row],[Column1]])))</f>
        <v>Evry</v>
      </c>
      <c r="K3" t="s">
        <v>2292</v>
      </c>
      <c r="L3" t="s">
        <v>33</v>
      </c>
      <c r="M3" t="s">
        <v>34</v>
      </c>
      <c r="N3" s="1">
        <v>333.8</v>
      </c>
      <c r="O3">
        <v>4</v>
      </c>
      <c r="P3" t="s">
        <v>35</v>
      </c>
      <c r="Q3">
        <v>5</v>
      </c>
      <c r="R3">
        <v>5</v>
      </c>
      <c r="S3">
        <v>2</v>
      </c>
      <c r="T3" t="s">
        <v>36</v>
      </c>
      <c r="U3" t="s">
        <v>37</v>
      </c>
      <c r="V3">
        <v>1</v>
      </c>
      <c r="W3">
        <v>7</v>
      </c>
      <c r="X3" t="s">
        <v>36</v>
      </c>
      <c r="Y3" t="s">
        <v>38</v>
      </c>
      <c r="Z3" t="s">
        <v>39</v>
      </c>
      <c r="AA3" s="2">
        <v>45352</v>
      </c>
      <c r="AB3" t="b">
        <v>1</v>
      </c>
      <c r="AC3" t="b">
        <v>0</v>
      </c>
      <c r="AD3" t="s">
        <v>40</v>
      </c>
      <c r="AE3" t="s">
        <v>41</v>
      </c>
      <c r="AF3">
        <v>2</v>
      </c>
    </row>
    <row r="4" spans="1:32" x14ac:dyDescent="0.25">
      <c r="A4" t="s">
        <v>42</v>
      </c>
      <c r="B4">
        <v>2</v>
      </c>
      <c r="C4">
        <v>49</v>
      </c>
      <c r="D4" t="str">
        <f>IF(tbl_Original[[#This Row],[Gender2]]="Female","Female",IF(tbl_Original[[#This Row],[Gender2]]="Male","Male","Other"))</f>
        <v>Male</v>
      </c>
      <c r="E4" t="s">
        <v>43</v>
      </c>
      <c r="F4" t="s">
        <v>44</v>
      </c>
      <c r="G4" t="s">
        <v>31</v>
      </c>
      <c r="H4" t="s">
        <v>45</v>
      </c>
      <c r="I4" t="s">
        <v>44</v>
      </c>
      <c r="J4" t="str">
        <f>PROPER(TRIM(CLEAN(tbl_Original[[#This Row],[Column1]])))</f>
        <v>Huocheng</v>
      </c>
      <c r="K4" t="s">
        <v>46</v>
      </c>
      <c r="L4" t="s">
        <v>46</v>
      </c>
      <c r="M4" t="s">
        <v>47</v>
      </c>
      <c r="N4" s="1">
        <v>222.22</v>
      </c>
      <c r="O4">
        <v>11</v>
      </c>
      <c r="P4" t="s">
        <v>48</v>
      </c>
      <c r="Q4">
        <v>3</v>
      </c>
      <c r="R4">
        <v>1</v>
      </c>
      <c r="S4">
        <v>2</v>
      </c>
      <c r="T4" t="s">
        <v>49</v>
      </c>
      <c r="U4" t="s">
        <v>50</v>
      </c>
      <c r="V4">
        <v>1</v>
      </c>
      <c r="W4">
        <v>5</v>
      </c>
      <c r="X4" t="s">
        <v>44</v>
      </c>
      <c r="Y4" t="s">
        <v>38</v>
      </c>
      <c r="Z4" t="s">
        <v>51</v>
      </c>
      <c r="AA4" s="2">
        <v>45398</v>
      </c>
      <c r="AB4" t="b">
        <v>1</v>
      </c>
      <c r="AC4" t="b">
        <v>0</v>
      </c>
      <c r="AD4" t="s">
        <v>52</v>
      </c>
      <c r="AE4" t="s">
        <v>53</v>
      </c>
      <c r="AF4">
        <v>6</v>
      </c>
    </row>
    <row r="5" spans="1:32" x14ac:dyDescent="0.25">
      <c r="A5" t="s">
        <v>54</v>
      </c>
      <c r="B5">
        <v>3</v>
      </c>
      <c r="C5">
        <v>24</v>
      </c>
      <c r="D5" t="str">
        <f>IF(tbl_Original[[#This Row],[Gender2]]="Female","Female",IF(tbl_Original[[#This Row],[Gender2]]="Male","Male","Other"))</f>
        <v>Female</v>
      </c>
      <c r="E5" t="s">
        <v>29</v>
      </c>
      <c r="F5" t="s">
        <v>30</v>
      </c>
      <c r="G5" t="s">
        <v>55</v>
      </c>
      <c r="H5" t="s">
        <v>56</v>
      </c>
      <c r="I5" t="s">
        <v>44</v>
      </c>
      <c r="J5" t="str">
        <f>PROPER(TRIM(CLEAN(tbl_Original[[#This Row],[Column1]])))</f>
        <v>Huzhen</v>
      </c>
      <c r="K5" t="s">
        <v>57</v>
      </c>
      <c r="L5" t="s">
        <v>57</v>
      </c>
      <c r="M5" t="s">
        <v>58</v>
      </c>
      <c r="N5" s="1">
        <v>426.22</v>
      </c>
      <c r="O5">
        <v>2</v>
      </c>
      <c r="P5" t="s">
        <v>35</v>
      </c>
      <c r="Q5">
        <v>5</v>
      </c>
      <c r="R5">
        <v>5</v>
      </c>
      <c r="S5">
        <v>0.3</v>
      </c>
      <c r="T5" t="s">
        <v>59</v>
      </c>
      <c r="U5" t="s">
        <v>50</v>
      </c>
      <c r="V5">
        <v>1</v>
      </c>
      <c r="W5">
        <v>7</v>
      </c>
      <c r="X5" t="s">
        <v>59</v>
      </c>
      <c r="Y5" t="s">
        <v>60</v>
      </c>
      <c r="Z5" t="s">
        <v>61</v>
      </c>
      <c r="AA5" s="2">
        <v>45366</v>
      </c>
      <c r="AB5" t="b">
        <v>1</v>
      </c>
      <c r="AC5" t="b">
        <v>1</v>
      </c>
      <c r="AD5" t="s">
        <v>62</v>
      </c>
      <c r="AE5" t="s">
        <v>41</v>
      </c>
      <c r="AF5">
        <v>3</v>
      </c>
    </row>
    <row r="6" spans="1:32" x14ac:dyDescent="0.25">
      <c r="A6" t="s">
        <v>63</v>
      </c>
      <c r="B6">
        <v>4</v>
      </c>
      <c r="C6">
        <v>29</v>
      </c>
      <c r="D6" t="str">
        <f>IF(tbl_Original[[#This Row],[Gender2]]="Female","Female",IF(tbl_Original[[#This Row],[Gender2]]="Male","Male","Other"))</f>
        <v>Female</v>
      </c>
      <c r="E6" t="s">
        <v>29</v>
      </c>
      <c r="F6" t="s">
        <v>30</v>
      </c>
      <c r="G6" t="s">
        <v>55</v>
      </c>
      <c r="H6" t="s">
        <v>56</v>
      </c>
      <c r="I6" t="s">
        <v>30</v>
      </c>
      <c r="J6" t="str">
        <f>PROPER(TRIM(CLEAN(tbl_Original[[#This Row],[Column1]])))</f>
        <v>Wiwil</v>
      </c>
      <c r="K6" t="s">
        <v>2130</v>
      </c>
      <c r="L6" t="s">
        <v>64</v>
      </c>
      <c r="M6" t="s">
        <v>65</v>
      </c>
      <c r="N6" s="1">
        <v>101.31</v>
      </c>
      <c r="O6">
        <v>6</v>
      </c>
      <c r="P6" t="s">
        <v>35</v>
      </c>
      <c r="Q6">
        <v>3</v>
      </c>
      <c r="R6">
        <v>1</v>
      </c>
      <c r="S6">
        <v>1</v>
      </c>
      <c r="T6" t="s">
        <v>44</v>
      </c>
      <c r="U6" t="s">
        <v>37</v>
      </c>
      <c r="V6">
        <v>0</v>
      </c>
      <c r="W6">
        <v>1</v>
      </c>
      <c r="X6" t="s">
        <v>36</v>
      </c>
      <c r="Y6" t="s">
        <v>60</v>
      </c>
      <c r="Z6" t="s">
        <v>66</v>
      </c>
      <c r="AA6" s="2">
        <v>45569</v>
      </c>
      <c r="AB6" t="b">
        <v>1</v>
      </c>
      <c r="AC6" t="b">
        <v>1</v>
      </c>
      <c r="AD6" t="s">
        <v>40</v>
      </c>
      <c r="AE6" t="s">
        <v>67</v>
      </c>
      <c r="AF6">
        <v>10</v>
      </c>
    </row>
    <row r="7" spans="1:32" x14ac:dyDescent="0.25">
      <c r="A7" t="s">
        <v>68</v>
      </c>
      <c r="B7">
        <v>5</v>
      </c>
      <c r="C7">
        <v>33</v>
      </c>
      <c r="D7" t="str">
        <f>IF(tbl_Original[[#This Row],[Gender2]]="Female","Female",IF(tbl_Original[[#This Row],[Gender2]]="Male","Male","Other"))</f>
        <v>Female</v>
      </c>
      <c r="E7" t="s">
        <v>29</v>
      </c>
      <c r="F7" t="s">
        <v>30</v>
      </c>
      <c r="G7" t="s">
        <v>69</v>
      </c>
      <c r="H7" t="s">
        <v>45</v>
      </c>
      <c r="I7" t="s">
        <v>30</v>
      </c>
      <c r="J7" t="str">
        <f>PROPER(TRIM(CLEAN(tbl_Original[[#This Row],[Column1]])))</f>
        <v>Nara</v>
      </c>
      <c r="K7" t="s">
        <v>70</v>
      </c>
      <c r="L7" t="s">
        <v>70</v>
      </c>
      <c r="M7" t="s">
        <v>71</v>
      </c>
      <c r="N7" s="1">
        <v>211.7</v>
      </c>
      <c r="O7">
        <v>6</v>
      </c>
      <c r="P7" t="s">
        <v>35</v>
      </c>
      <c r="Q7">
        <v>3</v>
      </c>
      <c r="R7">
        <v>4</v>
      </c>
      <c r="S7">
        <v>0</v>
      </c>
      <c r="T7" t="s">
        <v>49</v>
      </c>
      <c r="U7" t="s">
        <v>50</v>
      </c>
      <c r="V7">
        <v>2</v>
      </c>
      <c r="W7">
        <v>10</v>
      </c>
      <c r="X7" t="s">
        <v>36</v>
      </c>
      <c r="Y7" t="s">
        <v>60</v>
      </c>
      <c r="Z7" t="s">
        <v>61</v>
      </c>
      <c r="AA7" s="2">
        <v>45321</v>
      </c>
      <c r="AB7" t="b">
        <v>0</v>
      </c>
      <c r="AC7" t="b">
        <v>0</v>
      </c>
      <c r="AD7" t="s">
        <v>52</v>
      </c>
      <c r="AE7" t="s">
        <v>41</v>
      </c>
      <c r="AF7">
        <v>4</v>
      </c>
    </row>
    <row r="8" spans="1:32" x14ac:dyDescent="0.25">
      <c r="A8" t="s">
        <v>72</v>
      </c>
      <c r="B8">
        <v>6</v>
      </c>
      <c r="C8">
        <v>45</v>
      </c>
      <c r="D8" t="str">
        <f>IF(tbl_Original[[#This Row],[Gender2]]="Female","Female",IF(tbl_Original[[#This Row],[Gender2]]="Male","Male","Other"))</f>
        <v>Male</v>
      </c>
      <c r="E8" t="s">
        <v>43</v>
      </c>
      <c r="F8" t="s">
        <v>30</v>
      </c>
      <c r="G8" t="s">
        <v>31</v>
      </c>
      <c r="H8" t="s">
        <v>56</v>
      </c>
      <c r="I8" t="s">
        <v>44</v>
      </c>
      <c r="J8" t="str">
        <f>PROPER(TRIM(CLEAN(tbl_Original[[#This Row],[Column1]])))</f>
        <v>Boro Utara</v>
      </c>
      <c r="K8" t="s">
        <v>73</v>
      </c>
      <c r="L8" t="s">
        <v>73</v>
      </c>
      <c r="M8" t="s">
        <v>58</v>
      </c>
      <c r="N8" s="1">
        <v>487.95</v>
      </c>
      <c r="O8">
        <v>8</v>
      </c>
      <c r="P8" t="s">
        <v>35</v>
      </c>
      <c r="Q8">
        <v>3</v>
      </c>
      <c r="R8">
        <v>3</v>
      </c>
      <c r="S8">
        <v>0</v>
      </c>
      <c r="T8" t="s">
        <v>44</v>
      </c>
      <c r="U8" t="s">
        <v>50</v>
      </c>
      <c r="V8">
        <v>2</v>
      </c>
      <c r="W8">
        <v>3</v>
      </c>
      <c r="X8" t="s">
        <v>36</v>
      </c>
      <c r="Y8" t="s">
        <v>38</v>
      </c>
      <c r="Z8" t="s">
        <v>61</v>
      </c>
      <c r="AA8" s="2">
        <v>45370</v>
      </c>
      <c r="AB8" t="b">
        <v>0</v>
      </c>
      <c r="AC8" t="b">
        <v>0</v>
      </c>
      <c r="AD8" t="s">
        <v>74</v>
      </c>
      <c r="AE8" t="s">
        <v>41</v>
      </c>
      <c r="AF8">
        <v>7</v>
      </c>
    </row>
    <row r="9" spans="1:32" x14ac:dyDescent="0.25">
      <c r="A9" t="s">
        <v>75</v>
      </c>
      <c r="B9">
        <v>7</v>
      </c>
      <c r="C9">
        <v>21</v>
      </c>
      <c r="D9" t="str">
        <f>IF(tbl_Original[[#This Row],[Gender2]]="Female","Female",IF(tbl_Original[[#This Row],[Gender2]]="Male","Male","Other"))</f>
        <v>Female</v>
      </c>
      <c r="E9" t="s">
        <v>29</v>
      </c>
      <c r="F9" t="s">
        <v>30</v>
      </c>
      <c r="G9" t="s">
        <v>76</v>
      </c>
      <c r="H9" t="s">
        <v>45</v>
      </c>
      <c r="I9" t="s">
        <v>30</v>
      </c>
      <c r="J9" t="str">
        <f>PROPER(TRIM(CLEAN(tbl_Original[[#This Row],[Column1]])))</f>
        <v>Liren</v>
      </c>
      <c r="K9" t="s">
        <v>77</v>
      </c>
      <c r="L9" t="s">
        <v>77</v>
      </c>
      <c r="M9" t="s">
        <v>71</v>
      </c>
      <c r="N9" s="1">
        <v>486.4</v>
      </c>
      <c r="O9">
        <v>12</v>
      </c>
      <c r="P9" t="s">
        <v>78</v>
      </c>
      <c r="Q9">
        <v>2</v>
      </c>
      <c r="R9">
        <v>5</v>
      </c>
      <c r="S9">
        <v>1</v>
      </c>
      <c r="T9" t="s">
        <v>44</v>
      </c>
      <c r="U9" t="s">
        <v>37</v>
      </c>
      <c r="V9">
        <v>0</v>
      </c>
      <c r="W9">
        <v>9</v>
      </c>
      <c r="X9" t="s">
        <v>59</v>
      </c>
      <c r="Y9" t="s">
        <v>79</v>
      </c>
      <c r="Z9" t="s">
        <v>61</v>
      </c>
      <c r="AA9" s="2">
        <v>45366</v>
      </c>
      <c r="AB9" t="b">
        <v>1</v>
      </c>
      <c r="AC9" t="b">
        <v>0</v>
      </c>
      <c r="AD9" t="s">
        <v>40</v>
      </c>
      <c r="AE9" t="s">
        <v>67</v>
      </c>
      <c r="AF9">
        <v>13</v>
      </c>
    </row>
    <row r="10" spans="1:32" x14ac:dyDescent="0.25">
      <c r="A10" t="s">
        <v>80</v>
      </c>
      <c r="B10">
        <v>8</v>
      </c>
      <c r="C10">
        <v>39</v>
      </c>
      <c r="D10" t="str">
        <f>IF(tbl_Original[[#This Row],[Gender2]]="Female","Female",IF(tbl_Original[[#This Row],[Gender2]]="Male","Male","Other"))</f>
        <v>Male</v>
      </c>
      <c r="E10" t="s">
        <v>43</v>
      </c>
      <c r="F10" t="s">
        <v>30</v>
      </c>
      <c r="G10" t="s">
        <v>55</v>
      </c>
      <c r="H10" t="s">
        <v>45</v>
      </c>
      <c r="I10" t="s">
        <v>30</v>
      </c>
      <c r="J10" t="str">
        <f>PROPER(TRIM(CLEAN(tbl_Original[[#This Row],[Column1]])))</f>
        <v>Taocheng</v>
      </c>
      <c r="K10" t="s">
        <v>81</v>
      </c>
      <c r="L10" t="s">
        <v>81</v>
      </c>
      <c r="M10" t="s">
        <v>82</v>
      </c>
      <c r="N10" s="1">
        <v>218.06</v>
      </c>
      <c r="O10">
        <v>6</v>
      </c>
      <c r="P10" t="s">
        <v>78</v>
      </c>
      <c r="Q10">
        <v>5</v>
      </c>
      <c r="R10">
        <v>4</v>
      </c>
      <c r="S10">
        <v>1</v>
      </c>
      <c r="T10" t="s">
        <v>59</v>
      </c>
      <c r="U10" t="s">
        <v>37</v>
      </c>
      <c r="V10">
        <v>2</v>
      </c>
      <c r="W10">
        <v>9</v>
      </c>
      <c r="X10" t="s">
        <v>36</v>
      </c>
      <c r="Y10" t="s">
        <v>79</v>
      </c>
      <c r="Z10" t="s">
        <v>39</v>
      </c>
      <c r="AA10" s="2">
        <v>45368</v>
      </c>
      <c r="AB10" t="b">
        <v>0</v>
      </c>
      <c r="AC10" t="b">
        <v>1</v>
      </c>
      <c r="AD10" t="s">
        <v>62</v>
      </c>
      <c r="AE10" t="s">
        <v>41</v>
      </c>
      <c r="AF10">
        <v>13</v>
      </c>
    </row>
    <row r="11" spans="1:32" x14ac:dyDescent="0.25">
      <c r="A11" t="s">
        <v>83</v>
      </c>
      <c r="B11">
        <v>9</v>
      </c>
      <c r="C11">
        <v>24</v>
      </c>
      <c r="D11" t="str">
        <f>IF(tbl_Original[[#This Row],[Gender2]]="Female","Female",IF(tbl_Original[[#This Row],[Gender2]]="Male","Male","Other"))</f>
        <v>Female</v>
      </c>
      <c r="E11" t="s">
        <v>29</v>
      </c>
      <c r="F11" t="s">
        <v>44</v>
      </c>
      <c r="G11" t="s">
        <v>76</v>
      </c>
      <c r="H11" t="s">
        <v>56</v>
      </c>
      <c r="I11" t="s">
        <v>30</v>
      </c>
      <c r="J11" t="str">
        <f>PROPER(TRIM(CLEAN(tbl_Original[[#This Row],[Column1]])))</f>
        <v>Grabo</v>
      </c>
      <c r="K11" t="s">
        <v>2293</v>
      </c>
      <c r="L11" t="s">
        <v>84</v>
      </c>
      <c r="M11" t="s">
        <v>58</v>
      </c>
      <c r="N11" s="1">
        <v>201.96</v>
      </c>
      <c r="O11">
        <v>8</v>
      </c>
      <c r="P11" t="s">
        <v>48</v>
      </c>
      <c r="Q11">
        <v>3</v>
      </c>
      <c r="R11">
        <v>5</v>
      </c>
      <c r="S11">
        <v>0</v>
      </c>
      <c r="T11" t="s">
        <v>59</v>
      </c>
      <c r="U11" t="s">
        <v>85</v>
      </c>
      <c r="V11">
        <v>1</v>
      </c>
      <c r="W11">
        <v>2</v>
      </c>
      <c r="X11" t="s">
        <v>44</v>
      </c>
      <c r="Y11" t="s">
        <v>79</v>
      </c>
      <c r="Z11" t="s">
        <v>86</v>
      </c>
      <c r="AA11" s="2">
        <v>45453</v>
      </c>
      <c r="AB11" t="b">
        <v>0</v>
      </c>
      <c r="AC11" t="b">
        <v>0</v>
      </c>
      <c r="AD11" t="s">
        <v>40</v>
      </c>
      <c r="AE11" t="s">
        <v>53</v>
      </c>
      <c r="AF11">
        <v>7</v>
      </c>
    </row>
    <row r="12" spans="1:32" x14ac:dyDescent="0.25">
      <c r="A12" t="s">
        <v>87</v>
      </c>
      <c r="B12">
        <v>10</v>
      </c>
      <c r="C12">
        <v>25</v>
      </c>
      <c r="D12" t="str">
        <f>IF(tbl_Original[[#This Row],[Gender2]]="Female","Female",IF(tbl_Original[[#This Row],[Gender2]]="Male","Male","Other"))</f>
        <v>Other</v>
      </c>
      <c r="E12" t="s">
        <v>88</v>
      </c>
      <c r="F12" t="s">
        <v>44</v>
      </c>
      <c r="G12" t="s">
        <v>31</v>
      </c>
      <c r="H12" t="s">
        <v>32</v>
      </c>
      <c r="I12" t="s">
        <v>44</v>
      </c>
      <c r="J12" t="str">
        <f>PROPER(TRIM(CLEAN(tbl_Original[[#This Row],[Column1]])))</f>
        <v>Pryamitsyno</v>
      </c>
      <c r="K12" t="s">
        <v>89</v>
      </c>
      <c r="L12" t="s">
        <v>89</v>
      </c>
      <c r="M12" t="s">
        <v>90</v>
      </c>
      <c r="N12" s="1">
        <v>418.83</v>
      </c>
      <c r="O12">
        <v>7</v>
      </c>
      <c r="P12" t="s">
        <v>78</v>
      </c>
      <c r="Q12">
        <v>2</v>
      </c>
      <c r="R12">
        <v>5</v>
      </c>
      <c r="S12">
        <v>1</v>
      </c>
      <c r="T12" t="s">
        <v>36</v>
      </c>
      <c r="U12" t="s">
        <v>37</v>
      </c>
      <c r="V12">
        <v>1</v>
      </c>
      <c r="W12">
        <v>5</v>
      </c>
      <c r="X12" t="s">
        <v>49</v>
      </c>
      <c r="Y12" t="s">
        <v>38</v>
      </c>
      <c r="Z12" t="s">
        <v>51</v>
      </c>
      <c r="AA12" s="2">
        <v>45572</v>
      </c>
      <c r="AB12" t="b">
        <v>1</v>
      </c>
      <c r="AC12" t="b">
        <v>0</v>
      </c>
      <c r="AD12" t="s">
        <v>40</v>
      </c>
      <c r="AE12" t="s">
        <v>41</v>
      </c>
      <c r="AF12">
        <v>13</v>
      </c>
    </row>
    <row r="13" spans="1:32" x14ac:dyDescent="0.25">
      <c r="A13" t="s">
        <v>91</v>
      </c>
      <c r="B13">
        <v>11</v>
      </c>
      <c r="C13">
        <v>33</v>
      </c>
      <c r="D13" t="str">
        <f>IF(tbl_Original[[#This Row],[Gender2]]="Female","Female",IF(tbl_Original[[#This Row],[Gender2]]="Male","Male","Other"))</f>
        <v>Male</v>
      </c>
      <c r="E13" t="s">
        <v>43</v>
      </c>
      <c r="F13" t="s">
        <v>30</v>
      </c>
      <c r="G13" t="s">
        <v>76</v>
      </c>
      <c r="H13" t="s">
        <v>32</v>
      </c>
      <c r="I13" t="s">
        <v>30</v>
      </c>
      <c r="J13" t="str">
        <f>PROPER(TRIM(CLEAN(tbl_Original[[#This Row],[Column1]])))</f>
        <v>Punta Gorda</v>
      </c>
      <c r="K13" t="s">
        <v>92</v>
      </c>
      <c r="L13" t="s">
        <v>92</v>
      </c>
      <c r="M13" t="s">
        <v>93</v>
      </c>
      <c r="N13" s="1">
        <v>389.7</v>
      </c>
      <c r="O13">
        <v>12</v>
      </c>
      <c r="P13" t="s">
        <v>48</v>
      </c>
      <c r="Q13">
        <v>1</v>
      </c>
      <c r="R13">
        <v>4</v>
      </c>
      <c r="S13">
        <v>0.5</v>
      </c>
      <c r="T13" t="s">
        <v>59</v>
      </c>
      <c r="U13" t="s">
        <v>50</v>
      </c>
      <c r="V13">
        <v>0</v>
      </c>
      <c r="W13">
        <v>4</v>
      </c>
      <c r="X13" t="s">
        <v>44</v>
      </c>
      <c r="Y13" t="s">
        <v>79</v>
      </c>
      <c r="Z13" t="s">
        <v>51</v>
      </c>
      <c r="AA13" s="2">
        <v>45475</v>
      </c>
      <c r="AB13" t="b">
        <v>1</v>
      </c>
      <c r="AC13" t="b">
        <v>0</v>
      </c>
      <c r="AD13" t="s">
        <v>74</v>
      </c>
      <c r="AE13" t="s">
        <v>67</v>
      </c>
      <c r="AF13">
        <v>12</v>
      </c>
    </row>
    <row r="14" spans="1:32" x14ac:dyDescent="0.25">
      <c r="A14" t="s">
        <v>94</v>
      </c>
      <c r="B14">
        <v>12</v>
      </c>
      <c r="C14">
        <v>38</v>
      </c>
      <c r="D14" t="str">
        <f>IF(tbl_Original[[#This Row],[Gender2]]="Female","Female",IF(tbl_Original[[#This Row],[Gender2]]="Male","Male","Other"))</f>
        <v>Female</v>
      </c>
      <c r="E14" t="s">
        <v>29</v>
      </c>
      <c r="F14" t="s">
        <v>44</v>
      </c>
      <c r="G14" t="s">
        <v>69</v>
      </c>
      <c r="H14" t="s">
        <v>32</v>
      </c>
      <c r="I14" t="s">
        <v>30</v>
      </c>
      <c r="J14" t="str">
        <f>PROPER(TRIM(CLEAN(tbl_Original[[#This Row],[Column1]])))</f>
        <v>Gyor</v>
      </c>
      <c r="K14" t="s">
        <v>2294</v>
      </c>
      <c r="L14" t="s">
        <v>95</v>
      </c>
      <c r="M14" t="s">
        <v>90</v>
      </c>
      <c r="N14" s="1">
        <v>238.93</v>
      </c>
      <c r="O14">
        <v>5</v>
      </c>
      <c r="P14" t="s">
        <v>78</v>
      </c>
      <c r="Q14">
        <v>4</v>
      </c>
      <c r="R14">
        <v>3</v>
      </c>
      <c r="S14">
        <v>1</v>
      </c>
      <c r="T14" t="s">
        <v>49</v>
      </c>
      <c r="U14" t="s">
        <v>85</v>
      </c>
      <c r="V14">
        <v>0</v>
      </c>
      <c r="W14">
        <v>10</v>
      </c>
      <c r="X14" t="s">
        <v>44</v>
      </c>
      <c r="Y14" t="s">
        <v>38</v>
      </c>
      <c r="Z14" t="s">
        <v>86</v>
      </c>
      <c r="AA14" s="2">
        <v>45653</v>
      </c>
      <c r="AB14" t="b">
        <v>1</v>
      </c>
      <c r="AC14" t="b">
        <v>0</v>
      </c>
      <c r="AD14" t="s">
        <v>74</v>
      </c>
      <c r="AE14" t="s">
        <v>41</v>
      </c>
      <c r="AF14">
        <v>1</v>
      </c>
    </row>
    <row r="15" spans="1:32" x14ac:dyDescent="0.25">
      <c r="A15" t="s">
        <v>96</v>
      </c>
      <c r="B15">
        <v>13</v>
      </c>
      <c r="C15">
        <v>34</v>
      </c>
      <c r="D15" t="str">
        <f>IF(tbl_Original[[#This Row],[Gender2]]="Female","Female",IF(tbl_Original[[#This Row],[Gender2]]="Male","Male","Other"))</f>
        <v>Male</v>
      </c>
      <c r="E15" t="s">
        <v>43</v>
      </c>
      <c r="F15" t="s">
        <v>30</v>
      </c>
      <c r="G15" t="s">
        <v>55</v>
      </c>
      <c r="H15" t="s">
        <v>32</v>
      </c>
      <c r="I15" t="s">
        <v>44</v>
      </c>
      <c r="J15" t="str">
        <f>PROPER(TRIM(CLEAN(tbl_Original[[#This Row],[Column1]])))</f>
        <v>Gaosheng</v>
      </c>
      <c r="K15" t="s">
        <v>97</v>
      </c>
      <c r="L15" t="s">
        <v>97</v>
      </c>
      <c r="M15" t="s">
        <v>98</v>
      </c>
      <c r="N15" s="1">
        <v>61.22</v>
      </c>
      <c r="O15">
        <v>7</v>
      </c>
      <c r="P15" t="s">
        <v>48</v>
      </c>
      <c r="Q15">
        <v>5</v>
      </c>
      <c r="R15">
        <v>2</v>
      </c>
      <c r="S15">
        <v>2</v>
      </c>
      <c r="T15" t="s">
        <v>59</v>
      </c>
      <c r="U15" t="s">
        <v>85</v>
      </c>
      <c r="V15">
        <v>1</v>
      </c>
      <c r="W15">
        <v>7</v>
      </c>
      <c r="X15" t="s">
        <v>44</v>
      </c>
      <c r="Y15" t="s">
        <v>79</v>
      </c>
      <c r="Z15" t="s">
        <v>61</v>
      </c>
      <c r="AA15" s="2">
        <v>45509</v>
      </c>
      <c r="AB15" t="b">
        <v>1</v>
      </c>
      <c r="AC15" t="b">
        <v>1</v>
      </c>
      <c r="AD15" t="s">
        <v>40</v>
      </c>
      <c r="AE15" t="s">
        <v>41</v>
      </c>
      <c r="AF15">
        <v>5</v>
      </c>
    </row>
    <row r="16" spans="1:32" x14ac:dyDescent="0.25">
      <c r="A16" t="s">
        <v>99</v>
      </c>
      <c r="B16">
        <v>14</v>
      </c>
      <c r="C16">
        <v>32</v>
      </c>
      <c r="D16" t="str">
        <f>IF(tbl_Original[[#This Row],[Gender2]]="Female","Female",IF(tbl_Original[[#This Row],[Gender2]]="Male","Male","Other"))</f>
        <v>Male</v>
      </c>
      <c r="E16" t="s">
        <v>43</v>
      </c>
      <c r="F16" t="s">
        <v>44</v>
      </c>
      <c r="G16" t="s">
        <v>31</v>
      </c>
      <c r="H16" t="s">
        <v>45</v>
      </c>
      <c r="I16" t="s">
        <v>30</v>
      </c>
      <c r="J16" t="str">
        <f>PROPER(TRIM(CLEAN(tbl_Original[[#This Row],[Column1]])))</f>
        <v>Rokytne</v>
      </c>
      <c r="K16" t="s">
        <v>100</v>
      </c>
      <c r="L16" t="s">
        <v>100</v>
      </c>
      <c r="M16" t="s">
        <v>101</v>
      </c>
      <c r="N16" s="1">
        <v>79.81</v>
      </c>
      <c r="O16">
        <v>4</v>
      </c>
      <c r="P16" t="s">
        <v>35</v>
      </c>
      <c r="Q16">
        <v>5</v>
      </c>
      <c r="R16">
        <v>5</v>
      </c>
      <c r="S16">
        <v>0</v>
      </c>
      <c r="T16" t="s">
        <v>44</v>
      </c>
      <c r="U16" t="s">
        <v>50</v>
      </c>
      <c r="V16">
        <v>0</v>
      </c>
      <c r="W16">
        <v>9</v>
      </c>
      <c r="X16" t="s">
        <v>44</v>
      </c>
      <c r="Y16" t="s">
        <v>60</v>
      </c>
      <c r="Z16" t="s">
        <v>61</v>
      </c>
      <c r="AA16" s="2">
        <v>45489</v>
      </c>
      <c r="AB16" t="b">
        <v>0</v>
      </c>
      <c r="AC16" t="b">
        <v>1</v>
      </c>
      <c r="AD16" t="s">
        <v>52</v>
      </c>
      <c r="AE16" t="s">
        <v>53</v>
      </c>
      <c r="AF16">
        <v>14</v>
      </c>
    </row>
    <row r="17" spans="1:32" x14ac:dyDescent="0.25">
      <c r="A17" t="s">
        <v>102</v>
      </c>
      <c r="B17">
        <v>15</v>
      </c>
      <c r="C17">
        <v>30</v>
      </c>
      <c r="D17" t="str">
        <f>IF(tbl_Original[[#This Row],[Gender2]]="Female","Female",IF(tbl_Original[[#This Row],[Gender2]]="Male","Male","Other"))</f>
        <v>Female</v>
      </c>
      <c r="E17" t="s">
        <v>29</v>
      </c>
      <c r="F17" t="s">
        <v>44</v>
      </c>
      <c r="G17" t="s">
        <v>69</v>
      </c>
      <c r="H17" t="s">
        <v>45</v>
      </c>
      <c r="I17" t="s">
        <v>44</v>
      </c>
      <c r="J17" t="str">
        <f>PROPER(TRIM(CLEAN(tbl_Original[[#This Row],[Column1]])))</f>
        <v>Alameda</v>
      </c>
      <c r="K17" t="s">
        <v>103</v>
      </c>
      <c r="L17" t="s">
        <v>103</v>
      </c>
      <c r="M17" t="s">
        <v>104</v>
      </c>
      <c r="N17" s="1">
        <v>58.51</v>
      </c>
      <c r="O17">
        <v>2</v>
      </c>
      <c r="P17" t="s">
        <v>78</v>
      </c>
      <c r="Q17">
        <v>4</v>
      </c>
      <c r="R17">
        <v>4</v>
      </c>
      <c r="S17">
        <v>0.5</v>
      </c>
      <c r="T17" t="s">
        <v>36</v>
      </c>
      <c r="U17" t="s">
        <v>50</v>
      </c>
      <c r="V17">
        <v>0</v>
      </c>
      <c r="W17">
        <v>4</v>
      </c>
      <c r="X17" t="s">
        <v>49</v>
      </c>
      <c r="Y17" t="s">
        <v>79</v>
      </c>
      <c r="Z17" t="s">
        <v>51</v>
      </c>
      <c r="AA17" s="2">
        <v>45640</v>
      </c>
      <c r="AB17" t="b">
        <v>1</v>
      </c>
      <c r="AC17" t="b">
        <v>1</v>
      </c>
      <c r="AD17" t="s">
        <v>74</v>
      </c>
      <c r="AE17" t="s">
        <v>41</v>
      </c>
      <c r="AF17">
        <v>14</v>
      </c>
    </row>
    <row r="18" spans="1:32" x14ac:dyDescent="0.25">
      <c r="A18" t="s">
        <v>105</v>
      </c>
      <c r="B18">
        <v>16</v>
      </c>
      <c r="C18">
        <v>40</v>
      </c>
      <c r="D18" t="str">
        <f>IF(tbl_Original[[#This Row],[Gender2]]="Female","Female",IF(tbl_Original[[#This Row],[Gender2]]="Male","Male","Other"))</f>
        <v>Male</v>
      </c>
      <c r="E18" t="s">
        <v>43</v>
      </c>
      <c r="F18" t="s">
        <v>44</v>
      </c>
      <c r="G18" t="s">
        <v>76</v>
      </c>
      <c r="H18" t="s">
        <v>56</v>
      </c>
      <c r="I18" t="s">
        <v>44</v>
      </c>
      <c r="J18" t="str">
        <f>PROPER(TRIM(CLEAN(tbl_Original[[#This Row],[Column1]])))</f>
        <v>Dhankuta</v>
      </c>
      <c r="K18" t="s">
        <v>2306</v>
      </c>
      <c r="L18" t="s">
        <v>106</v>
      </c>
      <c r="M18" t="s">
        <v>107</v>
      </c>
      <c r="N18" s="1">
        <v>109.29</v>
      </c>
      <c r="O18">
        <v>3</v>
      </c>
      <c r="P18" t="s">
        <v>78</v>
      </c>
      <c r="Q18">
        <v>3</v>
      </c>
      <c r="R18">
        <v>4</v>
      </c>
      <c r="S18">
        <v>0</v>
      </c>
      <c r="T18" t="s">
        <v>49</v>
      </c>
      <c r="U18" t="s">
        <v>37</v>
      </c>
      <c r="V18">
        <v>2</v>
      </c>
      <c r="W18">
        <v>2</v>
      </c>
      <c r="X18" t="s">
        <v>44</v>
      </c>
      <c r="Y18" t="s">
        <v>79</v>
      </c>
      <c r="Z18" t="s">
        <v>61</v>
      </c>
      <c r="AA18" s="2">
        <v>45515</v>
      </c>
      <c r="AB18" t="b">
        <v>0</v>
      </c>
      <c r="AC18" t="b">
        <v>1</v>
      </c>
      <c r="AD18" t="s">
        <v>52</v>
      </c>
      <c r="AE18" t="s">
        <v>67</v>
      </c>
      <c r="AF18">
        <v>11</v>
      </c>
    </row>
    <row r="19" spans="1:32" x14ac:dyDescent="0.25">
      <c r="A19" t="s">
        <v>108</v>
      </c>
      <c r="B19">
        <v>17</v>
      </c>
      <c r="C19">
        <v>37</v>
      </c>
      <c r="D19" t="str">
        <f>IF(tbl_Original[[#This Row],[Gender2]]="Female","Female",IF(tbl_Original[[#This Row],[Gender2]]="Male","Male","Other"))</f>
        <v>Male</v>
      </c>
      <c r="E19" t="s">
        <v>43</v>
      </c>
      <c r="F19" t="s">
        <v>44</v>
      </c>
      <c r="G19" t="s">
        <v>55</v>
      </c>
      <c r="H19" t="s">
        <v>32</v>
      </c>
      <c r="I19" t="s">
        <v>44</v>
      </c>
      <c r="J19" t="str">
        <f>PROPER(TRIM(CLEAN(tbl_Original[[#This Row],[Column1]])))</f>
        <v>Jindong</v>
      </c>
      <c r="K19" t="s">
        <v>109</v>
      </c>
      <c r="L19" t="s">
        <v>109</v>
      </c>
      <c r="M19" t="s">
        <v>71</v>
      </c>
      <c r="N19" s="1">
        <v>356.45</v>
      </c>
      <c r="O19">
        <v>6</v>
      </c>
      <c r="P19" t="s">
        <v>35</v>
      </c>
      <c r="Q19">
        <v>5</v>
      </c>
      <c r="R19">
        <v>5</v>
      </c>
      <c r="S19">
        <v>2</v>
      </c>
      <c r="T19" t="s">
        <v>59</v>
      </c>
      <c r="U19" t="s">
        <v>85</v>
      </c>
      <c r="V19">
        <v>0</v>
      </c>
      <c r="W19">
        <v>7</v>
      </c>
      <c r="X19" t="s">
        <v>49</v>
      </c>
      <c r="Y19" t="s">
        <v>60</v>
      </c>
      <c r="Z19" t="s">
        <v>39</v>
      </c>
      <c r="AA19" s="2">
        <v>45583</v>
      </c>
      <c r="AB19" t="b">
        <v>0</v>
      </c>
      <c r="AC19" t="b">
        <v>1</v>
      </c>
      <c r="AD19" t="s">
        <v>74</v>
      </c>
      <c r="AE19" t="s">
        <v>53</v>
      </c>
      <c r="AF19">
        <v>8</v>
      </c>
    </row>
    <row r="20" spans="1:32" x14ac:dyDescent="0.25">
      <c r="A20" t="s">
        <v>110</v>
      </c>
      <c r="B20">
        <v>18</v>
      </c>
      <c r="C20">
        <v>38</v>
      </c>
      <c r="D20" t="str">
        <f>IF(tbl_Original[[#This Row],[Gender2]]="Female","Female",IF(tbl_Original[[#This Row],[Gender2]]="Male","Male","Other"))</f>
        <v>Female</v>
      </c>
      <c r="E20" t="s">
        <v>29</v>
      </c>
      <c r="F20" t="s">
        <v>30</v>
      </c>
      <c r="G20" t="s">
        <v>76</v>
      </c>
      <c r="H20" t="s">
        <v>32</v>
      </c>
      <c r="I20" t="s">
        <v>44</v>
      </c>
      <c r="J20" t="str">
        <f>PROPER(TRIM(CLEAN(tbl_Original[[#This Row],[Column1]])))</f>
        <v>Ngeru</v>
      </c>
      <c r="K20" t="s">
        <v>111</v>
      </c>
      <c r="L20" t="s">
        <v>111</v>
      </c>
      <c r="M20" t="s">
        <v>93</v>
      </c>
      <c r="N20" s="1">
        <v>236.99</v>
      </c>
      <c r="O20">
        <v>10</v>
      </c>
      <c r="P20" t="s">
        <v>35</v>
      </c>
      <c r="Q20">
        <v>2</v>
      </c>
      <c r="R20">
        <v>4</v>
      </c>
      <c r="S20">
        <v>0</v>
      </c>
      <c r="T20" t="s">
        <v>44</v>
      </c>
      <c r="U20" t="s">
        <v>85</v>
      </c>
      <c r="V20">
        <v>0</v>
      </c>
      <c r="W20">
        <v>8</v>
      </c>
      <c r="X20" t="s">
        <v>36</v>
      </c>
      <c r="Y20" t="s">
        <v>38</v>
      </c>
      <c r="Z20" t="s">
        <v>51</v>
      </c>
      <c r="AA20" s="2">
        <v>45635</v>
      </c>
      <c r="AB20" t="b">
        <v>1</v>
      </c>
      <c r="AC20" t="b">
        <v>1</v>
      </c>
      <c r="AD20" t="s">
        <v>62</v>
      </c>
      <c r="AE20" t="s">
        <v>41</v>
      </c>
      <c r="AF20">
        <v>13</v>
      </c>
    </row>
    <row r="21" spans="1:32" x14ac:dyDescent="0.25">
      <c r="A21" t="s">
        <v>112</v>
      </c>
      <c r="B21">
        <v>19</v>
      </c>
      <c r="C21">
        <v>36</v>
      </c>
      <c r="D21" t="str">
        <f>IF(tbl_Original[[#This Row],[Gender2]]="Female","Female",IF(tbl_Original[[#This Row],[Gender2]]="Male","Male","Other"))</f>
        <v>Male</v>
      </c>
      <c r="E21" t="s">
        <v>43</v>
      </c>
      <c r="F21" t="s">
        <v>30</v>
      </c>
      <c r="G21" t="s">
        <v>69</v>
      </c>
      <c r="H21" t="s">
        <v>32</v>
      </c>
      <c r="I21" t="s">
        <v>44</v>
      </c>
      <c r="J21" t="str">
        <f>PROPER(TRIM(CLEAN(tbl_Original[[#This Row],[Column1]])))</f>
        <v>White Rock</v>
      </c>
      <c r="K21" t="s">
        <v>113</v>
      </c>
      <c r="L21" t="s">
        <v>113</v>
      </c>
      <c r="M21" t="s">
        <v>114</v>
      </c>
      <c r="N21" s="1">
        <v>454.39</v>
      </c>
      <c r="O21">
        <v>10</v>
      </c>
      <c r="P21" t="s">
        <v>48</v>
      </c>
      <c r="Q21">
        <v>2</v>
      </c>
      <c r="R21">
        <v>4</v>
      </c>
      <c r="S21">
        <v>2</v>
      </c>
      <c r="T21" t="s">
        <v>49</v>
      </c>
      <c r="U21" t="s">
        <v>50</v>
      </c>
      <c r="V21">
        <v>0</v>
      </c>
      <c r="W21">
        <v>3</v>
      </c>
      <c r="X21" t="s">
        <v>36</v>
      </c>
      <c r="Y21" t="s">
        <v>79</v>
      </c>
      <c r="Z21" t="s">
        <v>66</v>
      </c>
      <c r="AA21" s="2">
        <v>45496</v>
      </c>
      <c r="AB21" t="b">
        <v>0</v>
      </c>
      <c r="AC21" t="b">
        <v>1</v>
      </c>
      <c r="AD21" t="s">
        <v>62</v>
      </c>
      <c r="AE21" t="s">
        <v>53</v>
      </c>
      <c r="AF21">
        <v>3</v>
      </c>
    </row>
    <row r="22" spans="1:32" x14ac:dyDescent="0.25">
      <c r="A22" t="s">
        <v>115</v>
      </c>
      <c r="B22">
        <v>20</v>
      </c>
      <c r="C22">
        <v>29</v>
      </c>
      <c r="D22" t="str">
        <f>IF(tbl_Original[[#This Row],[Gender2]]="Female","Female",IF(tbl_Original[[#This Row],[Gender2]]="Male","Male","Other"))</f>
        <v>Female</v>
      </c>
      <c r="E22" t="s">
        <v>29</v>
      </c>
      <c r="F22" t="s">
        <v>44</v>
      </c>
      <c r="G22" t="s">
        <v>69</v>
      </c>
      <c r="H22" t="s">
        <v>32</v>
      </c>
      <c r="I22" t="s">
        <v>30</v>
      </c>
      <c r="J22" t="str">
        <f>PROPER(TRIM(CLEAN(tbl_Original[[#This Row],[Column1]])))</f>
        <v>Monastyrshchina</v>
      </c>
      <c r="K22" t="s">
        <v>116</v>
      </c>
      <c r="L22" t="s">
        <v>116</v>
      </c>
      <c r="M22" t="s">
        <v>117</v>
      </c>
      <c r="N22" s="1">
        <v>490.75</v>
      </c>
      <c r="O22">
        <v>10</v>
      </c>
      <c r="P22" t="s">
        <v>48</v>
      </c>
      <c r="Q22">
        <v>2</v>
      </c>
      <c r="R22">
        <v>4</v>
      </c>
      <c r="S22">
        <v>1</v>
      </c>
      <c r="T22" t="s">
        <v>36</v>
      </c>
      <c r="U22" t="s">
        <v>85</v>
      </c>
      <c r="V22">
        <v>1</v>
      </c>
      <c r="W22">
        <v>4</v>
      </c>
      <c r="X22" t="s">
        <v>59</v>
      </c>
      <c r="Y22" t="s">
        <v>60</v>
      </c>
      <c r="Z22" t="s">
        <v>61</v>
      </c>
      <c r="AA22" s="2">
        <v>45481</v>
      </c>
      <c r="AB22" t="b">
        <v>0</v>
      </c>
      <c r="AC22" t="b">
        <v>0</v>
      </c>
      <c r="AD22" t="s">
        <v>52</v>
      </c>
      <c r="AE22" t="s">
        <v>53</v>
      </c>
      <c r="AF22">
        <v>13</v>
      </c>
    </row>
    <row r="23" spans="1:32" x14ac:dyDescent="0.25">
      <c r="A23" t="s">
        <v>118</v>
      </c>
      <c r="B23">
        <v>21</v>
      </c>
      <c r="C23">
        <v>21</v>
      </c>
      <c r="D23" t="str">
        <f>IF(tbl_Original[[#This Row],[Gender2]]="Female","Female",IF(tbl_Original[[#This Row],[Gender2]]="Male","Male","Other"))</f>
        <v>Female</v>
      </c>
      <c r="E23" t="s">
        <v>29</v>
      </c>
      <c r="F23" t="s">
        <v>30</v>
      </c>
      <c r="G23" t="s">
        <v>69</v>
      </c>
      <c r="H23" t="s">
        <v>45</v>
      </c>
      <c r="I23" t="s">
        <v>30</v>
      </c>
      <c r="J23" t="str">
        <f>PROPER(TRIM(CLEAN(tbl_Original[[#This Row],[Column1]])))</f>
        <v>Pangkalanbunut</v>
      </c>
      <c r="K23" t="s">
        <v>119</v>
      </c>
      <c r="L23" t="s">
        <v>119</v>
      </c>
      <c r="M23" t="s">
        <v>120</v>
      </c>
      <c r="N23" s="1">
        <v>463.07</v>
      </c>
      <c r="O23">
        <v>7</v>
      </c>
      <c r="P23" t="s">
        <v>35</v>
      </c>
      <c r="Q23">
        <v>4</v>
      </c>
      <c r="R23">
        <v>2</v>
      </c>
      <c r="S23">
        <v>0</v>
      </c>
      <c r="T23" t="s">
        <v>36</v>
      </c>
      <c r="U23" t="s">
        <v>85</v>
      </c>
      <c r="V23">
        <v>1</v>
      </c>
      <c r="W23">
        <v>2</v>
      </c>
      <c r="X23" t="s">
        <v>49</v>
      </c>
      <c r="Y23" t="s">
        <v>60</v>
      </c>
      <c r="Z23" t="s">
        <v>51</v>
      </c>
      <c r="AA23" s="2">
        <v>45496</v>
      </c>
      <c r="AB23" t="b">
        <v>1</v>
      </c>
      <c r="AC23" t="b">
        <v>0</v>
      </c>
      <c r="AD23" t="s">
        <v>52</v>
      </c>
      <c r="AE23" t="s">
        <v>41</v>
      </c>
      <c r="AF23">
        <v>11</v>
      </c>
    </row>
    <row r="24" spans="1:32" x14ac:dyDescent="0.25">
      <c r="A24" t="s">
        <v>121</v>
      </c>
      <c r="B24">
        <v>22</v>
      </c>
      <c r="C24">
        <v>36</v>
      </c>
      <c r="D24" t="str">
        <f>IF(tbl_Original[[#This Row],[Gender2]]="Female","Female",IF(tbl_Original[[#This Row],[Gender2]]="Male","Male","Other"))</f>
        <v>Female</v>
      </c>
      <c r="E24" t="s">
        <v>29</v>
      </c>
      <c r="F24" t="s">
        <v>44</v>
      </c>
      <c r="G24" t="s">
        <v>31</v>
      </c>
      <c r="H24" t="s">
        <v>56</v>
      </c>
      <c r="I24" t="s">
        <v>44</v>
      </c>
      <c r="J24" t="str">
        <f>PROPER(TRIM(CLEAN(tbl_Original[[#This Row],[Column1]])))</f>
        <v>Lederaba</v>
      </c>
      <c r="K24" t="s">
        <v>122</v>
      </c>
      <c r="L24" t="s">
        <v>122</v>
      </c>
      <c r="M24" t="s">
        <v>123</v>
      </c>
      <c r="N24" s="1">
        <v>56.74</v>
      </c>
      <c r="O24">
        <v>5</v>
      </c>
      <c r="P24" t="s">
        <v>78</v>
      </c>
      <c r="Q24">
        <v>5</v>
      </c>
      <c r="R24">
        <v>1</v>
      </c>
      <c r="S24">
        <v>0</v>
      </c>
      <c r="T24" t="s">
        <v>49</v>
      </c>
      <c r="U24" t="s">
        <v>85</v>
      </c>
      <c r="V24">
        <v>0</v>
      </c>
      <c r="W24">
        <v>6</v>
      </c>
      <c r="X24" t="s">
        <v>36</v>
      </c>
      <c r="Y24" t="s">
        <v>60</v>
      </c>
      <c r="Z24" t="s">
        <v>66</v>
      </c>
      <c r="AA24" s="2">
        <v>45504</v>
      </c>
      <c r="AB24" t="b">
        <v>1</v>
      </c>
      <c r="AC24" t="b">
        <v>0</v>
      </c>
      <c r="AD24" t="s">
        <v>62</v>
      </c>
      <c r="AE24" t="s">
        <v>67</v>
      </c>
      <c r="AF24">
        <v>7</v>
      </c>
    </row>
    <row r="25" spans="1:32" x14ac:dyDescent="0.25">
      <c r="A25" t="s">
        <v>124</v>
      </c>
      <c r="B25">
        <v>23</v>
      </c>
      <c r="C25">
        <v>38</v>
      </c>
      <c r="D25" t="str">
        <f>IF(tbl_Original[[#This Row],[Gender2]]="Female","Female",IF(tbl_Original[[#This Row],[Gender2]]="Male","Male","Other"))</f>
        <v>Male</v>
      </c>
      <c r="E25" t="s">
        <v>43</v>
      </c>
      <c r="F25" t="s">
        <v>44</v>
      </c>
      <c r="G25" t="s">
        <v>76</v>
      </c>
      <c r="H25" t="s">
        <v>32</v>
      </c>
      <c r="I25" t="s">
        <v>30</v>
      </c>
      <c r="J25" t="str">
        <f>PROPER(TRIM(CLEAN(tbl_Original[[#This Row],[Column1]])))</f>
        <v>Lugo</v>
      </c>
      <c r="K25" t="s">
        <v>125</v>
      </c>
      <c r="L25" t="s">
        <v>125</v>
      </c>
      <c r="M25" t="s">
        <v>126</v>
      </c>
      <c r="N25" s="1">
        <v>371.32</v>
      </c>
      <c r="O25">
        <v>7</v>
      </c>
      <c r="P25" t="s">
        <v>48</v>
      </c>
      <c r="Q25">
        <v>4</v>
      </c>
      <c r="R25">
        <v>4</v>
      </c>
      <c r="S25">
        <v>0.7</v>
      </c>
      <c r="T25" t="s">
        <v>49</v>
      </c>
      <c r="U25" t="s">
        <v>50</v>
      </c>
      <c r="V25">
        <v>2</v>
      </c>
      <c r="W25">
        <v>1</v>
      </c>
      <c r="X25" t="s">
        <v>36</v>
      </c>
      <c r="Y25" t="s">
        <v>38</v>
      </c>
      <c r="Z25" t="s">
        <v>61</v>
      </c>
      <c r="AA25" s="2">
        <v>45347</v>
      </c>
      <c r="AB25" t="b">
        <v>1</v>
      </c>
      <c r="AC25" t="b">
        <v>1</v>
      </c>
      <c r="AD25" t="s">
        <v>62</v>
      </c>
      <c r="AE25" t="s">
        <v>53</v>
      </c>
      <c r="AF25">
        <v>6</v>
      </c>
    </row>
    <row r="26" spans="1:32" x14ac:dyDescent="0.25">
      <c r="A26" t="s">
        <v>127</v>
      </c>
      <c r="B26">
        <v>24</v>
      </c>
      <c r="C26">
        <v>37</v>
      </c>
      <c r="D26" t="str">
        <f>IF(tbl_Original[[#This Row],[Gender2]]="Female","Female",IF(tbl_Original[[#This Row],[Gender2]]="Male","Male","Other"))</f>
        <v>Female</v>
      </c>
      <c r="E26" t="s">
        <v>29</v>
      </c>
      <c r="F26" t="s">
        <v>30</v>
      </c>
      <c r="G26" t="s">
        <v>55</v>
      </c>
      <c r="H26" t="s">
        <v>32</v>
      </c>
      <c r="I26" t="s">
        <v>30</v>
      </c>
      <c r="J26" t="str">
        <f>PROPER(TRIM(CLEAN(tbl_Original[[#This Row],[Column1]])))</f>
        <v>So Roque</v>
      </c>
      <c r="K26" t="s">
        <v>2131</v>
      </c>
      <c r="L26" t="s">
        <v>128</v>
      </c>
      <c r="M26" t="s">
        <v>120</v>
      </c>
      <c r="N26" s="1">
        <v>461</v>
      </c>
      <c r="O26">
        <v>7</v>
      </c>
      <c r="P26" t="s">
        <v>78</v>
      </c>
      <c r="Q26">
        <v>2</v>
      </c>
      <c r="R26">
        <v>4</v>
      </c>
      <c r="S26">
        <v>1</v>
      </c>
      <c r="T26" t="s">
        <v>44</v>
      </c>
      <c r="U26" t="s">
        <v>50</v>
      </c>
      <c r="V26">
        <v>0</v>
      </c>
      <c r="W26">
        <v>8</v>
      </c>
      <c r="X26" t="s">
        <v>59</v>
      </c>
      <c r="Y26" t="s">
        <v>38</v>
      </c>
      <c r="Z26" t="s">
        <v>86</v>
      </c>
      <c r="AA26" s="2">
        <v>45483</v>
      </c>
      <c r="AB26" t="b">
        <v>0</v>
      </c>
      <c r="AC26" t="b">
        <v>1</v>
      </c>
      <c r="AD26" t="s">
        <v>52</v>
      </c>
      <c r="AE26" t="s">
        <v>53</v>
      </c>
      <c r="AF26">
        <v>9</v>
      </c>
    </row>
    <row r="27" spans="1:32" x14ac:dyDescent="0.25">
      <c r="A27" t="s">
        <v>129</v>
      </c>
      <c r="B27">
        <v>25</v>
      </c>
      <c r="C27">
        <v>33</v>
      </c>
      <c r="D27" t="str">
        <f>IF(tbl_Original[[#This Row],[Gender2]]="Female","Female",IF(tbl_Original[[#This Row],[Gender2]]="Male","Male","Other"))</f>
        <v>Female</v>
      </c>
      <c r="E27" t="s">
        <v>29</v>
      </c>
      <c r="F27" t="s">
        <v>44</v>
      </c>
      <c r="G27" t="s">
        <v>31</v>
      </c>
      <c r="H27" t="s">
        <v>32</v>
      </c>
      <c r="I27" t="s">
        <v>44</v>
      </c>
      <c r="J27" t="str">
        <f>PROPER(TRIM(CLEAN(tbl_Original[[#This Row],[Column1]])))</f>
        <v>Bani Khaddash</v>
      </c>
      <c r="K27" t="s">
        <v>2307</v>
      </c>
      <c r="L27" t="s">
        <v>130</v>
      </c>
      <c r="M27" t="s">
        <v>47</v>
      </c>
      <c r="N27" s="1">
        <v>253.37</v>
      </c>
      <c r="O27">
        <v>6</v>
      </c>
      <c r="P27" t="s">
        <v>48</v>
      </c>
      <c r="Q27">
        <v>4</v>
      </c>
      <c r="R27">
        <v>1</v>
      </c>
      <c r="S27">
        <v>1</v>
      </c>
      <c r="T27" t="s">
        <v>36</v>
      </c>
      <c r="U27" t="s">
        <v>85</v>
      </c>
      <c r="V27">
        <v>2</v>
      </c>
      <c r="W27">
        <v>10</v>
      </c>
      <c r="X27" t="s">
        <v>44</v>
      </c>
      <c r="Y27" t="s">
        <v>38</v>
      </c>
      <c r="Z27" t="s">
        <v>66</v>
      </c>
      <c r="AA27" s="2">
        <v>45651</v>
      </c>
      <c r="AB27" t="b">
        <v>1</v>
      </c>
      <c r="AC27" t="b">
        <v>0</v>
      </c>
      <c r="AD27" t="s">
        <v>62</v>
      </c>
      <c r="AE27" t="s">
        <v>53</v>
      </c>
      <c r="AF27">
        <v>8</v>
      </c>
    </row>
    <row r="28" spans="1:32" x14ac:dyDescent="0.25">
      <c r="A28" t="s">
        <v>131</v>
      </c>
      <c r="B28">
        <v>26</v>
      </c>
      <c r="C28">
        <v>37</v>
      </c>
      <c r="D28" t="str">
        <f>IF(tbl_Original[[#This Row],[Gender2]]="Female","Female",IF(tbl_Original[[#This Row],[Gender2]]="Male","Male","Other"))</f>
        <v>Male</v>
      </c>
      <c r="E28" t="s">
        <v>43</v>
      </c>
      <c r="F28" t="s">
        <v>44</v>
      </c>
      <c r="G28" t="s">
        <v>69</v>
      </c>
      <c r="H28" t="s">
        <v>45</v>
      </c>
      <c r="I28" t="s">
        <v>44</v>
      </c>
      <c r="J28" t="str">
        <f>PROPER(TRIM(CLEAN(tbl_Original[[#This Row],[Column1]])))</f>
        <v>Montpellier</v>
      </c>
      <c r="K28" t="s">
        <v>132</v>
      </c>
      <c r="L28" t="s">
        <v>132</v>
      </c>
      <c r="M28" t="s">
        <v>114</v>
      </c>
      <c r="N28" s="1">
        <v>136.53</v>
      </c>
      <c r="O28">
        <v>3</v>
      </c>
      <c r="P28" t="s">
        <v>35</v>
      </c>
      <c r="Q28">
        <v>2</v>
      </c>
      <c r="R28">
        <v>4</v>
      </c>
      <c r="S28">
        <v>2</v>
      </c>
      <c r="T28" t="s">
        <v>44</v>
      </c>
      <c r="U28" t="s">
        <v>50</v>
      </c>
      <c r="V28">
        <v>1</v>
      </c>
      <c r="W28">
        <v>3</v>
      </c>
      <c r="X28" t="s">
        <v>44</v>
      </c>
      <c r="Y28" t="s">
        <v>60</v>
      </c>
      <c r="Z28" t="s">
        <v>51</v>
      </c>
      <c r="AA28" s="2">
        <v>45443</v>
      </c>
      <c r="AB28" t="b">
        <v>1</v>
      </c>
      <c r="AC28" t="b">
        <v>1</v>
      </c>
      <c r="AD28" t="s">
        <v>74</v>
      </c>
      <c r="AE28" t="s">
        <v>53</v>
      </c>
      <c r="AF28">
        <v>10</v>
      </c>
    </row>
    <row r="29" spans="1:32" x14ac:dyDescent="0.25">
      <c r="A29" t="s">
        <v>133</v>
      </c>
      <c r="B29">
        <v>27</v>
      </c>
      <c r="C29">
        <v>31</v>
      </c>
      <c r="D29" t="str">
        <f>IF(tbl_Original[[#This Row],[Gender2]]="Female","Female",IF(tbl_Original[[#This Row],[Gender2]]="Male","Male","Other"))</f>
        <v>Female</v>
      </c>
      <c r="E29" t="s">
        <v>29</v>
      </c>
      <c r="F29" t="s">
        <v>30</v>
      </c>
      <c r="G29" t="s">
        <v>55</v>
      </c>
      <c r="H29" t="s">
        <v>56</v>
      </c>
      <c r="I29" t="s">
        <v>30</v>
      </c>
      <c r="J29" t="str">
        <f>PROPER(TRIM(CLEAN(tbl_Original[[#This Row],[Column1]])))</f>
        <v>Nesovice</v>
      </c>
      <c r="K29" t="s">
        <v>134</v>
      </c>
      <c r="L29" t="s">
        <v>134</v>
      </c>
      <c r="M29" t="s">
        <v>135</v>
      </c>
      <c r="N29" s="1">
        <v>489.05</v>
      </c>
      <c r="O29">
        <v>10</v>
      </c>
      <c r="P29" t="s">
        <v>78</v>
      </c>
      <c r="Q29">
        <v>5</v>
      </c>
      <c r="R29">
        <v>3</v>
      </c>
      <c r="S29">
        <v>0</v>
      </c>
      <c r="T29" t="s">
        <v>44</v>
      </c>
      <c r="U29" t="s">
        <v>37</v>
      </c>
      <c r="V29">
        <v>2</v>
      </c>
      <c r="W29">
        <v>2</v>
      </c>
      <c r="X29" t="s">
        <v>44</v>
      </c>
      <c r="Y29" t="s">
        <v>79</v>
      </c>
      <c r="Z29" t="s">
        <v>51</v>
      </c>
      <c r="AA29" s="2">
        <v>45539</v>
      </c>
      <c r="AB29" t="b">
        <v>1</v>
      </c>
      <c r="AC29" t="b">
        <v>1</v>
      </c>
      <c r="AD29" t="s">
        <v>74</v>
      </c>
      <c r="AE29" t="s">
        <v>53</v>
      </c>
      <c r="AF29">
        <v>7</v>
      </c>
    </row>
    <row r="30" spans="1:32" x14ac:dyDescent="0.25">
      <c r="A30" t="s">
        <v>136</v>
      </c>
      <c r="B30">
        <v>28</v>
      </c>
      <c r="C30">
        <v>50</v>
      </c>
      <c r="D30" t="str">
        <f>IF(tbl_Original[[#This Row],[Gender2]]="Female","Female",IF(tbl_Original[[#This Row],[Gender2]]="Male","Male","Other"))</f>
        <v>Male</v>
      </c>
      <c r="E30" t="s">
        <v>43</v>
      </c>
      <c r="F30" t="s">
        <v>44</v>
      </c>
      <c r="G30" t="s">
        <v>55</v>
      </c>
      <c r="H30" t="s">
        <v>56</v>
      </c>
      <c r="I30" t="s">
        <v>44</v>
      </c>
      <c r="J30" t="str">
        <f>PROPER(TRIM(CLEAN(tbl_Original[[#This Row],[Column1]])))</f>
        <v>Pasirhuni</v>
      </c>
      <c r="K30" t="s">
        <v>137</v>
      </c>
      <c r="L30" t="s">
        <v>137</v>
      </c>
      <c r="M30" t="s">
        <v>117</v>
      </c>
      <c r="N30" s="1">
        <v>81.91</v>
      </c>
      <c r="O30">
        <v>10</v>
      </c>
      <c r="P30" t="s">
        <v>48</v>
      </c>
      <c r="Q30">
        <v>3</v>
      </c>
      <c r="R30">
        <v>4</v>
      </c>
      <c r="S30">
        <v>1</v>
      </c>
      <c r="T30" t="s">
        <v>49</v>
      </c>
      <c r="U30" t="s">
        <v>85</v>
      </c>
      <c r="V30">
        <v>0</v>
      </c>
      <c r="W30">
        <v>4</v>
      </c>
      <c r="X30" t="s">
        <v>36</v>
      </c>
      <c r="Y30" t="s">
        <v>79</v>
      </c>
      <c r="Z30" t="s">
        <v>61</v>
      </c>
      <c r="AA30" s="2">
        <v>45497</v>
      </c>
      <c r="AB30" t="b">
        <v>0</v>
      </c>
      <c r="AC30" t="b">
        <v>1</v>
      </c>
      <c r="AD30" t="s">
        <v>40</v>
      </c>
      <c r="AE30" t="s">
        <v>67</v>
      </c>
      <c r="AF30">
        <v>2</v>
      </c>
    </row>
    <row r="31" spans="1:32" x14ac:dyDescent="0.25">
      <c r="A31" t="s">
        <v>138</v>
      </c>
      <c r="B31">
        <v>29</v>
      </c>
      <c r="C31">
        <v>50</v>
      </c>
      <c r="D31" t="str">
        <f>IF(tbl_Original[[#This Row],[Gender2]]="Female","Female",IF(tbl_Original[[#This Row],[Gender2]]="Male","Male","Other"))</f>
        <v>Male</v>
      </c>
      <c r="E31" t="s">
        <v>43</v>
      </c>
      <c r="F31" t="s">
        <v>30</v>
      </c>
      <c r="G31" t="s">
        <v>31</v>
      </c>
      <c r="H31" t="s">
        <v>32</v>
      </c>
      <c r="I31" t="s">
        <v>30</v>
      </c>
      <c r="J31" t="str">
        <f>PROPER(TRIM(CLEAN(tbl_Original[[#This Row],[Column1]])))</f>
        <v>Glendale</v>
      </c>
      <c r="K31" t="s">
        <v>139</v>
      </c>
      <c r="L31" t="s">
        <v>139</v>
      </c>
      <c r="M31" t="s">
        <v>135</v>
      </c>
      <c r="N31" s="1">
        <v>135.80000000000001</v>
      </c>
      <c r="O31">
        <v>2</v>
      </c>
      <c r="P31" t="s">
        <v>48</v>
      </c>
      <c r="Q31">
        <v>2</v>
      </c>
      <c r="R31">
        <v>5</v>
      </c>
      <c r="S31">
        <v>1</v>
      </c>
      <c r="T31" t="s">
        <v>59</v>
      </c>
      <c r="U31" t="s">
        <v>37</v>
      </c>
      <c r="V31">
        <v>1</v>
      </c>
      <c r="W31">
        <v>2</v>
      </c>
      <c r="X31" t="s">
        <v>44</v>
      </c>
      <c r="Y31" t="s">
        <v>79</v>
      </c>
      <c r="Z31" t="s">
        <v>61</v>
      </c>
      <c r="AA31" s="2">
        <v>45612</v>
      </c>
      <c r="AB31" t="b">
        <v>0</v>
      </c>
      <c r="AC31" t="b">
        <v>1</v>
      </c>
      <c r="AD31" t="s">
        <v>74</v>
      </c>
      <c r="AE31" t="s">
        <v>41</v>
      </c>
      <c r="AF31">
        <v>9</v>
      </c>
    </row>
    <row r="32" spans="1:32" x14ac:dyDescent="0.25">
      <c r="A32" t="s">
        <v>140</v>
      </c>
      <c r="B32">
        <v>30</v>
      </c>
      <c r="C32">
        <v>45</v>
      </c>
      <c r="D32" t="str">
        <f>IF(tbl_Original[[#This Row],[Gender2]]="Female","Female",IF(tbl_Original[[#This Row],[Gender2]]="Male","Male","Other"))</f>
        <v>Female</v>
      </c>
      <c r="E32" t="s">
        <v>29</v>
      </c>
      <c r="F32" t="s">
        <v>30</v>
      </c>
      <c r="G32" t="s">
        <v>69</v>
      </c>
      <c r="H32" t="s">
        <v>45</v>
      </c>
      <c r="I32" t="s">
        <v>30</v>
      </c>
      <c r="J32" t="str">
        <f>PROPER(TRIM(CLEAN(tbl_Original[[#This Row],[Column1]])))</f>
        <v>Tla</v>
      </c>
      <c r="K32" t="s">
        <v>2132</v>
      </c>
      <c r="L32" t="s">
        <v>141</v>
      </c>
      <c r="M32" t="s">
        <v>142</v>
      </c>
      <c r="N32" s="1">
        <v>382.24</v>
      </c>
      <c r="O32">
        <v>12</v>
      </c>
      <c r="P32" t="s">
        <v>48</v>
      </c>
      <c r="Q32">
        <v>1</v>
      </c>
      <c r="R32">
        <v>5</v>
      </c>
      <c r="S32">
        <v>1</v>
      </c>
      <c r="T32" t="s">
        <v>44</v>
      </c>
      <c r="U32" t="s">
        <v>85</v>
      </c>
      <c r="V32">
        <v>1</v>
      </c>
      <c r="W32">
        <v>4</v>
      </c>
      <c r="X32" t="s">
        <v>44</v>
      </c>
      <c r="Y32" t="s">
        <v>38</v>
      </c>
      <c r="Z32" t="s">
        <v>51</v>
      </c>
      <c r="AA32" s="2">
        <v>45479</v>
      </c>
      <c r="AB32" t="b">
        <v>1</v>
      </c>
      <c r="AC32" t="b">
        <v>1</v>
      </c>
      <c r="AD32" t="s">
        <v>74</v>
      </c>
      <c r="AE32" t="s">
        <v>53</v>
      </c>
      <c r="AF32">
        <v>3</v>
      </c>
    </row>
    <row r="33" spans="1:32" x14ac:dyDescent="0.25">
      <c r="A33" t="s">
        <v>143</v>
      </c>
      <c r="B33">
        <v>31</v>
      </c>
      <c r="C33">
        <v>33</v>
      </c>
      <c r="D33" t="str">
        <f>IF(tbl_Original[[#This Row],[Gender2]]="Female","Female",IF(tbl_Original[[#This Row],[Gender2]]="Male","Male","Other"))</f>
        <v>Female</v>
      </c>
      <c r="E33" t="s">
        <v>29</v>
      </c>
      <c r="F33" t="s">
        <v>44</v>
      </c>
      <c r="G33" t="s">
        <v>31</v>
      </c>
      <c r="H33" t="s">
        <v>32</v>
      </c>
      <c r="I33" t="s">
        <v>30</v>
      </c>
      <c r="J33" t="str">
        <f>PROPER(TRIM(CLEAN(tbl_Original[[#This Row],[Column1]])))</f>
        <v>Marseille</v>
      </c>
      <c r="K33" t="s">
        <v>144</v>
      </c>
      <c r="L33" t="s">
        <v>144</v>
      </c>
      <c r="M33" t="s">
        <v>34</v>
      </c>
      <c r="N33" s="1">
        <v>354.7</v>
      </c>
      <c r="O33">
        <v>5</v>
      </c>
      <c r="P33" t="s">
        <v>78</v>
      </c>
      <c r="Q33">
        <v>4</v>
      </c>
      <c r="R33">
        <v>2</v>
      </c>
      <c r="S33">
        <v>0</v>
      </c>
      <c r="T33" t="s">
        <v>36</v>
      </c>
      <c r="U33" t="s">
        <v>85</v>
      </c>
      <c r="V33">
        <v>2</v>
      </c>
      <c r="W33">
        <v>7</v>
      </c>
      <c r="X33" t="s">
        <v>36</v>
      </c>
      <c r="Y33" t="s">
        <v>60</v>
      </c>
      <c r="Z33" t="s">
        <v>66</v>
      </c>
      <c r="AA33" s="2">
        <v>45332</v>
      </c>
      <c r="AB33" t="b">
        <v>1</v>
      </c>
      <c r="AC33" t="b">
        <v>0</v>
      </c>
      <c r="AD33" t="s">
        <v>74</v>
      </c>
      <c r="AE33" t="s">
        <v>67</v>
      </c>
      <c r="AF33">
        <v>12</v>
      </c>
    </row>
    <row r="34" spans="1:32" x14ac:dyDescent="0.25">
      <c r="A34" t="s">
        <v>145</v>
      </c>
      <c r="B34">
        <v>32</v>
      </c>
      <c r="C34">
        <v>24</v>
      </c>
      <c r="D34" t="str">
        <f>IF(tbl_Original[[#This Row],[Gender2]]="Female","Female",IF(tbl_Original[[#This Row],[Gender2]]="Male","Male","Other"))</f>
        <v>Male</v>
      </c>
      <c r="E34" t="s">
        <v>43</v>
      </c>
      <c r="F34" t="s">
        <v>44</v>
      </c>
      <c r="G34" t="s">
        <v>76</v>
      </c>
      <c r="H34" t="s">
        <v>32</v>
      </c>
      <c r="I34" t="s">
        <v>44</v>
      </c>
      <c r="J34" t="str">
        <f>PROPER(TRIM(CLEAN(tbl_Original[[#This Row],[Column1]])))</f>
        <v>Nasielsk</v>
      </c>
      <c r="K34" t="s">
        <v>146</v>
      </c>
      <c r="L34" t="s">
        <v>146</v>
      </c>
      <c r="M34" t="s">
        <v>93</v>
      </c>
      <c r="N34" s="1">
        <v>433.82</v>
      </c>
      <c r="O34">
        <v>6</v>
      </c>
      <c r="P34" t="s">
        <v>78</v>
      </c>
      <c r="Q34">
        <v>3</v>
      </c>
      <c r="R34">
        <v>2</v>
      </c>
      <c r="S34">
        <v>1</v>
      </c>
      <c r="T34" t="s">
        <v>49</v>
      </c>
      <c r="U34" t="s">
        <v>37</v>
      </c>
      <c r="V34">
        <v>0</v>
      </c>
      <c r="W34">
        <v>8</v>
      </c>
      <c r="X34" t="s">
        <v>49</v>
      </c>
      <c r="Y34" t="s">
        <v>79</v>
      </c>
      <c r="Z34" t="s">
        <v>66</v>
      </c>
      <c r="AA34" s="2">
        <v>45472</v>
      </c>
      <c r="AB34" t="b">
        <v>0</v>
      </c>
      <c r="AC34" t="b">
        <v>1</v>
      </c>
      <c r="AD34" t="s">
        <v>74</v>
      </c>
      <c r="AE34" t="s">
        <v>67</v>
      </c>
      <c r="AF34">
        <v>10</v>
      </c>
    </row>
    <row r="35" spans="1:32" x14ac:dyDescent="0.25">
      <c r="A35" t="s">
        <v>147</v>
      </c>
      <c r="B35">
        <v>33</v>
      </c>
      <c r="C35">
        <v>39</v>
      </c>
      <c r="D35" t="str">
        <f>IF(tbl_Original[[#This Row],[Gender2]]="Female","Female",IF(tbl_Original[[#This Row],[Gender2]]="Male","Male","Other"))</f>
        <v>Other</v>
      </c>
      <c r="E35" t="s">
        <v>148</v>
      </c>
      <c r="F35" t="s">
        <v>44</v>
      </c>
      <c r="G35" t="s">
        <v>31</v>
      </c>
      <c r="H35" t="s">
        <v>32</v>
      </c>
      <c r="I35" t="s">
        <v>30</v>
      </c>
      <c r="J35" t="str">
        <f>PROPER(TRIM(CLEAN(tbl_Original[[#This Row],[Column1]])))</f>
        <v>Paris 06</v>
      </c>
      <c r="K35" t="s">
        <v>149</v>
      </c>
      <c r="L35" t="s">
        <v>149</v>
      </c>
      <c r="M35" t="s">
        <v>93</v>
      </c>
      <c r="N35" s="1">
        <v>282.13</v>
      </c>
      <c r="O35">
        <v>5</v>
      </c>
      <c r="P35" t="s">
        <v>35</v>
      </c>
      <c r="Q35">
        <v>4</v>
      </c>
      <c r="R35">
        <v>5</v>
      </c>
      <c r="S35">
        <v>1</v>
      </c>
      <c r="T35" t="s">
        <v>36</v>
      </c>
      <c r="U35" t="s">
        <v>37</v>
      </c>
      <c r="V35">
        <v>1</v>
      </c>
      <c r="W35">
        <v>2</v>
      </c>
      <c r="X35" t="s">
        <v>36</v>
      </c>
      <c r="Y35" t="s">
        <v>38</v>
      </c>
      <c r="Z35" t="s">
        <v>66</v>
      </c>
      <c r="AA35" s="2">
        <v>45317</v>
      </c>
      <c r="AB35" t="b">
        <v>1</v>
      </c>
      <c r="AC35" t="b">
        <v>0</v>
      </c>
      <c r="AD35" t="s">
        <v>40</v>
      </c>
      <c r="AE35" t="s">
        <v>53</v>
      </c>
      <c r="AF35">
        <v>9</v>
      </c>
    </row>
    <row r="36" spans="1:32" x14ac:dyDescent="0.25">
      <c r="A36" t="s">
        <v>150</v>
      </c>
      <c r="B36">
        <v>34</v>
      </c>
      <c r="C36">
        <v>48</v>
      </c>
      <c r="D36" t="str">
        <f>IF(tbl_Original[[#This Row],[Gender2]]="Female","Female",IF(tbl_Original[[#This Row],[Gender2]]="Male","Male","Other"))</f>
        <v>Male</v>
      </c>
      <c r="E36" t="s">
        <v>43</v>
      </c>
      <c r="F36" t="s">
        <v>44</v>
      </c>
      <c r="G36" t="s">
        <v>69</v>
      </c>
      <c r="H36" t="s">
        <v>45</v>
      </c>
      <c r="I36" t="s">
        <v>30</v>
      </c>
      <c r="J36" t="str">
        <f>PROPER(TRIM(CLEAN(tbl_Original[[#This Row],[Column1]])))</f>
        <v>Bronnitsy</v>
      </c>
      <c r="K36" t="s">
        <v>151</v>
      </c>
      <c r="L36" t="s">
        <v>151</v>
      </c>
      <c r="M36" t="s">
        <v>93</v>
      </c>
      <c r="N36" s="1">
        <v>454.38</v>
      </c>
      <c r="O36">
        <v>10</v>
      </c>
      <c r="P36" t="s">
        <v>78</v>
      </c>
      <c r="Q36">
        <v>3</v>
      </c>
      <c r="R36">
        <v>4</v>
      </c>
      <c r="S36">
        <v>0</v>
      </c>
      <c r="T36" t="s">
        <v>36</v>
      </c>
      <c r="U36" t="s">
        <v>37</v>
      </c>
      <c r="V36">
        <v>0</v>
      </c>
      <c r="W36">
        <v>10</v>
      </c>
      <c r="X36" t="s">
        <v>49</v>
      </c>
      <c r="Y36" t="s">
        <v>60</v>
      </c>
      <c r="Z36" t="s">
        <v>51</v>
      </c>
      <c r="AA36" s="2">
        <v>45458</v>
      </c>
      <c r="AB36" t="b">
        <v>1</v>
      </c>
      <c r="AC36" t="b">
        <v>0</v>
      </c>
      <c r="AD36" t="s">
        <v>62</v>
      </c>
      <c r="AE36" t="s">
        <v>41</v>
      </c>
      <c r="AF36">
        <v>7</v>
      </c>
    </row>
    <row r="37" spans="1:32" x14ac:dyDescent="0.25">
      <c r="A37" t="s">
        <v>152</v>
      </c>
      <c r="B37">
        <v>35</v>
      </c>
      <c r="C37">
        <v>25</v>
      </c>
      <c r="D37" t="str">
        <f>IF(tbl_Original[[#This Row],[Gender2]]="Female","Female",IF(tbl_Original[[#This Row],[Gender2]]="Male","Male","Other"))</f>
        <v>Male</v>
      </c>
      <c r="E37" t="s">
        <v>43</v>
      </c>
      <c r="F37" t="s">
        <v>30</v>
      </c>
      <c r="G37" t="s">
        <v>31</v>
      </c>
      <c r="H37" t="s">
        <v>45</v>
      </c>
      <c r="I37" t="s">
        <v>44</v>
      </c>
      <c r="J37" t="str">
        <f>PROPER(TRIM(CLEAN(tbl_Original[[#This Row],[Column1]])))</f>
        <v>Inayauan</v>
      </c>
      <c r="K37" t="s">
        <v>153</v>
      </c>
      <c r="L37" t="s">
        <v>153</v>
      </c>
      <c r="M37" t="s">
        <v>93</v>
      </c>
      <c r="N37" s="1">
        <v>138.88</v>
      </c>
      <c r="O37">
        <v>7</v>
      </c>
      <c r="P37" t="s">
        <v>48</v>
      </c>
      <c r="Q37">
        <v>2</v>
      </c>
      <c r="R37">
        <v>4</v>
      </c>
      <c r="S37">
        <v>1</v>
      </c>
      <c r="T37" t="s">
        <v>36</v>
      </c>
      <c r="U37" t="s">
        <v>50</v>
      </c>
      <c r="V37">
        <v>1</v>
      </c>
      <c r="W37">
        <v>3</v>
      </c>
      <c r="X37" t="s">
        <v>36</v>
      </c>
      <c r="Y37" t="s">
        <v>38</v>
      </c>
      <c r="Z37" t="s">
        <v>86</v>
      </c>
      <c r="AA37" s="2">
        <v>45451</v>
      </c>
      <c r="AB37" t="b">
        <v>1</v>
      </c>
      <c r="AC37" t="b">
        <v>0</v>
      </c>
      <c r="AD37" t="s">
        <v>74</v>
      </c>
      <c r="AE37" t="s">
        <v>41</v>
      </c>
      <c r="AF37">
        <v>4</v>
      </c>
    </row>
    <row r="38" spans="1:32" x14ac:dyDescent="0.25">
      <c r="A38" t="s">
        <v>154</v>
      </c>
      <c r="B38">
        <v>36</v>
      </c>
      <c r="C38">
        <v>30</v>
      </c>
      <c r="D38" t="str">
        <f>IF(tbl_Original[[#This Row],[Gender2]]="Female","Female",IF(tbl_Original[[#This Row],[Gender2]]="Male","Male","Other"))</f>
        <v>Female</v>
      </c>
      <c r="E38" t="s">
        <v>29</v>
      </c>
      <c r="F38" t="s">
        <v>44</v>
      </c>
      <c r="G38" t="s">
        <v>55</v>
      </c>
      <c r="H38" t="s">
        <v>32</v>
      </c>
      <c r="I38" t="s">
        <v>44</v>
      </c>
      <c r="J38" t="str">
        <f>PROPER(TRIM(CLEAN(tbl_Original[[#This Row],[Column1]])))</f>
        <v>Qianjin</v>
      </c>
      <c r="K38" t="s">
        <v>155</v>
      </c>
      <c r="L38" t="s">
        <v>155</v>
      </c>
      <c r="M38" t="s">
        <v>82</v>
      </c>
      <c r="N38" s="1">
        <v>52.34</v>
      </c>
      <c r="O38">
        <v>6</v>
      </c>
      <c r="P38" t="s">
        <v>48</v>
      </c>
      <c r="Q38">
        <v>3</v>
      </c>
      <c r="R38">
        <v>4</v>
      </c>
      <c r="S38">
        <v>1</v>
      </c>
      <c r="T38" t="s">
        <v>59</v>
      </c>
      <c r="U38" t="s">
        <v>37</v>
      </c>
      <c r="V38">
        <v>1</v>
      </c>
      <c r="W38">
        <v>5</v>
      </c>
      <c r="X38" t="s">
        <v>49</v>
      </c>
      <c r="Y38" t="s">
        <v>38</v>
      </c>
      <c r="Z38" t="s">
        <v>51</v>
      </c>
      <c r="AA38" s="2">
        <v>45433</v>
      </c>
      <c r="AB38" t="b">
        <v>1</v>
      </c>
      <c r="AC38" t="b">
        <v>1</v>
      </c>
      <c r="AD38" t="s">
        <v>74</v>
      </c>
      <c r="AE38" t="s">
        <v>67</v>
      </c>
      <c r="AF38">
        <v>13</v>
      </c>
    </row>
    <row r="39" spans="1:32" x14ac:dyDescent="0.25">
      <c r="A39" t="s">
        <v>156</v>
      </c>
      <c r="B39">
        <v>37</v>
      </c>
      <c r="C39">
        <v>34</v>
      </c>
      <c r="D39" t="str">
        <f>IF(tbl_Original[[#This Row],[Gender2]]="Female","Female",IF(tbl_Original[[#This Row],[Gender2]]="Male","Male","Other"))</f>
        <v>Male</v>
      </c>
      <c r="E39" t="s">
        <v>43</v>
      </c>
      <c r="F39" t="s">
        <v>30</v>
      </c>
      <c r="G39" t="s">
        <v>55</v>
      </c>
      <c r="H39" t="s">
        <v>32</v>
      </c>
      <c r="I39" t="s">
        <v>44</v>
      </c>
      <c r="J39" t="str">
        <f>PROPER(TRIM(CLEAN(tbl_Original[[#This Row],[Column1]])))</f>
        <v>Bagahanlad</v>
      </c>
      <c r="K39" t="s">
        <v>157</v>
      </c>
      <c r="L39" t="s">
        <v>157</v>
      </c>
      <c r="M39" t="s">
        <v>158</v>
      </c>
      <c r="N39" s="1">
        <v>338.2</v>
      </c>
      <c r="O39">
        <v>7</v>
      </c>
      <c r="P39" t="s">
        <v>78</v>
      </c>
      <c r="Q39">
        <v>3</v>
      </c>
      <c r="R39">
        <v>5</v>
      </c>
      <c r="S39">
        <v>0</v>
      </c>
      <c r="T39" t="s">
        <v>36</v>
      </c>
      <c r="U39" t="s">
        <v>50</v>
      </c>
      <c r="V39">
        <v>1</v>
      </c>
      <c r="W39">
        <v>9</v>
      </c>
      <c r="X39" t="s">
        <v>49</v>
      </c>
      <c r="Y39" t="s">
        <v>38</v>
      </c>
      <c r="Z39" t="s">
        <v>66</v>
      </c>
      <c r="AA39" s="2">
        <v>45536</v>
      </c>
      <c r="AB39" t="b">
        <v>1</v>
      </c>
      <c r="AC39" t="b">
        <v>0</v>
      </c>
      <c r="AD39" t="s">
        <v>52</v>
      </c>
      <c r="AE39" t="s">
        <v>53</v>
      </c>
      <c r="AF39">
        <v>7</v>
      </c>
    </row>
    <row r="40" spans="1:32" x14ac:dyDescent="0.25">
      <c r="A40" t="s">
        <v>159</v>
      </c>
      <c r="B40">
        <v>38</v>
      </c>
      <c r="C40">
        <v>21</v>
      </c>
      <c r="D40" t="str">
        <f>IF(tbl_Original[[#This Row],[Gender2]]="Female","Female",IF(tbl_Original[[#This Row],[Gender2]]="Male","Male","Other"))</f>
        <v>Female</v>
      </c>
      <c r="E40" t="s">
        <v>29</v>
      </c>
      <c r="F40" t="s">
        <v>30</v>
      </c>
      <c r="G40" t="s">
        <v>69</v>
      </c>
      <c r="H40" t="s">
        <v>45</v>
      </c>
      <c r="I40" t="s">
        <v>30</v>
      </c>
      <c r="J40" t="str">
        <f>PROPER(TRIM(CLEAN(tbl_Original[[#This Row],[Column1]])))</f>
        <v>Rzewnie</v>
      </c>
      <c r="K40" t="s">
        <v>160</v>
      </c>
      <c r="L40" t="s">
        <v>160</v>
      </c>
      <c r="M40" t="s">
        <v>126</v>
      </c>
      <c r="N40" s="1">
        <v>263.14999999999998</v>
      </c>
      <c r="O40">
        <v>3</v>
      </c>
      <c r="P40" t="s">
        <v>48</v>
      </c>
      <c r="Q40">
        <v>1</v>
      </c>
      <c r="R40">
        <v>5</v>
      </c>
      <c r="S40">
        <v>1</v>
      </c>
      <c r="T40" t="s">
        <v>44</v>
      </c>
      <c r="U40" t="s">
        <v>37</v>
      </c>
      <c r="V40">
        <v>1</v>
      </c>
      <c r="W40">
        <v>10</v>
      </c>
      <c r="X40" t="s">
        <v>44</v>
      </c>
      <c r="Y40" t="s">
        <v>38</v>
      </c>
      <c r="Z40" t="s">
        <v>66</v>
      </c>
      <c r="AA40" s="2">
        <v>45355</v>
      </c>
      <c r="AB40" t="b">
        <v>1</v>
      </c>
      <c r="AC40" t="b">
        <v>0</v>
      </c>
      <c r="AD40" t="s">
        <v>62</v>
      </c>
      <c r="AE40" t="s">
        <v>67</v>
      </c>
      <c r="AF40">
        <v>10</v>
      </c>
    </row>
    <row r="41" spans="1:32" x14ac:dyDescent="0.25">
      <c r="A41" t="s">
        <v>161</v>
      </c>
      <c r="B41">
        <v>39</v>
      </c>
      <c r="C41">
        <v>36</v>
      </c>
      <c r="D41" t="str">
        <f>IF(tbl_Original[[#This Row],[Gender2]]="Female","Female",IF(tbl_Original[[#This Row],[Gender2]]="Male","Male","Other"))</f>
        <v>Female</v>
      </c>
      <c r="E41" t="s">
        <v>29</v>
      </c>
      <c r="F41" t="s">
        <v>30</v>
      </c>
      <c r="G41" t="s">
        <v>31</v>
      </c>
      <c r="H41" t="s">
        <v>56</v>
      </c>
      <c r="I41" t="s">
        <v>30</v>
      </c>
      <c r="J41" t="str">
        <f>PROPER(TRIM(CLEAN(tbl_Original[[#This Row],[Column1]])))</f>
        <v>Strabychovo</v>
      </c>
      <c r="K41" t="s">
        <v>162</v>
      </c>
      <c r="L41" t="s">
        <v>162</v>
      </c>
      <c r="M41" t="s">
        <v>120</v>
      </c>
      <c r="N41" s="1">
        <v>371.58</v>
      </c>
      <c r="O41">
        <v>2</v>
      </c>
      <c r="P41" t="s">
        <v>35</v>
      </c>
      <c r="Q41">
        <v>2</v>
      </c>
      <c r="R41">
        <v>1</v>
      </c>
      <c r="S41">
        <v>2</v>
      </c>
      <c r="T41" t="s">
        <v>44</v>
      </c>
      <c r="U41" t="s">
        <v>50</v>
      </c>
      <c r="V41">
        <v>0</v>
      </c>
      <c r="W41">
        <v>10</v>
      </c>
      <c r="X41" t="s">
        <v>36</v>
      </c>
      <c r="Y41" t="s">
        <v>60</v>
      </c>
      <c r="Z41" t="s">
        <v>86</v>
      </c>
      <c r="AA41" s="2">
        <v>45548</v>
      </c>
      <c r="AB41" t="b">
        <v>1</v>
      </c>
      <c r="AC41" t="b">
        <v>1</v>
      </c>
      <c r="AD41" t="s">
        <v>52</v>
      </c>
      <c r="AE41" t="s">
        <v>41</v>
      </c>
      <c r="AF41">
        <v>11</v>
      </c>
    </row>
    <row r="42" spans="1:32" x14ac:dyDescent="0.25">
      <c r="A42" t="s">
        <v>163</v>
      </c>
      <c r="B42">
        <v>40</v>
      </c>
      <c r="C42">
        <v>30</v>
      </c>
      <c r="D42" t="str">
        <f>IF(tbl_Original[[#This Row],[Gender2]]="Female","Female",IF(tbl_Original[[#This Row],[Gender2]]="Male","Male","Other"))</f>
        <v>Male</v>
      </c>
      <c r="E42" t="s">
        <v>43</v>
      </c>
      <c r="F42" t="s">
        <v>30</v>
      </c>
      <c r="G42" t="s">
        <v>69</v>
      </c>
      <c r="H42" t="s">
        <v>32</v>
      </c>
      <c r="I42" t="s">
        <v>30</v>
      </c>
      <c r="J42" t="str">
        <f>PROPER(TRIM(CLEAN(tbl_Original[[#This Row],[Column1]])))</f>
        <v>Hongqi</v>
      </c>
      <c r="K42" t="s">
        <v>164</v>
      </c>
      <c r="L42" t="s">
        <v>164</v>
      </c>
      <c r="M42" t="s">
        <v>104</v>
      </c>
      <c r="N42" s="1">
        <v>353.4</v>
      </c>
      <c r="O42">
        <v>2</v>
      </c>
      <c r="P42" t="s">
        <v>78</v>
      </c>
      <c r="Q42">
        <v>2</v>
      </c>
      <c r="R42">
        <v>3</v>
      </c>
      <c r="S42">
        <v>2</v>
      </c>
      <c r="T42" t="s">
        <v>49</v>
      </c>
      <c r="U42" t="s">
        <v>85</v>
      </c>
      <c r="V42">
        <v>0</v>
      </c>
      <c r="W42">
        <v>1</v>
      </c>
      <c r="X42" t="s">
        <v>59</v>
      </c>
      <c r="Y42" t="s">
        <v>38</v>
      </c>
      <c r="Z42" t="s">
        <v>39</v>
      </c>
      <c r="AA42" s="2">
        <v>45632</v>
      </c>
      <c r="AB42" t="b">
        <v>0</v>
      </c>
      <c r="AC42" t="b">
        <v>1</v>
      </c>
      <c r="AD42" t="s">
        <v>62</v>
      </c>
      <c r="AE42" t="s">
        <v>41</v>
      </c>
      <c r="AF42">
        <v>3</v>
      </c>
    </row>
    <row r="43" spans="1:32" x14ac:dyDescent="0.25">
      <c r="A43" t="s">
        <v>165</v>
      </c>
      <c r="B43">
        <v>41</v>
      </c>
      <c r="C43">
        <v>46</v>
      </c>
      <c r="D43" t="str">
        <f>IF(tbl_Original[[#This Row],[Gender2]]="Female","Female",IF(tbl_Original[[#This Row],[Gender2]]="Male","Male","Other"))</f>
        <v>Female</v>
      </c>
      <c r="E43" t="s">
        <v>29</v>
      </c>
      <c r="F43" t="s">
        <v>30</v>
      </c>
      <c r="G43" t="s">
        <v>76</v>
      </c>
      <c r="H43" t="s">
        <v>45</v>
      </c>
      <c r="I43" t="s">
        <v>44</v>
      </c>
      <c r="J43" t="str">
        <f>PROPER(TRIM(CLEAN(tbl_Original[[#This Row],[Column1]])))</f>
        <v>Oeoh</v>
      </c>
      <c r="K43" t="s">
        <v>166</v>
      </c>
      <c r="L43" t="s">
        <v>166</v>
      </c>
      <c r="M43" t="s">
        <v>120</v>
      </c>
      <c r="N43" s="1">
        <v>329.41</v>
      </c>
      <c r="O43">
        <v>5</v>
      </c>
      <c r="P43" t="s">
        <v>48</v>
      </c>
      <c r="Q43">
        <v>5</v>
      </c>
      <c r="R43">
        <v>3</v>
      </c>
      <c r="S43">
        <v>0</v>
      </c>
      <c r="T43" t="s">
        <v>49</v>
      </c>
      <c r="U43" t="s">
        <v>37</v>
      </c>
      <c r="V43">
        <v>1</v>
      </c>
      <c r="W43">
        <v>1</v>
      </c>
      <c r="X43" t="s">
        <v>44</v>
      </c>
      <c r="Y43" t="s">
        <v>79</v>
      </c>
      <c r="Z43" t="s">
        <v>86</v>
      </c>
      <c r="AA43" s="2">
        <v>45586</v>
      </c>
      <c r="AB43" t="b">
        <v>1</v>
      </c>
      <c r="AC43" t="b">
        <v>1</v>
      </c>
      <c r="AD43" t="s">
        <v>40</v>
      </c>
      <c r="AE43" t="s">
        <v>41</v>
      </c>
      <c r="AF43">
        <v>2</v>
      </c>
    </row>
    <row r="44" spans="1:32" x14ac:dyDescent="0.25">
      <c r="A44" t="s">
        <v>167</v>
      </c>
      <c r="B44">
        <v>42</v>
      </c>
      <c r="C44">
        <v>46</v>
      </c>
      <c r="D44" t="str">
        <f>IF(tbl_Original[[#This Row],[Gender2]]="Female","Female",IF(tbl_Original[[#This Row],[Gender2]]="Male","Male","Other"))</f>
        <v>Female</v>
      </c>
      <c r="E44" t="s">
        <v>29</v>
      </c>
      <c r="F44" t="s">
        <v>30</v>
      </c>
      <c r="G44" t="s">
        <v>31</v>
      </c>
      <c r="H44" t="s">
        <v>56</v>
      </c>
      <c r="I44" t="s">
        <v>30</v>
      </c>
      <c r="J44" t="str">
        <f>PROPER(TRIM(CLEAN(tbl_Original[[#This Row],[Column1]])))</f>
        <v>Topolanoye</v>
      </c>
      <c r="K44" t="s">
        <v>2133</v>
      </c>
      <c r="L44" t="s">
        <v>168</v>
      </c>
      <c r="M44" t="s">
        <v>47</v>
      </c>
      <c r="N44" s="1">
        <v>54.46</v>
      </c>
      <c r="O44">
        <v>5</v>
      </c>
      <c r="P44" t="s">
        <v>78</v>
      </c>
      <c r="Q44">
        <v>4</v>
      </c>
      <c r="R44">
        <v>5</v>
      </c>
      <c r="S44">
        <v>1</v>
      </c>
      <c r="T44" t="s">
        <v>44</v>
      </c>
      <c r="U44" t="s">
        <v>50</v>
      </c>
      <c r="V44">
        <v>1</v>
      </c>
      <c r="W44">
        <v>1</v>
      </c>
      <c r="X44" t="s">
        <v>59</v>
      </c>
      <c r="Y44" t="s">
        <v>38</v>
      </c>
      <c r="Z44" t="s">
        <v>66</v>
      </c>
      <c r="AA44" s="2">
        <v>45613</v>
      </c>
      <c r="AB44" t="b">
        <v>0</v>
      </c>
      <c r="AC44" t="b">
        <v>0</v>
      </c>
      <c r="AD44" t="s">
        <v>62</v>
      </c>
      <c r="AE44" t="s">
        <v>53</v>
      </c>
      <c r="AF44">
        <v>1</v>
      </c>
    </row>
    <row r="45" spans="1:32" x14ac:dyDescent="0.25">
      <c r="A45" t="s">
        <v>169</v>
      </c>
      <c r="B45">
        <v>43</v>
      </c>
      <c r="C45">
        <v>43</v>
      </c>
      <c r="D45" t="str">
        <f>IF(tbl_Original[[#This Row],[Gender2]]="Female","Female",IF(tbl_Original[[#This Row],[Gender2]]="Male","Male","Other"))</f>
        <v>Male</v>
      </c>
      <c r="E45" t="s">
        <v>43</v>
      </c>
      <c r="F45" t="s">
        <v>44</v>
      </c>
      <c r="G45" t="s">
        <v>69</v>
      </c>
      <c r="H45" t="s">
        <v>56</v>
      </c>
      <c r="I45" t="s">
        <v>30</v>
      </c>
      <c r="J45" t="str">
        <f>PROPER(TRIM(CLEAN(tbl_Original[[#This Row],[Column1]])))</f>
        <v>Kovarov</v>
      </c>
      <c r="K45" t="s">
        <v>2301</v>
      </c>
      <c r="L45" t="s">
        <v>170</v>
      </c>
      <c r="M45" t="s">
        <v>82</v>
      </c>
      <c r="N45" s="1">
        <v>257.12</v>
      </c>
      <c r="O45">
        <v>8</v>
      </c>
      <c r="P45" t="s">
        <v>78</v>
      </c>
      <c r="Q45">
        <v>2</v>
      </c>
      <c r="R45">
        <v>1</v>
      </c>
      <c r="S45">
        <v>0</v>
      </c>
      <c r="T45" t="s">
        <v>44</v>
      </c>
      <c r="U45" t="s">
        <v>50</v>
      </c>
      <c r="V45">
        <v>2</v>
      </c>
      <c r="W45">
        <v>1</v>
      </c>
      <c r="X45" t="s">
        <v>44</v>
      </c>
      <c r="Y45" t="s">
        <v>60</v>
      </c>
      <c r="Z45" t="s">
        <v>66</v>
      </c>
      <c r="AA45" s="2">
        <v>45497</v>
      </c>
      <c r="AB45" t="b">
        <v>1</v>
      </c>
      <c r="AC45" t="b">
        <v>0</v>
      </c>
      <c r="AD45" t="s">
        <v>62</v>
      </c>
      <c r="AE45" t="s">
        <v>41</v>
      </c>
      <c r="AF45">
        <v>11</v>
      </c>
    </row>
    <row r="46" spans="1:32" x14ac:dyDescent="0.25">
      <c r="A46" t="s">
        <v>171</v>
      </c>
      <c r="B46">
        <v>44</v>
      </c>
      <c r="C46">
        <v>43</v>
      </c>
      <c r="D46" t="str">
        <f>IF(tbl_Original[[#This Row],[Gender2]]="Female","Female",IF(tbl_Original[[#This Row],[Gender2]]="Male","Male","Other"))</f>
        <v>Male</v>
      </c>
      <c r="E46" t="s">
        <v>43</v>
      </c>
      <c r="F46" t="s">
        <v>44</v>
      </c>
      <c r="G46" t="s">
        <v>76</v>
      </c>
      <c r="H46" t="s">
        <v>32</v>
      </c>
      <c r="I46" t="s">
        <v>30</v>
      </c>
      <c r="J46" t="str">
        <f>PROPER(TRIM(CLEAN(tbl_Original[[#This Row],[Column1]])))</f>
        <v>Majdal Bani Fadil</v>
      </c>
      <c r="K46" t="s">
        <v>2308</v>
      </c>
      <c r="L46" t="s">
        <v>172</v>
      </c>
      <c r="M46" t="s">
        <v>135</v>
      </c>
      <c r="N46" s="1">
        <v>293.04000000000002</v>
      </c>
      <c r="O46">
        <v>11</v>
      </c>
      <c r="P46" t="s">
        <v>48</v>
      </c>
      <c r="Q46">
        <v>4</v>
      </c>
      <c r="R46">
        <v>2</v>
      </c>
      <c r="S46">
        <v>1</v>
      </c>
      <c r="T46" t="s">
        <v>36</v>
      </c>
      <c r="U46" t="s">
        <v>85</v>
      </c>
      <c r="V46">
        <v>1</v>
      </c>
      <c r="W46">
        <v>3</v>
      </c>
      <c r="X46" t="s">
        <v>59</v>
      </c>
      <c r="Y46" t="s">
        <v>79</v>
      </c>
      <c r="Z46" t="s">
        <v>51</v>
      </c>
      <c r="AA46" s="2">
        <v>45354</v>
      </c>
      <c r="AB46" t="b">
        <v>1</v>
      </c>
      <c r="AC46" t="b">
        <v>0</v>
      </c>
      <c r="AD46" t="s">
        <v>74</v>
      </c>
      <c r="AE46" t="s">
        <v>53</v>
      </c>
      <c r="AF46">
        <v>6</v>
      </c>
    </row>
    <row r="47" spans="1:32" x14ac:dyDescent="0.25">
      <c r="A47" t="s">
        <v>173</v>
      </c>
      <c r="B47">
        <v>45</v>
      </c>
      <c r="C47">
        <v>34</v>
      </c>
      <c r="D47" t="str">
        <f>IF(tbl_Original[[#This Row],[Gender2]]="Female","Female",IF(tbl_Original[[#This Row],[Gender2]]="Male","Male","Other"))</f>
        <v>Male</v>
      </c>
      <c r="E47" t="s">
        <v>43</v>
      </c>
      <c r="F47" t="s">
        <v>44</v>
      </c>
      <c r="G47" t="s">
        <v>55</v>
      </c>
      <c r="H47" t="s">
        <v>56</v>
      </c>
      <c r="I47" t="s">
        <v>44</v>
      </c>
      <c r="J47" t="str">
        <f>PROPER(TRIM(CLEAN(tbl_Original[[#This Row],[Column1]])))</f>
        <v>Delta Del Tigre</v>
      </c>
      <c r="K47" t="s">
        <v>174</v>
      </c>
      <c r="L47" t="s">
        <v>174</v>
      </c>
      <c r="M47" t="s">
        <v>82</v>
      </c>
      <c r="N47" s="1">
        <v>110.4</v>
      </c>
      <c r="O47">
        <v>12</v>
      </c>
      <c r="P47" t="s">
        <v>35</v>
      </c>
      <c r="Q47">
        <v>5</v>
      </c>
      <c r="R47">
        <v>1</v>
      </c>
      <c r="S47">
        <v>2</v>
      </c>
      <c r="T47" t="s">
        <v>36</v>
      </c>
      <c r="U47" t="s">
        <v>37</v>
      </c>
      <c r="V47">
        <v>1</v>
      </c>
      <c r="W47">
        <v>3</v>
      </c>
      <c r="X47" t="s">
        <v>49</v>
      </c>
      <c r="Y47" t="s">
        <v>38</v>
      </c>
      <c r="Z47" t="s">
        <v>61</v>
      </c>
      <c r="AA47" s="2">
        <v>45609</v>
      </c>
      <c r="AB47" t="b">
        <v>0</v>
      </c>
      <c r="AC47" t="b">
        <v>0</v>
      </c>
      <c r="AD47" t="s">
        <v>40</v>
      </c>
      <c r="AE47" t="s">
        <v>53</v>
      </c>
      <c r="AF47">
        <v>12</v>
      </c>
    </row>
    <row r="48" spans="1:32" x14ac:dyDescent="0.25">
      <c r="A48" t="s">
        <v>175</v>
      </c>
      <c r="B48">
        <v>46</v>
      </c>
      <c r="C48">
        <v>42</v>
      </c>
      <c r="D48" t="str">
        <f>IF(tbl_Original[[#This Row],[Gender2]]="Female","Female",IF(tbl_Original[[#This Row],[Gender2]]="Male","Male","Other"))</f>
        <v>Female</v>
      </c>
      <c r="E48" t="s">
        <v>29</v>
      </c>
      <c r="F48" t="s">
        <v>30</v>
      </c>
      <c r="G48" t="s">
        <v>31</v>
      </c>
      <c r="H48" t="s">
        <v>56</v>
      </c>
      <c r="I48" t="s">
        <v>44</v>
      </c>
      <c r="J48" t="str">
        <f>PROPER(TRIM(CLEAN(tbl_Original[[#This Row],[Column1]])))</f>
        <v>Santa Cruz La Laguna</v>
      </c>
      <c r="K48" t="s">
        <v>176</v>
      </c>
      <c r="L48" t="s">
        <v>176</v>
      </c>
      <c r="M48" t="s">
        <v>93</v>
      </c>
      <c r="N48" s="1">
        <v>76.27</v>
      </c>
      <c r="O48">
        <v>4</v>
      </c>
      <c r="P48" t="s">
        <v>48</v>
      </c>
      <c r="Q48">
        <v>2</v>
      </c>
      <c r="R48">
        <v>3</v>
      </c>
      <c r="S48">
        <v>0</v>
      </c>
      <c r="T48" t="s">
        <v>36</v>
      </c>
      <c r="U48" t="s">
        <v>50</v>
      </c>
      <c r="V48">
        <v>0</v>
      </c>
      <c r="W48">
        <v>8</v>
      </c>
      <c r="X48" t="s">
        <v>49</v>
      </c>
      <c r="Y48" t="s">
        <v>60</v>
      </c>
      <c r="Z48" t="s">
        <v>39</v>
      </c>
      <c r="AA48" s="2">
        <v>45650</v>
      </c>
      <c r="AB48" t="b">
        <v>1</v>
      </c>
      <c r="AC48" t="b">
        <v>0</v>
      </c>
      <c r="AD48" t="s">
        <v>52</v>
      </c>
      <c r="AE48" t="s">
        <v>53</v>
      </c>
      <c r="AF48">
        <v>10</v>
      </c>
    </row>
    <row r="49" spans="1:32" x14ac:dyDescent="0.25">
      <c r="A49" t="s">
        <v>177</v>
      </c>
      <c r="B49">
        <v>47</v>
      </c>
      <c r="C49">
        <v>40</v>
      </c>
      <c r="D49" t="str">
        <f>IF(tbl_Original[[#This Row],[Gender2]]="Female","Female",IF(tbl_Original[[#This Row],[Gender2]]="Male","Male","Other"))</f>
        <v>Female</v>
      </c>
      <c r="E49" t="s">
        <v>29</v>
      </c>
      <c r="F49" t="s">
        <v>44</v>
      </c>
      <c r="G49" t="s">
        <v>69</v>
      </c>
      <c r="H49" t="s">
        <v>32</v>
      </c>
      <c r="I49" t="s">
        <v>30</v>
      </c>
      <c r="J49" t="str">
        <f>PROPER(TRIM(CLEAN(tbl_Original[[#This Row],[Column1]])))</f>
        <v>Manchester</v>
      </c>
      <c r="K49" t="s">
        <v>178</v>
      </c>
      <c r="L49" t="s">
        <v>178</v>
      </c>
      <c r="M49" t="s">
        <v>126</v>
      </c>
      <c r="N49" s="1">
        <v>392.08</v>
      </c>
      <c r="O49">
        <v>6</v>
      </c>
      <c r="P49" t="s">
        <v>78</v>
      </c>
      <c r="Q49">
        <v>2</v>
      </c>
      <c r="R49">
        <v>5</v>
      </c>
      <c r="S49">
        <v>1</v>
      </c>
      <c r="T49" t="s">
        <v>36</v>
      </c>
      <c r="U49" t="s">
        <v>85</v>
      </c>
      <c r="V49">
        <v>2</v>
      </c>
      <c r="W49">
        <v>7</v>
      </c>
      <c r="X49" t="s">
        <v>44</v>
      </c>
      <c r="Y49" t="s">
        <v>38</v>
      </c>
      <c r="Z49" t="s">
        <v>66</v>
      </c>
      <c r="AA49" s="2">
        <v>45508</v>
      </c>
      <c r="AB49" t="b">
        <v>1</v>
      </c>
      <c r="AC49" t="b">
        <v>1</v>
      </c>
      <c r="AD49" t="s">
        <v>40</v>
      </c>
      <c r="AE49" t="s">
        <v>67</v>
      </c>
      <c r="AF49">
        <v>6</v>
      </c>
    </row>
    <row r="50" spans="1:32" x14ac:dyDescent="0.25">
      <c r="A50" t="s">
        <v>179</v>
      </c>
      <c r="B50">
        <v>48</v>
      </c>
      <c r="C50">
        <v>25</v>
      </c>
      <c r="D50" t="str">
        <f>IF(tbl_Original[[#This Row],[Gender2]]="Female","Female",IF(tbl_Original[[#This Row],[Gender2]]="Male","Male","Other"))</f>
        <v>Female</v>
      </c>
      <c r="E50" t="s">
        <v>29</v>
      </c>
      <c r="F50" t="s">
        <v>44</v>
      </c>
      <c r="G50" t="s">
        <v>31</v>
      </c>
      <c r="H50" t="s">
        <v>32</v>
      </c>
      <c r="I50" t="s">
        <v>44</v>
      </c>
      <c r="J50" t="str">
        <f>PROPER(TRIM(CLEAN(tbl_Original[[#This Row],[Column1]])))</f>
        <v>Norrkoping</v>
      </c>
      <c r="K50" t="s">
        <v>2295</v>
      </c>
      <c r="L50" t="s">
        <v>180</v>
      </c>
      <c r="M50" t="s">
        <v>126</v>
      </c>
      <c r="N50" s="1">
        <v>51.22</v>
      </c>
      <c r="O50">
        <v>6</v>
      </c>
      <c r="P50" t="s">
        <v>78</v>
      </c>
      <c r="Q50">
        <v>2</v>
      </c>
      <c r="R50">
        <v>1</v>
      </c>
      <c r="S50">
        <v>0</v>
      </c>
      <c r="T50" t="s">
        <v>36</v>
      </c>
      <c r="U50" t="s">
        <v>85</v>
      </c>
      <c r="V50">
        <v>1</v>
      </c>
      <c r="W50">
        <v>5</v>
      </c>
      <c r="X50" t="s">
        <v>49</v>
      </c>
      <c r="Y50" t="s">
        <v>38</v>
      </c>
      <c r="Z50" t="s">
        <v>86</v>
      </c>
      <c r="AA50" s="2">
        <v>45529</v>
      </c>
      <c r="AB50" t="b">
        <v>1</v>
      </c>
      <c r="AC50" t="b">
        <v>1</v>
      </c>
      <c r="AD50" t="s">
        <v>74</v>
      </c>
      <c r="AE50" t="s">
        <v>53</v>
      </c>
      <c r="AF50">
        <v>5</v>
      </c>
    </row>
    <row r="51" spans="1:32" x14ac:dyDescent="0.25">
      <c r="A51" t="s">
        <v>181</v>
      </c>
      <c r="B51">
        <v>49</v>
      </c>
      <c r="C51">
        <v>38</v>
      </c>
      <c r="D51" t="str">
        <f>IF(tbl_Original[[#This Row],[Gender2]]="Female","Female",IF(tbl_Original[[#This Row],[Gender2]]="Male","Male","Other"))</f>
        <v>Male</v>
      </c>
      <c r="E51" t="s">
        <v>43</v>
      </c>
      <c r="F51" t="s">
        <v>30</v>
      </c>
      <c r="G51" t="s">
        <v>76</v>
      </c>
      <c r="H51" t="s">
        <v>32</v>
      </c>
      <c r="I51" t="s">
        <v>44</v>
      </c>
      <c r="J51" t="str">
        <f>PROPER(TRIM(CLEAN(tbl_Original[[#This Row],[Column1]])))</f>
        <v>Sosno</v>
      </c>
      <c r="K51" t="s">
        <v>2299</v>
      </c>
      <c r="L51" t="s">
        <v>182</v>
      </c>
      <c r="M51" t="s">
        <v>183</v>
      </c>
      <c r="N51" s="1">
        <v>227.57</v>
      </c>
      <c r="O51">
        <v>2</v>
      </c>
      <c r="P51" t="s">
        <v>78</v>
      </c>
      <c r="Q51">
        <v>1</v>
      </c>
      <c r="R51">
        <v>2</v>
      </c>
      <c r="S51">
        <v>0</v>
      </c>
      <c r="T51" t="s">
        <v>44</v>
      </c>
      <c r="U51" t="s">
        <v>37</v>
      </c>
      <c r="V51">
        <v>1</v>
      </c>
      <c r="W51">
        <v>6</v>
      </c>
      <c r="X51" t="s">
        <v>36</v>
      </c>
      <c r="Y51" t="s">
        <v>38</v>
      </c>
      <c r="Z51" t="s">
        <v>51</v>
      </c>
      <c r="AA51" s="2">
        <v>45521</v>
      </c>
      <c r="AB51" t="b">
        <v>0</v>
      </c>
      <c r="AC51" t="b">
        <v>1</v>
      </c>
      <c r="AD51" t="s">
        <v>52</v>
      </c>
      <c r="AE51" t="s">
        <v>41</v>
      </c>
      <c r="AF51">
        <v>14</v>
      </c>
    </row>
    <row r="52" spans="1:32" x14ac:dyDescent="0.25">
      <c r="A52" t="s">
        <v>184</v>
      </c>
      <c r="B52">
        <v>50</v>
      </c>
      <c r="C52">
        <v>46</v>
      </c>
      <c r="D52" t="str">
        <f>IF(tbl_Original[[#This Row],[Gender2]]="Female","Female",IF(tbl_Original[[#This Row],[Gender2]]="Male","Male","Other"))</f>
        <v>Female</v>
      </c>
      <c r="E52" t="s">
        <v>29</v>
      </c>
      <c r="F52" t="s">
        <v>30</v>
      </c>
      <c r="G52" t="s">
        <v>69</v>
      </c>
      <c r="H52" t="s">
        <v>32</v>
      </c>
      <c r="I52" t="s">
        <v>30</v>
      </c>
      <c r="J52" t="str">
        <f>PROPER(TRIM(CLEAN(tbl_Original[[#This Row],[Column1]])))</f>
        <v>Pella</v>
      </c>
      <c r="K52" t="s">
        <v>2300</v>
      </c>
      <c r="L52" t="s">
        <v>185</v>
      </c>
      <c r="M52" t="s">
        <v>158</v>
      </c>
      <c r="N52" s="1">
        <v>378.87</v>
      </c>
      <c r="O52">
        <v>7</v>
      </c>
      <c r="P52" t="s">
        <v>78</v>
      </c>
      <c r="Q52">
        <v>1</v>
      </c>
      <c r="R52">
        <v>2</v>
      </c>
      <c r="S52">
        <v>0</v>
      </c>
      <c r="T52" t="s">
        <v>36</v>
      </c>
      <c r="U52" t="s">
        <v>85</v>
      </c>
      <c r="V52">
        <v>1</v>
      </c>
      <c r="W52">
        <v>2</v>
      </c>
      <c r="X52" t="s">
        <v>59</v>
      </c>
      <c r="Y52" t="s">
        <v>38</v>
      </c>
      <c r="Z52" t="s">
        <v>51</v>
      </c>
      <c r="AA52" s="2">
        <v>45383</v>
      </c>
      <c r="AB52" t="b">
        <v>1</v>
      </c>
      <c r="AC52" t="b">
        <v>0</v>
      </c>
      <c r="AD52" t="s">
        <v>74</v>
      </c>
      <c r="AE52" t="s">
        <v>41</v>
      </c>
      <c r="AF52">
        <v>5</v>
      </c>
    </row>
    <row r="53" spans="1:32" x14ac:dyDescent="0.25">
      <c r="A53" t="s">
        <v>186</v>
      </c>
      <c r="B53">
        <v>51</v>
      </c>
      <c r="C53">
        <v>24</v>
      </c>
      <c r="D53" t="str">
        <f>IF(tbl_Original[[#This Row],[Gender2]]="Female","Female",IF(tbl_Original[[#This Row],[Gender2]]="Male","Male","Other"))</f>
        <v>Female</v>
      </c>
      <c r="E53" t="s">
        <v>29</v>
      </c>
      <c r="F53" t="s">
        <v>30</v>
      </c>
      <c r="G53" t="s">
        <v>69</v>
      </c>
      <c r="H53" t="s">
        <v>45</v>
      </c>
      <c r="I53" t="s">
        <v>44</v>
      </c>
      <c r="J53" t="str">
        <f>PROPER(TRIM(CLEAN(tbl_Original[[#This Row],[Column1]])))</f>
        <v>Namur</v>
      </c>
      <c r="K53" t="s">
        <v>187</v>
      </c>
      <c r="L53" t="s">
        <v>187</v>
      </c>
      <c r="M53" t="s">
        <v>188</v>
      </c>
      <c r="N53" s="1">
        <v>423.92</v>
      </c>
      <c r="O53">
        <v>8</v>
      </c>
      <c r="P53" t="s">
        <v>35</v>
      </c>
      <c r="Q53">
        <v>3</v>
      </c>
      <c r="R53">
        <v>1</v>
      </c>
      <c r="S53">
        <v>2</v>
      </c>
      <c r="T53" t="s">
        <v>59</v>
      </c>
      <c r="U53" t="s">
        <v>37</v>
      </c>
      <c r="V53">
        <v>0</v>
      </c>
      <c r="W53">
        <v>9</v>
      </c>
      <c r="X53" t="s">
        <v>44</v>
      </c>
      <c r="Y53" t="s">
        <v>38</v>
      </c>
      <c r="Z53" t="s">
        <v>39</v>
      </c>
      <c r="AA53" s="2">
        <v>45528</v>
      </c>
      <c r="AB53" t="b">
        <v>0</v>
      </c>
      <c r="AC53" t="b">
        <v>1</v>
      </c>
      <c r="AD53" t="s">
        <v>40</v>
      </c>
      <c r="AE53" t="s">
        <v>53</v>
      </c>
      <c r="AF53">
        <v>8</v>
      </c>
    </row>
    <row r="54" spans="1:32" x14ac:dyDescent="0.25">
      <c r="A54" t="s">
        <v>189</v>
      </c>
      <c r="B54">
        <v>52</v>
      </c>
      <c r="C54">
        <v>43</v>
      </c>
      <c r="D54" t="str">
        <f>IF(tbl_Original[[#This Row],[Gender2]]="Female","Female",IF(tbl_Original[[#This Row],[Gender2]]="Male","Male","Other"))</f>
        <v>Other</v>
      </c>
      <c r="E54" t="s">
        <v>190</v>
      </c>
      <c r="F54" t="s">
        <v>44</v>
      </c>
      <c r="G54" t="s">
        <v>69</v>
      </c>
      <c r="H54" t="s">
        <v>56</v>
      </c>
      <c r="I54" t="s">
        <v>30</v>
      </c>
      <c r="J54" t="str">
        <f>PROPER(TRIM(CLEAN(tbl_Original[[#This Row],[Column1]])))</f>
        <v>Benevides</v>
      </c>
      <c r="K54" t="s">
        <v>191</v>
      </c>
      <c r="L54" t="s">
        <v>191</v>
      </c>
      <c r="M54" t="s">
        <v>135</v>
      </c>
      <c r="N54" s="1">
        <v>111.24</v>
      </c>
      <c r="O54">
        <v>9</v>
      </c>
      <c r="P54" t="s">
        <v>35</v>
      </c>
      <c r="Q54">
        <v>5</v>
      </c>
      <c r="R54">
        <v>2</v>
      </c>
      <c r="S54">
        <v>0</v>
      </c>
      <c r="T54" t="s">
        <v>49</v>
      </c>
      <c r="U54" t="s">
        <v>37</v>
      </c>
      <c r="V54">
        <v>0</v>
      </c>
      <c r="W54">
        <v>2</v>
      </c>
      <c r="X54" t="s">
        <v>44</v>
      </c>
      <c r="Y54" t="s">
        <v>60</v>
      </c>
      <c r="Z54" t="s">
        <v>39</v>
      </c>
      <c r="AA54" s="2">
        <v>45510</v>
      </c>
      <c r="AB54" t="b">
        <v>1</v>
      </c>
      <c r="AC54" t="b">
        <v>0</v>
      </c>
      <c r="AD54" t="s">
        <v>40</v>
      </c>
      <c r="AE54" t="s">
        <v>41</v>
      </c>
      <c r="AF54">
        <v>12</v>
      </c>
    </row>
    <row r="55" spans="1:32" x14ac:dyDescent="0.25">
      <c r="A55" t="s">
        <v>192</v>
      </c>
      <c r="B55">
        <v>53</v>
      </c>
      <c r="C55">
        <v>37</v>
      </c>
      <c r="D55" t="str">
        <f>IF(tbl_Original[[#This Row],[Gender2]]="Female","Female",IF(tbl_Original[[#This Row],[Gender2]]="Male","Male","Other"))</f>
        <v>Female</v>
      </c>
      <c r="E55" t="s">
        <v>29</v>
      </c>
      <c r="F55" t="s">
        <v>30</v>
      </c>
      <c r="G55" t="s">
        <v>55</v>
      </c>
      <c r="H55" t="s">
        <v>32</v>
      </c>
      <c r="I55" t="s">
        <v>30</v>
      </c>
      <c r="J55" t="str">
        <f>PROPER(TRIM(CLEAN(tbl_Original[[#This Row],[Column1]])))</f>
        <v>Qinghaihu</v>
      </c>
      <c r="K55" t="s">
        <v>193</v>
      </c>
      <c r="L55" t="s">
        <v>193</v>
      </c>
      <c r="M55" t="s">
        <v>194</v>
      </c>
      <c r="N55" s="1">
        <v>299.31</v>
      </c>
      <c r="O55">
        <v>7</v>
      </c>
      <c r="P55" t="s">
        <v>35</v>
      </c>
      <c r="Q55">
        <v>2</v>
      </c>
      <c r="R55">
        <v>4</v>
      </c>
      <c r="S55">
        <v>1</v>
      </c>
      <c r="T55" t="s">
        <v>49</v>
      </c>
      <c r="U55" t="s">
        <v>85</v>
      </c>
      <c r="V55">
        <v>2</v>
      </c>
      <c r="W55">
        <v>3</v>
      </c>
      <c r="X55" t="s">
        <v>36</v>
      </c>
      <c r="Y55" t="s">
        <v>79</v>
      </c>
      <c r="Z55" t="s">
        <v>61</v>
      </c>
      <c r="AA55" s="2">
        <v>45323</v>
      </c>
      <c r="AB55" t="b">
        <v>1</v>
      </c>
      <c r="AC55" t="b">
        <v>0</v>
      </c>
      <c r="AD55" t="s">
        <v>40</v>
      </c>
      <c r="AE55" t="s">
        <v>67</v>
      </c>
      <c r="AF55">
        <v>3</v>
      </c>
    </row>
    <row r="56" spans="1:32" x14ac:dyDescent="0.25">
      <c r="A56" t="s">
        <v>195</v>
      </c>
      <c r="B56">
        <v>54</v>
      </c>
      <c r="C56">
        <v>42</v>
      </c>
      <c r="D56" t="str">
        <f>IF(tbl_Original[[#This Row],[Gender2]]="Female","Female",IF(tbl_Original[[#This Row],[Gender2]]="Male","Male","Other"))</f>
        <v>Male</v>
      </c>
      <c r="E56" t="s">
        <v>43</v>
      </c>
      <c r="F56" t="s">
        <v>30</v>
      </c>
      <c r="G56" t="s">
        <v>69</v>
      </c>
      <c r="H56" t="s">
        <v>56</v>
      </c>
      <c r="I56" t="s">
        <v>30</v>
      </c>
      <c r="J56" t="str">
        <f>PROPER(TRIM(CLEAN(tbl_Original[[#This Row],[Column1]])))</f>
        <v>Alfeizerao</v>
      </c>
      <c r="K56" t="s">
        <v>2296</v>
      </c>
      <c r="L56" t="s">
        <v>196</v>
      </c>
      <c r="M56" t="s">
        <v>101</v>
      </c>
      <c r="N56" s="1">
        <v>169.28</v>
      </c>
      <c r="O56">
        <v>7</v>
      </c>
      <c r="P56" t="s">
        <v>35</v>
      </c>
      <c r="Q56">
        <v>4</v>
      </c>
      <c r="R56">
        <v>4</v>
      </c>
      <c r="S56">
        <v>1</v>
      </c>
      <c r="T56" t="s">
        <v>36</v>
      </c>
      <c r="U56" t="s">
        <v>37</v>
      </c>
      <c r="V56">
        <v>2</v>
      </c>
      <c r="W56">
        <v>1</v>
      </c>
      <c r="X56" t="s">
        <v>59</v>
      </c>
      <c r="Y56" t="s">
        <v>38</v>
      </c>
      <c r="Z56" t="s">
        <v>86</v>
      </c>
      <c r="AA56" s="2">
        <v>45460</v>
      </c>
      <c r="AB56" t="b">
        <v>1</v>
      </c>
      <c r="AC56" t="b">
        <v>1</v>
      </c>
      <c r="AD56" t="s">
        <v>62</v>
      </c>
      <c r="AE56" t="s">
        <v>41</v>
      </c>
      <c r="AF56">
        <v>6</v>
      </c>
    </row>
    <row r="57" spans="1:32" x14ac:dyDescent="0.25">
      <c r="A57" t="s">
        <v>197</v>
      </c>
      <c r="B57">
        <v>55</v>
      </c>
      <c r="C57">
        <v>29</v>
      </c>
      <c r="D57" t="str">
        <f>IF(tbl_Original[[#This Row],[Gender2]]="Female","Female",IF(tbl_Original[[#This Row],[Gender2]]="Male","Male","Other"))</f>
        <v>Male</v>
      </c>
      <c r="E57" t="s">
        <v>43</v>
      </c>
      <c r="F57" t="s">
        <v>30</v>
      </c>
      <c r="G57" t="s">
        <v>69</v>
      </c>
      <c r="H57" t="s">
        <v>45</v>
      </c>
      <c r="I57" t="s">
        <v>44</v>
      </c>
      <c r="J57" t="str">
        <f>PROPER(TRIM(CLEAN(tbl_Original[[#This Row],[Column1]])))</f>
        <v>Prostedni Becva</v>
      </c>
      <c r="K57" t="s">
        <v>2297</v>
      </c>
      <c r="L57" t="s">
        <v>198</v>
      </c>
      <c r="M57" t="s">
        <v>58</v>
      </c>
      <c r="N57" s="1">
        <v>449.13</v>
      </c>
      <c r="O57">
        <v>9</v>
      </c>
      <c r="P57" t="s">
        <v>48</v>
      </c>
      <c r="Q57">
        <v>2</v>
      </c>
      <c r="R57">
        <v>1</v>
      </c>
      <c r="S57">
        <v>0.5</v>
      </c>
      <c r="T57" t="s">
        <v>49</v>
      </c>
      <c r="U57" t="s">
        <v>50</v>
      </c>
      <c r="V57">
        <v>2</v>
      </c>
      <c r="W57">
        <v>2</v>
      </c>
      <c r="X57" t="s">
        <v>59</v>
      </c>
      <c r="Y57" t="s">
        <v>38</v>
      </c>
      <c r="Z57" t="s">
        <v>39</v>
      </c>
      <c r="AA57" s="2">
        <v>45455</v>
      </c>
      <c r="AB57" t="b">
        <v>0</v>
      </c>
      <c r="AC57" t="b">
        <v>0</v>
      </c>
      <c r="AD57" t="s">
        <v>74</v>
      </c>
      <c r="AE57" t="s">
        <v>41</v>
      </c>
      <c r="AF57">
        <v>14</v>
      </c>
    </row>
    <row r="58" spans="1:32" x14ac:dyDescent="0.25">
      <c r="A58" t="s">
        <v>199</v>
      </c>
      <c r="B58">
        <v>56</v>
      </c>
      <c r="C58">
        <v>35</v>
      </c>
      <c r="D58" t="str">
        <f>IF(tbl_Original[[#This Row],[Gender2]]="Female","Female",IF(tbl_Original[[#This Row],[Gender2]]="Male","Male","Other"))</f>
        <v>Female</v>
      </c>
      <c r="E58" t="s">
        <v>29</v>
      </c>
      <c r="F58" t="s">
        <v>44</v>
      </c>
      <c r="G58" t="s">
        <v>31</v>
      </c>
      <c r="H58" t="s">
        <v>56</v>
      </c>
      <c r="I58" t="s">
        <v>44</v>
      </c>
      <c r="J58" t="str">
        <f>PROPER(TRIM(CLEAN(tbl_Original[[#This Row],[Column1]])))</f>
        <v>Oeiras</v>
      </c>
      <c r="K58" t="s">
        <v>200</v>
      </c>
      <c r="L58" t="s">
        <v>200</v>
      </c>
      <c r="M58" t="s">
        <v>101</v>
      </c>
      <c r="N58" s="1">
        <v>427.48</v>
      </c>
      <c r="O58">
        <v>6</v>
      </c>
      <c r="P58" t="s">
        <v>78</v>
      </c>
      <c r="Q58">
        <v>4</v>
      </c>
      <c r="R58">
        <v>2</v>
      </c>
      <c r="S58">
        <v>0</v>
      </c>
      <c r="T58" t="s">
        <v>49</v>
      </c>
      <c r="U58" t="s">
        <v>50</v>
      </c>
      <c r="V58">
        <v>1</v>
      </c>
      <c r="W58">
        <v>1</v>
      </c>
      <c r="X58" t="s">
        <v>59</v>
      </c>
      <c r="Y58" t="s">
        <v>60</v>
      </c>
      <c r="Z58" t="s">
        <v>61</v>
      </c>
      <c r="AA58" s="2">
        <v>45642</v>
      </c>
      <c r="AB58" t="b">
        <v>1</v>
      </c>
      <c r="AC58" t="b">
        <v>0</v>
      </c>
      <c r="AD58" t="s">
        <v>62</v>
      </c>
      <c r="AE58" t="s">
        <v>53</v>
      </c>
      <c r="AF58">
        <v>11</v>
      </c>
    </row>
    <row r="59" spans="1:32" x14ac:dyDescent="0.25">
      <c r="A59" t="s">
        <v>201</v>
      </c>
      <c r="B59">
        <v>57</v>
      </c>
      <c r="C59">
        <v>27</v>
      </c>
      <c r="D59" t="str">
        <f>IF(tbl_Original[[#This Row],[Gender2]]="Female","Female",IF(tbl_Original[[#This Row],[Gender2]]="Male","Male","Other"))</f>
        <v>Female</v>
      </c>
      <c r="E59" t="s">
        <v>29</v>
      </c>
      <c r="F59" t="s">
        <v>30</v>
      </c>
      <c r="G59" t="s">
        <v>55</v>
      </c>
      <c r="H59" t="s">
        <v>45</v>
      </c>
      <c r="I59" t="s">
        <v>44</v>
      </c>
      <c r="J59" t="str">
        <f>PROPER(TRIM(CLEAN(tbl_Original[[#This Row],[Column1]])))</f>
        <v>Kythnos</v>
      </c>
      <c r="K59" t="s">
        <v>2298</v>
      </c>
      <c r="L59" t="s">
        <v>202</v>
      </c>
      <c r="M59" t="s">
        <v>90</v>
      </c>
      <c r="N59" s="1">
        <v>171.61</v>
      </c>
      <c r="O59">
        <v>3</v>
      </c>
      <c r="P59" t="s">
        <v>78</v>
      </c>
      <c r="Q59">
        <v>3</v>
      </c>
      <c r="R59">
        <v>1</v>
      </c>
      <c r="S59">
        <v>2</v>
      </c>
      <c r="T59" t="s">
        <v>59</v>
      </c>
      <c r="U59" t="s">
        <v>85</v>
      </c>
      <c r="V59">
        <v>1</v>
      </c>
      <c r="W59">
        <v>6</v>
      </c>
      <c r="X59" t="s">
        <v>44</v>
      </c>
      <c r="Y59" t="s">
        <v>79</v>
      </c>
      <c r="Z59" t="s">
        <v>39</v>
      </c>
      <c r="AA59" s="2">
        <v>45596</v>
      </c>
      <c r="AB59" t="b">
        <v>1</v>
      </c>
      <c r="AC59" t="b">
        <v>0</v>
      </c>
      <c r="AD59" t="s">
        <v>74</v>
      </c>
      <c r="AE59" t="s">
        <v>67</v>
      </c>
      <c r="AF59">
        <v>8</v>
      </c>
    </row>
    <row r="60" spans="1:32" x14ac:dyDescent="0.25">
      <c r="A60" t="s">
        <v>203</v>
      </c>
      <c r="B60">
        <v>58</v>
      </c>
      <c r="C60">
        <v>40</v>
      </c>
      <c r="D60" t="str">
        <f>IF(tbl_Original[[#This Row],[Gender2]]="Female","Female",IF(tbl_Original[[#This Row],[Gender2]]="Male","Male","Other"))</f>
        <v>Female</v>
      </c>
      <c r="E60" t="s">
        <v>29</v>
      </c>
      <c r="F60" t="s">
        <v>44</v>
      </c>
      <c r="G60" t="s">
        <v>31</v>
      </c>
      <c r="H60" t="s">
        <v>32</v>
      </c>
      <c r="I60" t="s">
        <v>44</v>
      </c>
      <c r="J60" t="str">
        <f>PROPER(TRIM(CLEAN(tbl_Original[[#This Row],[Column1]])))</f>
        <v>Rizal</v>
      </c>
      <c r="K60" t="s">
        <v>204</v>
      </c>
      <c r="L60" t="s">
        <v>204</v>
      </c>
      <c r="M60" t="s">
        <v>82</v>
      </c>
      <c r="N60" s="1">
        <v>240.28</v>
      </c>
      <c r="O60">
        <v>3</v>
      </c>
      <c r="P60" t="s">
        <v>78</v>
      </c>
      <c r="Q60">
        <v>3</v>
      </c>
      <c r="R60">
        <v>5</v>
      </c>
      <c r="S60">
        <v>2</v>
      </c>
      <c r="T60" t="s">
        <v>44</v>
      </c>
      <c r="U60" t="s">
        <v>50</v>
      </c>
      <c r="V60">
        <v>2</v>
      </c>
      <c r="W60">
        <v>7</v>
      </c>
      <c r="X60" t="s">
        <v>49</v>
      </c>
      <c r="Y60" t="s">
        <v>38</v>
      </c>
      <c r="Z60" t="s">
        <v>86</v>
      </c>
      <c r="AA60" s="2">
        <v>45633</v>
      </c>
      <c r="AB60" t="b">
        <v>1</v>
      </c>
      <c r="AC60" t="b">
        <v>1</v>
      </c>
      <c r="AD60" t="s">
        <v>62</v>
      </c>
      <c r="AE60" t="s">
        <v>53</v>
      </c>
      <c r="AF60">
        <v>4</v>
      </c>
    </row>
    <row r="61" spans="1:32" x14ac:dyDescent="0.25">
      <c r="A61" t="s">
        <v>205</v>
      </c>
      <c r="B61">
        <v>59</v>
      </c>
      <c r="C61">
        <v>34</v>
      </c>
      <c r="D61" t="str">
        <f>IF(tbl_Original[[#This Row],[Gender2]]="Female","Female",IF(tbl_Original[[#This Row],[Gender2]]="Male","Male","Other"))</f>
        <v>Female</v>
      </c>
      <c r="E61" t="s">
        <v>29</v>
      </c>
      <c r="F61" t="s">
        <v>44</v>
      </c>
      <c r="G61" t="s">
        <v>55</v>
      </c>
      <c r="H61" t="s">
        <v>45</v>
      </c>
      <c r="I61" t="s">
        <v>44</v>
      </c>
      <c r="J61" t="str">
        <f>PROPER(TRIM(CLEAN(tbl_Original[[#This Row],[Column1]])))</f>
        <v>Fullerton</v>
      </c>
      <c r="K61" t="s">
        <v>206</v>
      </c>
      <c r="L61" t="s">
        <v>206</v>
      </c>
      <c r="M61" t="s">
        <v>71</v>
      </c>
      <c r="N61" s="1">
        <v>310.17</v>
      </c>
      <c r="O61">
        <v>6</v>
      </c>
      <c r="P61" t="s">
        <v>48</v>
      </c>
      <c r="Q61">
        <v>2</v>
      </c>
      <c r="R61">
        <v>3</v>
      </c>
      <c r="S61">
        <v>2</v>
      </c>
      <c r="T61" t="s">
        <v>49</v>
      </c>
      <c r="U61" t="s">
        <v>85</v>
      </c>
      <c r="V61">
        <v>0</v>
      </c>
      <c r="W61">
        <v>10</v>
      </c>
      <c r="X61" t="s">
        <v>36</v>
      </c>
      <c r="Y61" t="s">
        <v>60</v>
      </c>
      <c r="Z61" t="s">
        <v>61</v>
      </c>
      <c r="AA61" s="2">
        <v>45346</v>
      </c>
      <c r="AB61" t="b">
        <v>0</v>
      </c>
      <c r="AC61" t="b">
        <v>0</v>
      </c>
      <c r="AD61" t="s">
        <v>52</v>
      </c>
      <c r="AE61" t="s">
        <v>41</v>
      </c>
      <c r="AF61">
        <v>13</v>
      </c>
    </row>
    <row r="62" spans="1:32" x14ac:dyDescent="0.25">
      <c r="A62" t="s">
        <v>207</v>
      </c>
      <c r="B62">
        <v>60</v>
      </c>
      <c r="C62">
        <v>25</v>
      </c>
      <c r="D62" t="str">
        <f>IF(tbl_Original[[#This Row],[Gender2]]="Female","Female",IF(tbl_Original[[#This Row],[Gender2]]="Male","Male","Other"))</f>
        <v>Female</v>
      </c>
      <c r="E62" t="s">
        <v>29</v>
      </c>
      <c r="F62" t="s">
        <v>30</v>
      </c>
      <c r="G62" t="s">
        <v>31</v>
      </c>
      <c r="H62" t="s">
        <v>32</v>
      </c>
      <c r="I62" t="s">
        <v>30</v>
      </c>
      <c r="J62" t="str">
        <f>PROPER(TRIM(CLEAN(tbl_Original[[#This Row],[Column1]])))</f>
        <v>Huaidao</v>
      </c>
      <c r="K62" t="s">
        <v>208</v>
      </c>
      <c r="L62" t="s">
        <v>208</v>
      </c>
      <c r="M62" t="s">
        <v>107</v>
      </c>
      <c r="N62" s="1">
        <v>166</v>
      </c>
      <c r="O62">
        <v>10</v>
      </c>
      <c r="P62" t="s">
        <v>78</v>
      </c>
      <c r="Q62">
        <v>5</v>
      </c>
      <c r="R62">
        <v>3</v>
      </c>
      <c r="S62">
        <v>0</v>
      </c>
      <c r="T62" t="s">
        <v>44</v>
      </c>
      <c r="U62" t="s">
        <v>50</v>
      </c>
      <c r="V62">
        <v>2</v>
      </c>
      <c r="W62">
        <v>10</v>
      </c>
      <c r="X62" t="s">
        <v>49</v>
      </c>
      <c r="Y62" t="s">
        <v>60</v>
      </c>
      <c r="Z62" t="s">
        <v>51</v>
      </c>
      <c r="AA62" s="2">
        <v>45454</v>
      </c>
      <c r="AB62" t="b">
        <v>0</v>
      </c>
      <c r="AC62" t="b">
        <v>0</v>
      </c>
      <c r="AD62" t="s">
        <v>62</v>
      </c>
      <c r="AE62" t="s">
        <v>67</v>
      </c>
      <c r="AF62">
        <v>5</v>
      </c>
    </row>
    <row r="63" spans="1:32" x14ac:dyDescent="0.25">
      <c r="A63" t="s">
        <v>209</v>
      </c>
      <c r="B63">
        <v>61</v>
      </c>
      <c r="C63">
        <v>38</v>
      </c>
      <c r="D63" t="str">
        <f>IF(tbl_Original[[#This Row],[Gender2]]="Female","Female",IF(tbl_Original[[#This Row],[Gender2]]="Male","Male","Other"))</f>
        <v>Male</v>
      </c>
      <c r="E63" t="s">
        <v>43</v>
      </c>
      <c r="F63" t="s">
        <v>44</v>
      </c>
      <c r="G63" t="s">
        <v>76</v>
      </c>
      <c r="H63" t="s">
        <v>32</v>
      </c>
      <c r="I63" t="s">
        <v>44</v>
      </c>
      <c r="J63" t="str">
        <f>PROPER(TRIM(CLEAN(tbl_Original[[#This Row],[Column1]])))</f>
        <v>Bilice</v>
      </c>
      <c r="K63" t="s">
        <v>210</v>
      </c>
      <c r="L63" t="s">
        <v>210</v>
      </c>
      <c r="M63" t="s">
        <v>123</v>
      </c>
      <c r="N63" s="1">
        <v>362.01</v>
      </c>
      <c r="O63">
        <v>2</v>
      </c>
      <c r="P63" t="s">
        <v>48</v>
      </c>
      <c r="Q63">
        <v>2</v>
      </c>
      <c r="R63">
        <v>4</v>
      </c>
      <c r="S63">
        <v>1</v>
      </c>
      <c r="T63" t="s">
        <v>36</v>
      </c>
      <c r="U63" t="s">
        <v>37</v>
      </c>
      <c r="V63">
        <v>2</v>
      </c>
      <c r="W63">
        <v>1</v>
      </c>
      <c r="X63" t="s">
        <v>49</v>
      </c>
      <c r="Y63" t="s">
        <v>38</v>
      </c>
      <c r="Z63" t="s">
        <v>61</v>
      </c>
      <c r="AA63" s="2">
        <v>45620</v>
      </c>
      <c r="AB63" t="b">
        <v>0</v>
      </c>
      <c r="AC63" t="b">
        <v>0</v>
      </c>
      <c r="AD63" t="s">
        <v>62</v>
      </c>
      <c r="AE63" t="s">
        <v>67</v>
      </c>
      <c r="AF63">
        <v>1</v>
      </c>
    </row>
    <row r="64" spans="1:32" x14ac:dyDescent="0.25">
      <c r="A64" t="s">
        <v>211</v>
      </c>
      <c r="B64">
        <v>62</v>
      </c>
      <c r="C64">
        <v>33</v>
      </c>
      <c r="D64" t="str">
        <f>IF(tbl_Original[[#This Row],[Gender2]]="Female","Female",IF(tbl_Original[[#This Row],[Gender2]]="Male","Male","Other"))</f>
        <v>Other</v>
      </c>
      <c r="E64" t="s">
        <v>212</v>
      </c>
      <c r="F64" t="s">
        <v>44</v>
      </c>
      <c r="G64" t="s">
        <v>31</v>
      </c>
      <c r="H64" t="s">
        <v>32</v>
      </c>
      <c r="I64" t="s">
        <v>30</v>
      </c>
      <c r="J64" t="str">
        <f>PROPER(TRIM(CLEAN(tbl_Original[[#This Row],[Column1]])))</f>
        <v>Isla Verde</v>
      </c>
      <c r="K64" t="s">
        <v>213</v>
      </c>
      <c r="L64" t="s">
        <v>213</v>
      </c>
      <c r="M64" t="s">
        <v>194</v>
      </c>
      <c r="N64" s="1">
        <v>348.5</v>
      </c>
      <c r="O64">
        <v>3</v>
      </c>
      <c r="P64" t="s">
        <v>35</v>
      </c>
      <c r="Q64">
        <v>2</v>
      </c>
      <c r="R64">
        <v>3</v>
      </c>
      <c r="S64">
        <v>2</v>
      </c>
      <c r="T64" t="s">
        <v>36</v>
      </c>
      <c r="U64" t="s">
        <v>50</v>
      </c>
      <c r="V64">
        <v>0</v>
      </c>
      <c r="W64">
        <v>6</v>
      </c>
      <c r="X64" t="s">
        <v>49</v>
      </c>
      <c r="Y64" t="s">
        <v>60</v>
      </c>
      <c r="Z64" t="s">
        <v>61</v>
      </c>
      <c r="AA64" s="2">
        <v>45482</v>
      </c>
      <c r="AB64" t="b">
        <v>0</v>
      </c>
      <c r="AC64" t="b">
        <v>0</v>
      </c>
      <c r="AD64" t="s">
        <v>74</v>
      </c>
      <c r="AE64" t="s">
        <v>41</v>
      </c>
      <c r="AF64">
        <v>8</v>
      </c>
    </row>
    <row r="65" spans="1:32" x14ac:dyDescent="0.25">
      <c r="A65" t="s">
        <v>214</v>
      </c>
      <c r="B65">
        <v>63</v>
      </c>
      <c r="C65">
        <v>32</v>
      </c>
      <c r="D65" t="str">
        <f>IF(tbl_Original[[#This Row],[Gender2]]="Female","Female",IF(tbl_Original[[#This Row],[Gender2]]="Male","Male","Other"))</f>
        <v>Female</v>
      </c>
      <c r="E65" t="s">
        <v>29</v>
      </c>
      <c r="F65" t="s">
        <v>30</v>
      </c>
      <c r="G65" t="s">
        <v>31</v>
      </c>
      <c r="H65" t="s">
        <v>32</v>
      </c>
      <c r="I65" t="s">
        <v>44</v>
      </c>
      <c r="J65" t="str">
        <f>PROPER(TRIM(CLEAN(tbl_Original[[#This Row],[Column1]])))</f>
        <v>Hunkuyi</v>
      </c>
      <c r="K65" t="s">
        <v>215</v>
      </c>
      <c r="L65" t="s">
        <v>215</v>
      </c>
      <c r="M65" t="s">
        <v>101</v>
      </c>
      <c r="N65" s="1">
        <v>395.97</v>
      </c>
      <c r="O65">
        <v>9</v>
      </c>
      <c r="P65" t="s">
        <v>48</v>
      </c>
      <c r="Q65">
        <v>1</v>
      </c>
      <c r="R65">
        <v>4</v>
      </c>
      <c r="S65">
        <v>0</v>
      </c>
      <c r="T65" t="s">
        <v>49</v>
      </c>
      <c r="U65" t="s">
        <v>85</v>
      </c>
      <c r="V65">
        <v>1</v>
      </c>
      <c r="W65">
        <v>6</v>
      </c>
      <c r="X65" t="s">
        <v>59</v>
      </c>
      <c r="Y65" t="s">
        <v>38</v>
      </c>
      <c r="Z65" t="s">
        <v>61</v>
      </c>
      <c r="AA65" s="2">
        <v>45522</v>
      </c>
      <c r="AB65" t="b">
        <v>1</v>
      </c>
      <c r="AC65" t="b">
        <v>1</v>
      </c>
      <c r="AD65" t="s">
        <v>52</v>
      </c>
      <c r="AE65" t="s">
        <v>53</v>
      </c>
      <c r="AF65">
        <v>1</v>
      </c>
    </row>
    <row r="66" spans="1:32" x14ac:dyDescent="0.25">
      <c r="A66" t="s">
        <v>216</v>
      </c>
      <c r="B66">
        <v>64</v>
      </c>
      <c r="C66">
        <v>50</v>
      </c>
      <c r="D66" t="str">
        <f>IF(tbl_Original[[#This Row],[Gender2]]="Female","Female",IF(tbl_Original[[#This Row],[Gender2]]="Male","Male","Other"))</f>
        <v>Female</v>
      </c>
      <c r="E66" t="s">
        <v>29</v>
      </c>
      <c r="F66" t="s">
        <v>30</v>
      </c>
      <c r="G66" t="s">
        <v>69</v>
      </c>
      <c r="H66" t="s">
        <v>45</v>
      </c>
      <c r="I66" t="s">
        <v>30</v>
      </c>
      <c r="J66" t="str">
        <f>PROPER(TRIM(CLEAN(tbl_Original[[#This Row],[Column1]])))</f>
        <v>Shiree</v>
      </c>
      <c r="K66" t="s">
        <v>217</v>
      </c>
      <c r="L66" t="s">
        <v>217</v>
      </c>
      <c r="M66" t="s">
        <v>90</v>
      </c>
      <c r="N66" s="1">
        <v>474.99</v>
      </c>
      <c r="O66">
        <v>9</v>
      </c>
      <c r="P66" t="s">
        <v>78</v>
      </c>
      <c r="Q66">
        <v>2</v>
      </c>
      <c r="R66">
        <v>4</v>
      </c>
      <c r="S66">
        <v>1</v>
      </c>
      <c r="T66" t="s">
        <v>36</v>
      </c>
      <c r="U66" t="s">
        <v>37</v>
      </c>
      <c r="V66">
        <v>0</v>
      </c>
      <c r="W66">
        <v>8</v>
      </c>
      <c r="X66" t="s">
        <v>44</v>
      </c>
      <c r="Y66" t="s">
        <v>79</v>
      </c>
      <c r="Z66" t="s">
        <v>39</v>
      </c>
      <c r="AA66" s="2">
        <v>45483</v>
      </c>
      <c r="AB66" t="b">
        <v>1</v>
      </c>
      <c r="AC66" t="b">
        <v>0</v>
      </c>
      <c r="AD66" t="s">
        <v>74</v>
      </c>
      <c r="AE66" t="s">
        <v>53</v>
      </c>
      <c r="AF66">
        <v>5</v>
      </c>
    </row>
    <row r="67" spans="1:32" x14ac:dyDescent="0.25">
      <c r="A67" t="s">
        <v>218</v>
      </c>
      <c r="B67">
        <v>65</v>
      </c>
      <c r="C67">
        <v>35</v>
      </c>
      <c r="D67" t="str">
        <f>IF(tbl_Original[[#This Row],[Gender2]]="Female","Female",IF(tbl_Original[[#This Row],[Gender2]]="Male","Male","Other"))</f>
        <v>Female</v>
      </c>
      <c r="E67" t="s">
        <v>29</v>
      </c>
      <c r="F67" t="s">
        <v>30</v>
      </c>
      <c r="G67" t="s">
        <v>69</v>
      </c>
      <c r="H67" t="s">
        <v>45</v>
      </c>
      <c r="I67" t="s">
        <v>30</v>
      </c>
      <c r="J67" t="str">
        <f>PROPER(TRIM(CLEAN(tbl_Original[[#This Row],[Column1]])))</f>
        <v>Strezhevoy</v>
      </c>
      <c r="K67" t="s">
        <v>219</v>
      </c>
      <c r="L67" t="s">
        <v>219</v>
      </c>
      <c r="M67" t="s">
        <v>98</v>
      </c>
      <c r="N67" s="1">
        <v>286.43</v>
      </c>
      <c r="O67">
        <v>4</v>
      </c>
      <c r="P67" t="s">
        <v>35</v>
      </c>
      <c r="Q67">
        <v>1</v>
      </c>
      <c r="R67">
        <v>3</v>
      </c>
      <c r="S67">
        <v>0</v>
      </c>
      <c r="T67" t="s">
        <v>44</v>
      </c>
      <c r="U67" t="s">
        <v>85</v>
      </c>
      <c r="V67">
        <v>2</v>
      </c>
      <c r="W67">
        <v>3</v>
      </c>
      <c r="X67" t="s">
        <v>36</v>
      </c>
      <c r="Y67" t="s">
        <v>79</v>
      </c>
      <c r="Z67" t="s">
        <v>86</v>
      </c>
      <c r="AA67" s="2">
        <v>45485</v>
      </c>
      <c r="AB67" t="b">
        <v>1</v>
      </c>
      <c r="AC67" t="b">
        <v>0</v>
      </c>
      <c r="AD67" t="s">
        <v>52</v>
      </c>
      <c r="AE67" t="s">
        <v>67</v>
      </c>
      <c r="AF67">
        <v>14</v>
      </c>
    </row>
    <row r="68" spans="1:32" x14ac:dyDescent="0.25">
      <c r="A68" t="s">
        <v>220</v>
      </c>
      <c r="B68">
        <v>66</v>
      </c>
      <c r="C68">
        <v>19</v>
      </c>
      <c r="D68" t="str">
        <f>IF(tbl_Original[[#This Row],[Gender2]]="Female","Female",IF(tbl_Original[[#This Row],[Gender2]]="Male","Male","Other"))</f>
        <v>Other</v>
      </c>
      <c r="E68" t="s">
        <v>148</v>
      </c>
      <c r="F68" t="s">
        <v>44</v>
      </c>
      <c r="G68" t="s">
        <v>69</v>
      </c>
      <c r="H68" t="s">
        <v>45</v>
      </c>
      <c r="I68" t="s">
        <v>44</v>
      </c>
      <c r="J68" t="str">
        <f>PROPER(TRIM(CLEAN(tbl_Original[[#This Row],[Column1]])))</f>
        <v>Longxing</v>
      </c>
      <c r="K68" t="s">
        <v>221</v>
      </c>
      <c r="L68" t="s">
        <v>221</v>
      </c>
      <c r="M68" t="s">
        <v>104</v>
      </c>
      <c r="N68" s="1">
        <v>333.32</v>
      </c>
      <c r="O68">
        <v>8</v>
      </c>
      <c r="P68" t="s">
        <v>78</v>
      </c>
      <c r="Q68">
        <v>1</v>
      </c>
      <c r="R68">
        <v>5</v>
      </c>
      <c r="S68">
        <v>0</v>
      </c>
      <c r="T68" t="s">
        <v>59</v>
      </c>
      <c r="U68" t="s">
        <v>85</v>
      </c>
      <c r="V68">
        <v>0</v>
      </c>
      <c r="W68">
        <v>3</v>
      </c>
      <c r="X68" t="s">
        <v>44</v>
      </c>
      <c r="Y68" t="s">
        <v>60</v>
      </c>
      <c r="Z68" t="s">
        <v>39</v>
      </c>
      <c r="AA68" s="2">
        <v>45570</v>
      </c>
      <c r="AB68" t="b">
        <v>1</v>
      </c>
      <c r="AC68" t="b">
        <v>0</v>
      </c>
      <c r="AD68" t="s">
        <v>74</v>
      </c>
      <c r="AE68" t="s">
        <v>41</v>
      </c>
      <c r="AF68">
        <v>3</v>
      </c>
    </row>
    <row r="69" spans="1:32" x14ac:dyDescent="0.25">
      <c r="A69" t="s">
        <v>222</v>
      </c>
      <c r="B69">
        <v>67</v>
      </c>
      <c r="C69">
        <v>46</v>
      </c>
      <c r="D69" t="str">
        <f>IF(tbl_Original[[#This Row],[Gender2]]="Female","Female",IF(tbl_Original[[#This Row],[Gender2]]="Male","Male","Other"))</f>
        <v>Other</v>
      </c>
      <c r="E69" t="s">
        <v>88</v>
      </c>
      <c r="F69" t="s">
        <v>44</v>
      </c>
      <c r="G69" t="s">
        <v>55</v>
      </c>
      <c r="H69" t="s">
        <v>56</v>
      </c>
      <c r="I69" t="s">
        <v>44</v>
      </c>
      <c r="J69" t="str">
        <f>PROPER(TRIM(CLEAN(tbl_Original[[#This Row],[Column1]])))</f>
        <v>Jesus Menendez</v>
      </c>
      <c r="K69" t="s">
        <v>2302</v>
      </c>
      <c r="L69" t="s">
        <v>223</v>
      </c>
      <c r="M69" t="s">
        <v>117</v>
      </c>
      <c r="N69" s="1">
        <v>223.47</v>
      </c>
      <c r="O69">
        <v>9</v>
      </c>
      <c r="P69" t="s">
        <v>35</v>
      </c>
      <c r="Q69">
        <v>2</v>
      </c>
      <c r="R69">
        <v>1</v>
      </c>
      <c r="S69">
        <v>1</v>
      </c>
      <c r="T69" t="s">
        <v>44</v>
      </c>
      <c r="U69" t="s">
        <v>37</v>
      </c>
      <c r="V69">
        <v>0</v>
      </c>
      <c r="W69">
        <v>2</v>
      </c>
      <c r="X69" t="s">
        <v>36</v>
      </c>
      <c r="Y69" t="s">
        <v>38</v>
      </c>
      <c r="Z69" t="s">
        <v>61</v>
      </c>
      <c r="AA69" s="2">
        <v>45555</v>
      </c>
      <c r="AB69" t="b">
        <v>1</v>
      </c>
      <c r="AC69" t="b">
        <v>1</v>
      </c>
      <c r="AD69" t="s">
        <v>40</v>
      </c>
      <c r="AE69" t="s">
        <v>53</v>
      </c>
      <c r="AF69">
        <v>8</v>
      </c>
    </row>
    <row r="70" spans="1:32" x14ac:dyDescent="0.25">
      <c r="A70" t="s">
        <v>224</v>
      </c>
      <c r="B70">
        <v>68</v>
      </c>
      <c r="C70">
        <v>23</v>
      </c>
      <c r="D70" t="str">
        <f>IF(tbl_Original[[#This Row],[Gender2]]="Female","Female",IF(tbl_Original[[#This Row],[Gender2]]="Male","Male","Other"))</f>
        <v>Male</v>
      </c>
      <c r="E70" t="s">
        <v>43</v>
      </c>
      <c r="F70" t="s">
        <v>30</v>
      </c>
      <c r="G70" t="s">
        <v>76</v>
      </c>
      <c r="H70" t="s">
        <v>56</v>
      </c>
      <c r="I70" t="s">
        <v>30</v>
      </c>
      <c r="J70" t="str">
        <f>PROPER(TRIM(CLEAN(tbl_Original[[#This Row],[Column1]])))</f>
        <v>Hongguang</v>
      </c>
      <c r="K70" t="s">
        <v>225</v>
      </c>
      <c r="L70" t="s">
        <v>225</v>
      </c>
      <c r="M70" t="s">
        <v>90</v>
      </c>
      <c r="N70" s="1">
        <v>414.83</v>
      </c>
      <c r="O70">
        <v>2</v>
      </c>
      <c r="P70" t="s">
        <v>35</v>
      </c>
      <c r="Q70">
        <v>2</v>
      </c>
      <c r="R70">
        <v>4</v>
      </c>
      <c r="S70">
        <v>0.5</v>
      </c>
      <c r="T70" t="s">
        <v>44</v>
      </c>
      <c r="U70" t="s">
        <v>37</v>
      </c>
      <c r="V70">
        <v>2</v>
      </c>
      <c r="W70">
        <v>4</v>
      </c>
      <c r="X70" t="s">
        <v>44</v>
      </c>
      <c r="Y70" t="s">
        <v>79</v>
      </c>
      <c r="Z70" t="s">
        <v>39</v>
      </c>
      <c r="AA70" s="2">
        <v>45489</v>
      </c>
      <c r="AB70" t="b">
        <v>0</v>
      </c>
      <c r="AC70" t="b">
        <v>0</v>
      </c>
      <c r="AD70" t="s">
        <v>74</v>
      </c>
      <c r="AE70" t="s">
        <v>67</v>
      </c>
      <c r="AF70">
        <v>8</v>
      </c>
    </row>
    <row r="71" spans="1:32" x14ac:dyDescent="0.25">
      <c r="A71" t="s">
        <v>226</v>
      </c>
      <c r="B71">
        <v>69</v>
      </c>
      <c r="C71">
        <v>34</v>
      </c>
      <c r="D71" t="str">
        <f>IF(tbl_Original[[#This Row],[Gender2]]="Female","Female",IF(tbl_Original[[#This Row],[Gender2]]="Male","Male","Other"))</f>
        <v>Female</v>
      </c>
      <c r="E71" t="s">
        <v>29</v>
      </c>
      <c r="F71" t="s">
        <v>44</v>
      </c>
      <c r="G71" t="s">
        <v>69</v>
      </c>
      <c r="H71" t="s">
        <v>56</v>
      </c>
      <c r="I71" t="s">
        <v>44</v>
      </c>
      <c r="J71" t="str">
        <f>PROPER(TRIM(CLEAN(tbl_Original[[#This Row],[Column1]])))</f>
        <v>Pilaya</v>
      </c>
      <c r="K71" t="s">
        <v>227</v>
      </c>
      <c r="L71" t="s">
        <v>227</v>
      </c>
      <c r="M71" t="s">
        <v>82</v>
      </c>
      <c r="N71" s="1">
        <v>391.38</v>
      </c>
      <c r="O71">
        <v>5</v>
      </c>
      <c r="P71" t="s">
        <v>48</v>
      </c>
      <c r="Q71">
        <v>5</v>
      </c>
      <c r="R71">
        <v>2</v>
      </c>
      <c r="S71">
        <v>2</v>
      </c>
      <c r="T71" t="s">
        <v>59</v>
      </c>
      <c r="U71" t="s">
        <v>50</v>
      </c>
      <c r="V71">
        <v>0</v>
      </c>
      <c r="W71">
        <v>7</v>
      </c>
      <c r="X71" t="s">
        <v>59</v>
      </c>
      <c r="Y71" t="s">
        <v>38</v>
      </c>
      <c r="Z71" t="s">
        <v>66</v>
      </c>
      <c r="AA71" s="2">
        <v>45384</v>
      </c>
      <c r="AB71" t="b">
        <v>0</v>
      </c>
      <c r="AC71" t="b">
        <v>0</v>
      </c>
      <c r="AD71" t="s">
        <v>40</v>
      </c>
      <c r="AE71" t="s">
        <v>41</v>
      </c>
      <c r="AF71">
        <v>8</v>
      </c>
    </row>
    <row r="72" spans="1:32" x14ac:dyDescent="0.25">
      <c r="A72" t="s">
        <v>228</v>
      </c>
      <c r="B72">
        <v>70</v>
      </c>
      <c r="C72">
        <v>48</v>
      </c>
      <c r="D72" t="str">
        <f>IF(tbl_Original[[#This Row],[Gender2]]="Female","Female",IF(tbl_Original[[#This Row],[Gender2]]="Male","Male","Other"))</f>
        <v>Male</v>
      </c>
      <c r="E72" t="s">
        <v>43</v>
      </c>
      <c r="F72" t="s">
        <v>30</v>
      </c>
      <c r="G72" t="s">
        <v>76</v>
      </c>
      <c r="H72" t="s">
        <v>32</v>
      </c>
      <c r="I72" t="s">
        <v>44</v>
      </c>
      <c r="J72" t="str">
        <f>PROPER(TRIM(CLEAN(tbl_Original[[#This Row],[Column1]])))</f>
        <v>Camp Ithier</v>
      </c>
      <c r="K72" t="s">
        <v>229</v>
      </c>
      <c r="L72" t="s">
        <v>229</v>
      </c>
      <c r="M72" t="s">
        <v>71</v>
      </c>
      <c r="N72" s="1">
        <v>368.4</v>
      </c>
      <c r="O72">
        <v>11</v>
      </c>
      <c r="P72" t="s">
        <v>78</v>
      </c>
      <c r="Q72">
        <v>2</v>
      </c>
      <c r="R72">
        <v>5</v>
      </c>
      <c r="S72">
        <v>1</v>
      </c>
      <c r="T72" t="s">
        <v>44</v>
      </c>
      <c r="U72" t="s">
        <v>50</v>
      </c>
      <c r="V72">
        <v>0</v>
      </c>
      <c r="W72">
        <v>3</v>
      </c>
      <c r="X72" t="s">
        <v>44</v>
      </c>
      <c r="Y72" t="s">
        <v>79</v>
      </c>
      <c r="Z72" t="s">
        <v>39</v>
      </c>
      <c r="AA72" s="2">
        <v>45464</v>
      </c>
      <c r="AB72" t="b">
        <v>0</v>
      </c>
      <c r="AC72" t="b">
        <v>0</v>
      </c>
      <c r="AD72" t="s">
        <v>40</v>
      </c>
      <c r="AE72" t="s">
        <v>41</v>
      </c>
      <c r="AF72">
        <v>13</v>
      </c>
    </row>
    <row r="73" spans="1:32" x14ac:dyDescent="0.25">
      <c r="A73" t="s">
        <v>230</v>
      </c>
      <c r="B73">
        <v>71</v>
      </c>
      <c r="C73">
        <v>27</v>
      </c>
      <c r="D73" t="str">
        <f>IF(tbl_Original[[#This Row],[Gender2]]="Female","Female",IF(tbl_Original[[#This Row],[Gender2]]="Male","Male","Other"))</f>
        <v>Other</v>
      </c>
      <c r="E73" t="s">
        <v>88</v>
      </c>
      <c r="F73" t="s">
        <v>30</v>
      </c>
      <c r="G73" t="s">
        <v>69</v>
      </c>
      <c r="H73" t="s">
        <v>45</v>
      </c>
      <c r="I73" t="s">
        <v>30</v>
      </c>
      <c r="J73" t="str">
        <f>PROPER(TRIM(CLEAN(tbl_Original[[#This Row],[Column1]])))</f>
        <v>Holboo</v>
      </c>
      <c r="K73" t="s">
        <v>231</v>
      </c>
      <c r="L73" t="s">
        <v>231</v>
      </c>
      <c r="M73" t="s">
        <v>71</v>
      </c>
      <c r="N73" s="1">
        <v>328.36</v>
      </c>
      <c r="O73">
        <v>11</v>
      </c>
      <c r="P73" t="s">
        <v>48</v>
      </c>
      <c r="Q73">
        <v>1</v>
      </c>
      <c r="R73">
        <v>4</v>
      </c>
      <c r="S73">
        <v>2</v>
      </c>
      <c r="T73" t="s">
        <v>44</v>
      </c>
      <c r="U73" t="s">
        <v>85</v>
      </c>
      <c r="V73">
        <v>0</v>
      </c>
      <c r="W73">
        <v>4</v>
      </c>
      <c r="X73" t="s">
        <v>36</v>
      </c>
      <c r="Y73" t="s">
        <v>38</v>
      </c>
      <c r="Z73" t="s">
        <v>86</v>
      </c>
      <c r="AA73" s="2">
        <v>45362</v>
      </c>
      <c r="AB73" t="b">
        <v>0</v>
      </c>
      <c r="AC73" t="b">
        <v>1</v>
      </c>
      <c r="AD73" t="s">
        <v>52</v>
      </c>
      <c r="AE73" t="s">
        <v>67</v>
      </c>
      <c r="AF73">
        <v>4</v>
      </c>
    </row>
    <row r="74" spans="1:32" x14ac:dyDescent="0.25">
      <c r="A74" t="s">
        <v>232</v>
      </c>
      <c r="B74">
        <v>72</v>
      </c>
      <c r="C74">
        <v>37</v>
      </c>
      <c r="D74" t="str">
        <f>IF(tbl_Original[[#This Row],[Gender2]]="Female","Female",IF(tbl_Original[[#This Row],[Gender2]]="Male","Male","Other"))</f>
        <v>Female</v>
      </c>
      <c r="E74" t="s">
        <v>29</v>
      </c>
      <c r="F74" t="s">
        <v>30</v>
      </c>
      <c r="G74" t="s">
        <v>76</v>
      </c>
      <c r="H74" t="s">
        <v>32</v>
      </c>
      <c r="I74" t="s">
        <v>30</v>
      </c>
      <c r="J74" t="str">
        <f>PROPER(TRIM(CLEAN(tbl_Original[[#This Row],[Column1]])))</f>
        <v>Luxi</v>
      </c>
      <c r="K74" t="s">
        <v>233</v>
      </c>
      <c r="L74" t="s">
        <v>233</v>
      </c>
      <c r="M74" t="s">
        <v>65</v>
      </c>
      <c r="N74" s="1">
        <v>424.39</v>
      </c>
      <c r="O74">
        <v>9</v>
      </c>
      <c r="P74" t="s">
        <v>35</v>
      </c>
      <c r="Q74">
        <v>3</v>
      </c>
      <c r="R74">
        <v>1</v>
      </c>
      <c r="S74">
        <v>1</v>
      </c>
      <c r="T74" t="s">
        <v>44</v>
      </c>
      <c r="U74" t="s">
        <v>37</v>
      </c>
      <c r="V74">
        <v>0</v>
      </c>
      <c r="W74">
        <v>7</v>
      </c>
      <c r="X74" t="s">
        <v>59</v>
      </c>
      <c r="Y74" t="s">
        <v>60</v>
      </c>
      <c r="Z74" t="s">
        <v>39</v>
      </c>
      <c r="AA74" s="2">
        <v>45348</v>
      </c>
      <c r="AB74" t="b">
        <v>1</v>
      </c>
      <c r="AC74" t="b">
        <v>0</v>
      </c>
      <c r="AD74" t="s">
        <v>52</v>
      </c>
      <c r="AE74" t="s">
        <v>41</v>
      </c>
      <c r="AF74">
        <v>13</v>
      </c>
    </row>
    <row r="75" spans="1:32" x14ac:dyDescent="0.25">
      <c r="A75" t="s">
        <v>234</v>
      </c>
      <c r="B75">
        <v>73</v>
      </c>
      <c r="C75">
        <v>47</v>
      </c>
      <c r="D75" t="str">
        <f>IF(tbl_Original[[#This Row],[Gender2]]="Female","Female",IF(tbl_Original[[#This Row],[Gender2]]="Male","Male","Other"))</f>
        <v>Male</v>
      </c>
      <c r="E75" t="s">
        <v>43</v>
      </c>
      <c r="F75" t="s">
        <v>44</v>
      </c>
      <c r="G75" t="s">
        <v>31</v>
      </c>
      <c r="H75" t="s">
        <v>45</v>
      </c>
      <c r="I75" t="s">
        <v>44</v>
      </c>
      <c r="J75" t="str">
        <f>PROPER(TRIM(CLEAN(tbl_Original[[#This Row],[Column1]])))</f>
        <v>Ostashkov</v>
      </c>
      <c r="K75" t="s">
        <v>235</v>
      </c>
      <c r="L75" t="s">
        <v>235</v>
      </c>
      <c r="M75" t="s">
        <v>142</v>
      </c>
      <c r="N75" s="1">
        <v>197.12</v>
      </c>
      <c r="O75">
        <v>10</v>
      </c>
      <c r="P75" t="s">
        <v>48</v>
      </c>
      <c r="Q75">
        <v>4</v>
      </c>
      <c r="R75">
        <v>4</v>
      </c>
      <c r="S75">
        <v>0</v>
      </c>
      <c r="T75" t="s">
        <v>59</v>
      </c>
      <c r="U75" t="s">
        <v>37</v>
      </c>
      <c r="V75">
        <v>1</v>
      </c>
      <c r="W75">
        <v>1</v>
      </c>
      <c r="X75" t="s">
        <v>49</v>
      </c>
      <c r="Y75" t="s">
        <v>38</v>
      </c>
      <c r="Z75" t="s">
        <v>66</v>
      </c>
      <c r="AA75" s="2">
        <v>45457</v>
      </c>
      <c r="AB75" t="b">
        <v>1</v>
      </c>
      <c r="AC75" t="b">
        <v>1</v>
      </c>
      <c r="AD75" t="s">
        <v>52</v>
      </c>
      <c r="AE75" t="s">
        <v>53</v>
      </c>
      <c r="AF75">
        <v>10</v>
      </c>
    </row>
    <row r="76" spans="1:32" x14ac:dyDescent="0.25">
      <c r="A76" t="s">
        <v>236</v>
      </c>
      <c r="B76">
        <v>74</v>
      </c>
      <c r="C76">
        <v>45</v>
      </c>
      <c r="D76" t="str">
        <f>IF(tbl_Original[[#This Row],[Gender2]]="Female","Female",IF(tbl_Original[[#This Row],[Gender2]]="Male","Male","Other"))</f>
        <v>Male</v>
      </c>
      <c r="E76" t="s">
        <v>43</v>
      </c>
      <c r="F76" t="s">
        <v>44</v>
      </c>
      <c r="G76" t="s">
        <v>55</v>
      </c>
      <c r="H76" t="s">
        <v>32</v>
      </c>
      <c r="I76" t="s">
        <v>44</v>
      </c>
      <c r="J76" t="str">
        <f>PROPER(TRIM(CLEAN(tbl_Original[[#This Row],[Column1]])))</f>
        <v>Hongshanzui</v>
      </c>
      <c r="K76" t="s">
        <v>237</v>
      </c>
      <c r="L76" t="s">
        <v>237</v>
      </c>
      <c r="M76" t="s">
        <v>82</v>
      </c>
      <c r="N76" s="1">
        <v>454.57</v>
      </c>
      <c r="O76">
        <v>9</v>
      </c>
      <c r="P76" t="s">
        <v>35</v>
      </c>
      <c r="Q76">
        <v>2</v>
      </c>
      <c r="R76">
        <v>5</v>
      </c>
      <c r="S76">
        <v>1</v>
      </c>
      <c r="T76" t="s">
        <v>59</v>
      </c>
      <c r="U76" t="s">
        <v>37</v>
      </c>
      <c r="V76">
        <v>0</v>
      </c>
      <c r="W76">
        <v>1</v>
      </c>
      <c r="X76" t="s">
        <v>49</v>
      </c>
      <c r="Y76" t="s">
        <v>60</v>
      </c>
      <c r="Z76" t="s">
        <v>61</v>
      </c>
      <c r="AA76" s="2">
        <v>45375</v>
      </c>
      <c r="AB76" t="b">
        <v>1</v>
      </c>
      <c r="AC76" t="b">
        <v>1</v>
      </c>
      <c r="AD76" t="s">
        <v>52</v>
      </c>
      <c r="AE76" t="s">
        <v>67</v>
      </c>
      <c r="AF76">
        <v>1</v>
      </c>
    </row>
    <row r="77" spans="1:32" x14ac:dyDescent="0.25">
      <c r="A77" t="s">
        <v>238</v>
      </c>
      <c r="B77">
        <v>75</v>
      </c>
      <c r="C77">
        <v>37</v>
      </c>
      <c r="D77" t="str">
        <f>IF(tbl_Original[[#This Row],[Gender2]]="Female","Female",IF(tbl_Original[[#This Row],[Gender2]]="Male","Male","Other"))</f>
        <v>Male</v>
      </c>
      <c r="E77" t="s">
        <v>43</v>
      </c>
      <c r="F77" t="s">
        <v>30</v>
      </c>
      <c r="G77" t="s">
        <v>76</v>
      </c>
      <c r="H77" t="s">
        <v>45</v>
      </c>
      <c r="I77" t="s">
        <v>44</v>
      </c>
      <c r="J77" t="str">
        <f>PROPER(TRIM(CLEAN(tbl_Original[[#This Row],[Column1]])))</f>
        <v>Tocoa</v>
      </c>
      <c r="K77" t="s">
        <v>239</v>
      </c>
      <c r="L77" t="s">
        <v>239</v>
      </c>
      <c r="M77" t="s">
        <v>117</v>
      </c>
      <c r="N77" s="1">
        <v>298.38</v>
      </c>
      <c r="O77">
        <v>4</v>
      </c>
      <c r="P77" t="s">
        <v>35</v>
      </c>
      <c r="Q77">
        <v>3</v>
      </c>
      <c r="R77">
        <v>4</v>
      </c>
      <c r="S77">
        <v>2</v>
      </c>
      <c r="T77" t="s">
        <v>44</v>
      </c>
      <c r="U77" t="s">
        <v>85</v>
      </c>
      <c r="V77">
        <v>0</v>
      </c>
      <c r="W77">
        <v>2</v>
      </c>
      <c r="X77" t="s">
        <v>59</v>
      </c>
      <c r="Y77" t="s">
        <v>38</v>
      </c>
      <c r="Z77" t="s">
        <v>86</v>
      </c>
      <c r="AA77" s="2">
        <v>45409</v>
      </c>
      <c r="AB77" t="b">
        <v>0</v>
      </c>
      <c r="AC77" t="b">
        <v>1</v>
      </c>
      <c r="AD77" t="s">
        <v>40</v>
      </c>
      <c r="AE77" t="s">
        <v>53</v>
      </c>
      <c r="AF77">
        <v>3</v>
      </c>
    </row>
    <row r="78" spans="1:32" x14ac:dyDescent="0.25">
      <c r="A78" t="s">
        <v>240</v>
      </c>
      <c r="B78">
        <v>76</v>
      </c>
      <c r="C78">
        <v>36</v>
      </c>
      <c r="D78" t="str">
        <f>IF(tbl_Original[[#This Row],[Gender2]]="Female","Female",IF(tbl_Original[[#This Row],[Gender2]]="Male","Male","Other"))</f>
        <v>Male</v>
      </c>
      <c r="E78" t="s">
        <v>43</v>
      </c>
      <c r="F78" t="s">
        <v>44</v>
      </c>
      <c r="G78" t="s">
        <v>76</v>
      </c>
      <c r="H78" t="s">
        <v>45</v>
      </c>
      <c r="I78" t="s">
        <v>44</v>
      </c>
      <c r="J78" t="str">
        <f>PROPER(TRIM(CLEAN(tbl_Original[[#This Row],[Column1]])))</f>
        <v>Bayan Tuohai</v>
      </c>
      <c r="K78" t="s">
        <v>241</v>
      </c>
      <c r="L78" t="s">
        <v>241</v>
      </c>
      <c r="M78" t="s">
        <v>183</v>
      </c>
      <c r="N78" s="1">
        <v>111.7</v>
      </c>
      <c r="O78">
        <v>6</v>
      </c>
      <c r="P78" t="s">
        <v>78</v>
      </c>
      <c r="Q78">
        <v>4</v>
      </c>
      <c r="R78">
        <v>5</v>
      </c>
      <c r="S78">
        <v>0</v>
      </c>
      <c r="T78" t="s">
        <v>49</v>
      </c>
      <c r="U78" t="s">
        <v>37</v>
      </c>
      <c r="V78">
        <v>2</v>
      </c>
      <c r="W78">
        <v>5</v>
      </c>
      <c r="X78" t="s">
        <v>44</v>
      </c>
      <c r="Y78" t="s">
        <v>38</v>
      </c>
      <c r="Z78" t="s">
        <v>39</v>
      </c>
      <c r="AA78" s="2">
        <v>45603</v>
      </c>
      <c r="AB78" t="b">
        <v>0</v>
      </c>
      <c r="AC78" t="b">
        <v>0</v>
      </c>
      <c r="AD78" t="s">
        <v>74</v>
      </c>
      <c r="AE78" t="s">
        <v>53</v>
      </c>
      <c r="AF78">
        <v>7</v>
      </c>
    </row>
    <row r="79" spans="1:32" x14ac:dyDescent="0.25">
      <c r="A79" t="s">
        <v>242</v>
      </c>
      <c r="B79">
        <v>77</v>
      </c>
      <c r="C79">
        <v>34</v>
      </c>
      <c r="D79" t="str">
        <f>IF(tbl_Original[[#This Row],[Gender2]]="Female","Female",IF(tbl_Original[[#This Row],[Gender2]]="Male","Male","Other"))</f>
        <v>Male</v>
      </c>
      <c r="E79" t="s">
        <v>43</v>
      </c>
      <c r="F79" t="s">
        <v>30</v>
      </c>
      <c r="G79" t="s">
        <v>31</v>
      </c>
      <c r="H79" t="s">
        <v>32</v>
      </c>
      <c r="I79" t="s">
        <v>30</v>
      </c>
      <c r="J79" t="str">
        <f>PROPER(TRIM(CLEAN(tbl_Original[[#This Row],[Column1]])))</f>
        <v>Parumasan</v>
      </c>
      <c r="K79" t="s">
        <v>243</v>
      </c>
      <c r="L79" t="s">
        <v>243</v>
      </c>
      <c r="M79" t="s">
        <v>183</v>
      </c>
      <c r="N79" s="1">
        <v>373.69</v>
      </c>
      <c r="O79">
        <v>10</v>
      </c>
      <c r="P79" t="s">
        <v>78</v>
      </c>
      <c r="Q79">
        <v>3</v>
      </c>
      <c r="R79">
        <v>2</v>
      </c>
      <c r="S79">
        <v>2</v>
      </c>
      <c r="T79" t="s">
        <v>49</v>
      </c>
      <c r="U79" t="s">
        <v>50</v>
      </c>
      <c r="V79">
        <v>1</v>
      </c>
      <c r="W79">
        <v>8</v>
      </c>
      <c r="X79" t="s">
        <v>36</v>
      </c>
      <c r="Y79" t="s">
        <v>38</v>
      </c>
      <c r="Z79" t="s">
        <v>39</v>
      </c>
      <c r="AA79" s="2">
        <v>45630</v>
      </c>
      <c r="AB79" t="b">
        <v>0</v>
      </c>
      <c r="AC79" t="b">
        <v>1</v>
      </c>
      <c r="AD79" t="s">
        <v>62</v>
      </c>
      <c r="AE79" t="s">
        <v>67</v>
      </c>
      <c r="AF79">
        <v>14</v>
      </c>
    </row>
    <row r="80" spans="1:32" x14ac:dyDescent="0.25">
      <c r="A80" t="s">
        <v>244</v>
      </c>
      <c r="B80">
        <v>78</v>
      </c>
      <c r="C80">
        <v>37</v>
      </c>
      <c r="D80" t="str">
        <f>IF(tbl_Original[[#This Row],[Gender2]]="Female","Female",IF(tbl_Original[[#This Row],[Gender2]]="Male","Male","Other"))</f>
        <v>Male</v>
      </c>
      <c r="E80" t="s">
        <v>43</v>
      </c>
      <c r="F80" t="s">
        <v>44</v>
      </c>
      <c r="G80" t="s">
        <v>69</v>
      </c>
      <c r="H80" t="s">
        <v>56</v>
      </c>
      <c r="I80" t="s">
        <v>30</v>
      </c>
      <c r="J80" t="str">
        <f>PROPER(TRIM(CLEAN(tbl_Original[[#This Row],[Column1]])))</f>
        <v>Karpogory</v>
      </c>
      <c r="K80" t="s">
        <v>245</v>
      </c>
      <c r="L80" t="s">
        <v>245</v>
      </c>
      <c r="M80" t="s">
        <v>246</v>
      </c>
      <c r="N80" s="1">
        <v>354.87</v>
      </c>
      <c r="O80">
        <v>5</v>
      </c>
      <c r="P80" t="s">
        <v>48</v>
      </c>
      <c r="Q80">
        <v>1</v>
      </c>
      <c r="R80">
        <v>1</v>
      </c>
      <c r="S80">
        <v>0</v>
      </c>
      <c r="T80" t="s">
        <v>36</v>
      </c>
      <c r="U80" t="s">
        <v>50</v>
      </c>
      <c r="V80">
        <v>2</v>
      </c>
      <c r="W80">
        <v>4</v>
      </c>
      <c r="X80" t="s">
        <v>36</v>
      </c>
      <c r="Y80" t="s">
        <v>79</v>
      </c>
      <c r="Z80" t="s">
        <v>86</v>
      </c>
      <c r="AA80" s="2">
        <v>45400</v>
      </c>
      <c r="AB80" t="b">
        <v>0</v>
      </c>
      <c r="AC80" t="b">
        <v>1</v>
      </c>
      <c r="AD80" t="s">
        <v>74</v>
      </c>
      <c r="AE80" t="s">
        <v>67</v>
      </c>
      <c r="AF80">
        <v>12</v>
      </c>
    </row>
    <row r="81" spans="1:32" x14ac:dyDescent="0.25">
      <c r="A81" t="s">
        <v>247</v>
      </c>
      <c r="B81">
        <v>79</v>
      </c>
      <c r="C81">
        <v>18</v>
      </c>
      <c r="D81" t="str">
        <f>IF(tbl_Original[[#This Row],[Gender2]]="Female","Female",IF(tbl_Original[[#This Row],[Gender2]]="Male","Male","Other"))</f>
        <v>Female</v>
      </c>
      <c r="E81" t="s">
        <v>29</v>
      </c>
      <c r="F81" t="s">
        <v>30</v>
      </c>
      <c r="G81" t="s">
        <v>69</v>
      </c>
      <c r="H81" t="s">
        <v>32</v>
      </c>
      <c r="I81" t="s">
        <v>44</v>
      </c>
      <c r="J81" t="str">
        <f>PROPER(TRIM(CLEAN(tbl_Original[[#This Row],[Column1]])))</f>
        <v>Shahzadpur</v>
      </c>
      <c r="K81" t="s">
        <v>2303</v>
      </c>
      <c r="L81" t="s">
        <v>248</v>
      </c>
      <c r="M81" t="s">
        <v>93</v>
      </c>
      <c r="N81" s="1">
        <v>214.48</v>
      </c>
      <c r="O81">
        <v>2</v>
      </c>
      <c r="P81" t="s">
        <v>78</v>
      </c>
      <c r="Q81">
        <v>4</v>
      </c>
      <c r="R81">
        <v>2</v>
      </c>
      <c r="S81">
        <v>2</v>
      </c>
      <c r="T81" t="s">
        <v>36</v>
      </c>
      <c r="U81" t="s">
        <v>85</v>
      </c>
      <c r="V81">
        <v>1</v>
      </c>
      <c r="W81">
        <v>3</v>
      </c>
      <c r="X81" t="s">
        <v>36</v>
      </c>
      <c r="Y81" t="s">
        <v>38</v>
      </c>
      <c r="Z81" t="s">
        <v>86</v>
      </c>
      <c r="AA81" s="2">
        <v>45403</v>
      </c>
      <c r="AB81" t="b">
        <v>1</v>
      </c>
      <c r="AC81" t="b">
        <v>1</v>
      </c>
      <c r="AD81" t="s">
        <v>52</v>
      </c>
      <c r="AE81" t="s">
        <v>67</v>
      </c>
      <c r="AF81">
        <v>2</v>
      </c>
    </row>
    <row r="82" spans="1:32" x14ac:dyDescent="0.25">
      <c r="A82" t="s">
        <v>249</v>
      </c>
      <c r="B82">
        <v>80</v>
      </c>
      <c r="C82">
        <v>20</v>
      </c>
      <c r="D82" t="str">
        <f>IF(tbl_Original[[#This Row],[Gender2]]="Female","Female",IF(tbl_Original[[#This Row],[Gender2]]="Male","Male","Other"))</f>
        <v>Male</v>
      </c>
      <c r="E82" t="s">
        <v>43</v>
      </c>
      <c r="F82" t="s">
        <v>44</v>
      </c>
      <c r="G82" t="s">
        <v>76</v>
      </c>
      <c r="H82" t="s">
        <v>32</v>
      </c>
      <c r="I82" t="s">
        <v>30</v>
      </c>
      <c r="J82" t="str">
        <f>PROPER(TRIM(CLEAN(tbl_Original[[#This Row],[Column1]])))</f>
        <v>Muaratiga</v>
      </c>
      <c r="K82" t="s">
        <v>250</v>
      </c>
      <c r="L82" t="s">
        <v>250</v>
      </c>
      <c r="M82" t="s">
        <v>120</v>
      </c>
      <c r="N82" s="1">
        <v>399.58</v>
      </c>
      <c r="O82">
        <v>6</v>
      </c>
      <c r="P82" t="s">
        <v>48</v>
      </c>
      <c r="Q82">
        <v>3</v>
      </c>
      <c r="R82">
        <v>4</v>
      </c>
      <c r="S82">
        <v>0</v>
      </c>
      <c r="T82" t="s">
        <v>36</v>
      </c>
      <c r="U82" t="s">
        <v>85</v>
      </c>
      <c r="V82">
        <v>1</v>
      </c>
      <c r="W82">
        <v>8</v>
      </c>
      <c r="X82" t="s">
        <v>59</v>
      </c>
      <c r="Y82" t="s">
        <v>38</v>
      </c>
      <c r="Z82" t="s">
        <v>66</v>
      </c>
      <c r="AA82" s="2">
        <v>45560</v>
      </c>
      <c r="AB82" t="b">
        <v>1</v>
      </c>
      <c r="AC82" t="b">
        <v>0</v>
      </c>
      <c r="AD82" t="s">
        <v>40</v>
      </c>
      <c r="AE82" t="s">
        <v>53</v>
      </c>
      <c r="AF82">
        <v>7</v>
      </c>
    </row>
    <row r="83" spans="1:32" x14ac:dyDescent="0.25">
      <c r="A83" t="s">
        <v>251</v>
      </c>
      <c r="B83">
        <v>81</v>
      </c>
      <c r="C83">
        <v>27</v>
      </c>
      <c r="D83" t="str">
        <f>IF(tbl_Original[[#This Row],[Gender2]]="Female","Female",IF(tbl_Original[[#This Row],[Gender2]]="Male","Male","Other"))</f>
        <v>Female</v>
      </c>
      <c r="E83" t="s">
        <v>29</v>
      </c>
      <c r="F83" t="s">
        <v>44</v>
      </c>
      <c r="G83" t="s">
        <v>69</v>
      </c>
      <c r="H83" t="s">
        <v>45</v>
      </c>
      <c r="I83" t="s">
        <v>30</v>
      </c>
      <c r="J83" t="str">
        <f>PROPER(TRIM(CLEAN(tbl_Original[[#This Row],[Column1]])))</f>
        <v>Gjegjan</v>
      </c>
      <c r="K83" t="s">
        <v>252</v>
      </c>
      <c r="L83" t="s">
        <v>252</v>
      </c>
      <c r="M83" t="s">
        <v>98</v>
      </c>
      <c r="N83" s="1">
        <v>380.99</v>
      </c>
      <c r="O83">
        <v>7</v>
      </c>
      <c r="P83" t="s">
        <v>35</v>
      </c>
      <c r="Q83">
        <v>1</v>
      </c>
      <c r="R83">
        <v>2</v>
      </c>
      <c r="S83">
        <v>1</v>
      </c>
      <c r="T83" t="s">
        <v>59</v>
      </c>
      <c r="U83" t="s">
        <v>37</v>
      </c>
      <c r="V83">
        <v>0</v>
      </c>
      <c r="W83">
        <v>1</v>
      </c>
      <c r="X83" t="s">
        <v>49</v>
      </c>
      <c r="Y83" t="s">
        <v>79</v>
      </c>
      <c r="Z83" t="s">
        <v>86</v>
      </c>
      <c r="AA83" s="2">
        <v>45635</v>
      </c>
      <c r="AB83" t="b">
        <v>1</v>
      </c>
      <c r="AC83" t="b">
        <v>1</v>
      </c>
      <c r="AD83" t="s">
        <v>40</v>
      </c>
      <c r="AE83" t="s">
        <v>41</v>
      </c>
      <c r="AF83">
        <v>8</v>
      </c>
    </row>
    <row r="84" spans="1:32" x14ac:dyDescent="0.25">
      <c r="A84" t="s">
        <v>253</v>
      </c>
      <c r="B84">
        <v>82</v>
      </c>
      <c r="C84">
        <v>36</v>
      </c>
      <c r="D84" t="str">
        <f>IF(tbl_Original[[#This Row],[Gender2]]="Female","Female",IF(tbl_Original[[#This Row],[Gender2]]="Male","Male","Other"))</f>
        <v>Male</v>
      </c>
      <c r="E84" t="s">
        <v>43</v>
      </c>
      <c r="F84" t="s">
        <v>30</v>
      </c>
      <c r="G84" t="s">
        <v>31</v>
      </c>
      <c r="H84" t="s">
        <v>45</v>
      </c>
      <c r="I84" t="s">
        <v>44</v>
      </c>
      <c r="J84" t="str">
        <f>PROPER(TRIM(CLEAN(tbl_Original[[#This Row],[Column1]])))</f>
        <v>Guacari</v>
      </c>
      <c r="K84" t="s">
        <v>2305</v>
      </c>
      <c r="L84" t="s">
        <v>254</v>
      </c>
      <c r="M84" t="s">
        <v>47</v>
      </c>
      <c r="N84" s="1">
        <v>79</v>
      </c>
      <c r="O84">
        <v>10</v>
      </c>
      <c r="P84" t="s">
        <v>78</v>
      </c>
      <c r="Q84">
        <v>1</v>
      </c>
      <c r="R84">
        <v>2</v>
      </c>
      <c r="S84">
        <v>1</v>
      </c>
      <c r="T84" t="s">
        <v>49</v>
      </c>
      <c r="U84" t="s">
        <v>85</v>
      </c>
      <c r="V84">
        <v>2</v>
      </c>
      <c r="W84">
        <v>6</v>
      </c>
      <c r="X84" t="s">
        <v>59</v>
      </c>
      <c r="Y84" t="s">
        <v>60</v>
      </c>
      <c r="Z84" t="s">
        <v>86</v>
      </c>
      <c r="AA84" s="2">
        <v>45549</v>
      </c>
      <c r="AB84" t="b">
        <v>0</v>
      </c>
      <c r="AC84" t="b">
        <v>1</v>
      </c>
      <c r="AD84" t="s">
        <v>74</v>
      </c>
      <c r="AE84" t="s">
        <v>53</v>
      </c>
      <c r="AF84">
        <v>7</v>
      </c>
    </row>
    <row r="85" spans="1:32" x14ac:dyDescent="0.25">
      <c r="A85" t="s">
        <v>255</v>
      </c>
      <c r="B85">
        <v>83</v>
      </c>
      <c r="C85">
        <v>46</v>
      </c>
      <c r="D85" t="str">
        <f>IF(tbl_Original[[#This Row],[Gender2]]="Female","Female",IF(tbl_Original[[#This Row],[Gender2]]="Male","Male","Other"))</f>
        <v>Female</v>
      </c>
      <c r="E85" t="s">
        <v>29</v>
      </c>
      <c r="F85" t="s">
        <v>30</v>
      </c>
      <c r="G85" t="s">
        <v>31</v>
      </c>
      <c r="H85" t="s">
        <v>32</v>
      </c>
      <c r="I85" t="s">
        <v>30</v>
      </c>
      <c r="J85" t="str">
        <f>PROPER(TRIM(CLEAN(tbl_Original[[#This Row],[Column1]])))</f>
        <v>Pameungpeuk</v>
      </c>
      <c r="K85" t="s">
        <v>256</v>
      </c>
      <c r="L85" t="s">
        <v>256</v>
      </c>
      <c r="M85" t="s">
        <v>158</v>
      </c>
      <c r="N85" s="1">
        <v>113.88</v>
      </c>
      <c r="O85">
        <v>2</v>
      </c>
      <c r="P85" t="s">
        <v>78</v>
      </c>
      <c r="Q85">
        <v>5</v>
      </c>
      <c r="R85">
        <v>2</v>
      </c>
      <c r="S85">
        <v>2</v>
      </c>
      <c r="T85" t="s">
        <v>49</v>
      </c>
      <c r="U85" t="s">
        <v>50</v>
      </c>
      <c r="V85">
        <v>2</v>
      </c>
      <c r="W85">
        <v>4</v>
      </c>
      <c r="X85" t="s">
        <v>44</v>
      </c>
      <c r="Y85" t="s">
        <v>38</v>
      </c>
      <c r="Z85" t="s">
        <v>51</v>
      </c>
      <c r="AA85" s="2">
        <v>45380</v>
      </c>
      <c r="AB85" t="b">
        <v>0</v>
      </c>
      <c r="AC85" t="b">
        <v>0</v>
      </c>
      <c r="AD85" t="s">
        <v>52</v>
      </c>
      <c r="AE85" t="s">
        <v>67</v>
      </c>
      <c r="AF85">
        <v>9</v>
      </c>
    </row>
    <row r="86" spans="1:32" x14ac:dyDescent="0.25">
      <c r="A86" t="s">
        <v>257</v>
      </c>
      <c r="B86">
        <v>84</v>
      </c>
      <c r="C86">
        <v>26</v>
      </c>
      <c r="D86" t="str">
        <f>IF(tbl_Original[[#This Row],[Gender2]]="Female","Female",IF(tbl_Original[[#This Row],[Gender2]]="Male","Male","Other"))</f>
        <v>Male</v>
      </c>
      <c r="E86" t="s">
        <v>43</v>
      </c>
      <c r="F86" t="s">
        <v>30</v>
      </c>
      <c r="G86" t="s">
        <v>31</v>
      </c>
      <c r="H86" t="s">
        <v>45</v>
      </c>
      <c r="I86" t="s">
        <v>30</v>
      </c>
      <c r="J86" t="str">
        <f>PROPER(TRIM(CLEAN(tbl_Original[[#This Row],[Column1]])))</f>
        <v>Junshan</v>
      </c>
      <c r="K86" t="s">
        <v>258</v>
      </c>
      <c r="L86" t="s">
        <v>258</v>
      </c>
      <c r="M86" t="s">
        <v>194</v>
      </c>
      <c r="N86" s="1">
        <v>121.57</v>
      </c>
      <c r="O86">
        <v>4</v>
      </c>
      <c r="P86" t="s">
        <v>35</v>
      </c>
      <c r="Q86">
        <v>1</v>
      </c>
      <c r="R86">
        <v>5</v>
      </c>
      <c r="S86">
        <v>0</v>
      </c>
      <c r="T86" t="s">
        <v>44</v>
      </c>
      <c r="U86" t="s">
        <v>50</v>
      </c>
      <c r="V86">
        <v>0</v>
      </c>
      <c r="W86">
        <v>4</v>
      </c>
      <c r="X86" t="s">
        <v>44</v>
      </c>
      <c r="Y86" t="s">
        <v>79</v>
      </c>
      <c r="Z86" t="s">
        <v>66</v>
      </c>
      <c r="AA86" s="2">
        <v>45449</v>
      </c>
      <c r="AB86" t="b">
        <v>0</v>
      </c>
      <c r="AC86" t="b">
        <v>1</v>
      </c>
      <c r="AD86" t="s">
        <v>62</v>
      </c>
      <c r="AE86" t="s">
        <v>41</v>
      </c>
      <c r="AF86">
        <v>13</v>
      </c>
    </row>
    <row r="87" spans="1:32" x14ac:dyDescent="0.25">
      <c r="A87" t="s">
        <v>259</v>
      </c>
      <c r="B87">
        <v>85</v>
      </c>
      <c r="C87">
        <v>21</v>
      </c>
      <c r="D87" t="str">
        <f>IF(tbl_Original[[#This Row],[Gender2]]="Female","Female",IF(tbl_Original[[#This Row],[Gender2]]="Male","Male","Other"))</f>
        <v>Female</v>
      </c>
      <c r="E87" t="s">
        <v>29</v>
      </c>
      <c r="F87" t="s">
        <v>44</v>
      </c>
      <c r="G87" t="s">
        <v>76</v>
      </c>
      <c r="H87" t="s">
        <v>45</v>
      </c>
      <c r="I87" t="s">
        <v>30</v>
      </c>
      <c r="J87" t="str">
        <f>PROPER(TRIM(CLEAN(tbl_Original[[#This Row],[Column1]])))</f>
        <v>Lewotola</v>
      </c>
      <c r="K87" t="s">
        <v>260</v>
      </c>
      <c r="L87" t="s">
        <v>260</v>
      </c>
      <c r="M87" t="s">
        <v>142</v>
      </c>
      <c r="N87" s="1">
        <v>215.54</v>
      </c>
      <c r="O87">
        <v>11</v>
      </c>
      <c r="P87" t="s">
        <v>78</v>
      </c>
      <c r="Q87">
        <v>3</v>
      </c>
      <c r="R87">
        <v>1</v>
      </c>
      <c r="S87">
        <v>2</v>
      </c>
      <c r="T87" t="s">
        <v>59</v>
      </c>
      <c r="U87" t="s">
        <v>37</v>
      </c>
      <c r="V87">
        <v>2</v>
      </c>
      <c r="W87">
        <v>6</v>
      </c>
      <c r="X87" t="s">
        <v>44</v>
      </c>
      <c r="Y87" t="s">
        <v>79</v>
      </c>
      <c r="Z87" t="s">
        <v>39</v>
      </c>
      <c r="AA87" s="2">
        <v>45390</v>
      </c>
      <c r="AB87" t="b">
        <v>1</v>
      </c>
      <c r="AC87" t="b">
        <v>1</v>
      </c>
      <c r="AD87" t="s">
        <v>74</v>
      </c>
      <c r="AE87" t="s">
        <v>41</v>
      </c>
      <c r="AF87">
        <v>10</v>
      </c>
    </row>
    <row r="88" spans="1:32" x14ac:dyDescent="0.25">
      <c r="A88" t="s">
        <v>261</v>
      </c>
      <c r="B88">
        <v>86</v>
      </c>
      <c r="C88">
        <v>43</v>
      </c>
      <c r="D88" t="str">
        <f>IF(tbl_Original[[#This Row],[Gender2]]="Female","Female",IF(tbl_Original[[#This Row],[Gender2]]="Male","Male","Other"))</f>
        <v>Male</v>
      </c>
      <c r="E88" t="s">
        <v>43</v>
      </c>
      <c r="F88" t="s">
        <v>44</v>
      </c>
      <c r="G88" t="s">
        <v>31</v>
      </c>
      <c r="H88" t="s">
        <v>32</v>
      </c>
      <c r="I88" t="s">
        <v>44</v>
      </c>
      <c r="J88" t="str">
        <f>PROPER(TRIM(CLEAN(tbl_Original[[#This Row],[Column1]])))</f>
        <v>Laocheng</v>
      </c>
      <c r="K88" t="s">
        <v>262</v>
      </c>
      <c r="L88" t="s">
        <v>262</v>
      </c>
      <c r="M88" t="s">
        <v>71</v>
      </c>
      <c r="N88" s="1">
        <v>87.03</v>
      </c>
      <c r="O88">
        <v>10</v>
      </c>
      <c r="P88" t="s">
        <v>35</v>
      </c>
      <c r="Q88">
        <v>1</v>
      </c>
      <c r="R88">
        <v>1</v>
      </c>
      <c r="S88">
        <v>0</v>
      </c>
      <c r="T88" t="s">
        <v>59</v>
      </c>
      <c r="U88" t="s">
        <v>85</v>
      </c>
      <c r="V88">
        <v>1</v>
      </c>
      <c r="W88">
        <v>5</v>
      </c>
      <c r="X88" t="s">
        <v>44</v>
      </c>
      <c r="Y88" t="s">
        <v>79</v>
      </c>
      <c r="Z88" t="s">
        <v>51</v>
      </c>
      <c r="AA88" s="2">
        <v>45515</v>
      </c>
      <c r="AB88" t="b">
        <v>0</v>
      </c>
      <c r="AC88" t="b">
        <v>1</v>
      </c>
      <c r="AD88" t="s">
        <v>40</v>
      </c>
      <c r="AE88" t="s">
        <v>41</v>
      </c>
      <c r="AF88">
        <v>7</v>
      </c>
    </row>
    <row r="89" spans="1:32" x14ac:dyDescent="0.25">
      <c r="A89" t="s">
        <v>263</v>
      </c>
      <c r="B89">
        <v>87</v>
      </c>
      <c r="C89">
        <v>19</v>
      </c>
      <c r="D89" t="str">
        <f>IF(tbl_Original[[#This Row],[Gender2]]="Female","Female",IF(tbl_Original[[#This Row],[Gender2]]="Male","Male","Other"))</f>
        <v>Male</v>
      </c>
      <c r="E89" t="s">
        <v>43</v>
      </c>
      <c r="F89" t="s">
        <v>44</v>
      </c>
      <c r="G89" t="s">
        <v>76</v>
      </c>
      <c r="H89" t="s">
        <v>45</v>
      </c>
      <c r="I89" t="s">
        <v>44</v>
      </c>
      <c r="J89" t="str">
        <f>PROPER(TRIM(CLEAN(tbl_Original[[#This Row],[Column1]])))</f>
        <v>Guacari</v>
      </c>
      <c r="K89" t="s">
        <v>2305</v>
      </c>
      <c r="L89" t="s">
        <v>264</v>
      </c>
      <c r="M89" t="s">
        <v>194</v>
      </c>
      <c r="N89" s="1">
        <v>111.75</v>
      </c>
      <c r="O89">
        <v>4</v>
      </c>
      <c r="P89" t="s">
        <v>48</v>
      </c>
      <c r="Q89">
        <v>1</v>
      </c>
      <c r="R89">
        <v>4</v>
      </c>
      <c r="S89">
        <v>0</v>
      </c>
      <c r="T89" t="s">
        <v>44</v>
      </c>
      <c r="U89" t="s">
        <v>50</v>
      </c>
      <c r="V89">
        <v>1</v>
      </c>
      <c r="W89">
        <v>6</v>
      </c>
      <c r="X89" t="s">
        <v>44</v>
      </c>
      <c r="Y89" t="s">
        <v>38</v>
      </c>
      <c r="Z89" t="s">
        <v>61</v>
      </c>
      <c r="AA89" s="2">
        <v>45575</v>
      </c>
      <c r="AB89" t="b">
        <v>0</v>
      </c>
      <c r="AC89" t="b">
        <v>1</v>
      </c>
      <c r="AD89" t="s">
        <v>62</v>
      </c>
      <c r="AE89" t="s">
        <v>53</v>
      </c>
      <c r="AF89">
        <v>8</v>
      </c>
    </row>
    <row r="90" spans="1:32" x14ac:dyDescent="0.25">
      <c r="A90" t="s">
        <v>265</v>
      </c>
      <c r="B90">
        <v>88</v>
      </c>
      <c r="C90">
        <v>41</v>
      </c>
      <c r="D90" t="str">
        <f>IF(tbl_Original[[#This Row],[Gender2]]="Female","Female",IF(tbl_Original[[#This Row],[Gender2]]="Male","Male","Other"))</f>
        <v>Female</v>
      </c>
      <c r="E90" t="s">
        <v>29</v>
      </c>
      <c r="F90" t="s">
        <v>44</v>
      </c>
      <c r="G90" t="s">
        <v>69</v>
      </c>
      <c r="H90" t="s">
        <v>56</v>
      </c>
      <c r="I90" t="s">
        <v>44</v>
      </c>
      <c r="J90" t="str">
        <f>PROPER(TRIM(CLEAN(tbl_Original[[#This Row],[Column1]])))</f>
        <v>Sancang</v>
      </c>
      <c r="K90" t="s">
        <v>266</v>
      </c>
      <c r="L90" t="s">
        <v>266</v>
      </c>
      <c r="M90" t="s">
        <v>58</v>
      </c>
      <c r="N90" s="1">
        <v>136.19999999999999</v>
      </c>
      <c r="O90">
        <v>2</v>
      </c>
      <c r="P90" t="s">
        <v>35</v>
      </c>
      <c r="Q90">
        <v>3</v>
      </c>
      <c r="R90">
        <v>2</v>
      </c>
      <c r="S90">
        <v>2</v>
      </c>
      <c r="T90" t="s">
        <v>59</v>
      </c>
      <c r="U90" t="s">
        <v>50</v>
      </c>
      <c r="V90">
        <v>0</v>
      </c>
      <c r="W90">
        <v>1</v>
      </c>
      <c r="X90" t="s">
        <v>44</v>
      </c>
      <c r="Y90" t="s">
        <v>38</v>
      </c>
      <c r="Z90" t="s">
        <v>51</v>
      </c>
      <c r="AA90" s="2">
        <v>45458</v>
      </c>
      <c r="AB90" t="b">
        <v>1</v>
      </c>
      <c r="AC90" t="b">
        <v>1</v>
      </c>
      <c r="AD90" t="s">
        <v>40</v>
      </c>
      <c r="AE90" t="s">
        <v>67</v>
      </c>
      <c r="AF90">
        <v>9</v>
      </c>
    </row>
    <row r="91" spans="1:32" x14ac:dyDescent="0.25">
      <c r="A91" t="s">
        <v>267</v>
      </c>
      <c r="B91">
        <v>89</v>
      </c>
      <c r="C91">
        <v>48</v>
      </c>
      <c r="D91" t="str">
        <f>IF(tbl_Original[[#This Row],[Gender2]]="Female","Female",IF(tbl_Original[[#This Row],[Gender2]]="Male","Male","Other"))</f>
        <v>Male</v>
      </c>
      <c r="E91" t="s">
        <v>43</v>
      </c>
      <c r="F91" t="s">
        <v>30</v>
      </c>
      <c r="G91" t="s">
        <v>31</v>
      </c>
      <c r="H91" t="s">
        <v>45</v>
      </c>
      <c r="I91" t="s">
        <v>30</v>
      </c>
      <c r="J91" t="str">
        <f>PROPER(TRIM(CLEAN(tbl_Original[[#This Row],[Column1]])))</f>
        <v>Ndewel</v>
      </c>
      <c r="K91" t="s">
        <v>268</v>
      </c>
      <c r="L91" t="s">
        <v>268</v>
      </c>
      <c r="M91" t="s">
        <v>47</v>
      </c>
      <c r="N91" s="1">
        <v>439.31</v>
      </c>
      <c r="O91">
        <v>4</v>
      </c>
      <c r="P91" t="s">
        <v>48</v>
      </c>
      <c r="Q91">
        <v>3</v>
      </c>
      <c r="R91">
        <v>2</v>
      </c>
      <c r="S91">
        <v>1</v>
      </c>
      <c r="T91" t="s">
        <v>49</v>
      </c>
      <c r="U91" t="s">
        <v>85</v>
      </c>
      <c r="V91">
        <v>0</v>
      </c>
      <c r="W91">
        <v>6</v>
      </c>
      <c r="X91" t="s">
        <v>49</v>
      </c>
      <c r="Y91" t="s">
        <v>60</v>
      </c>
      <c r="Z91" t="s">
        <v>61</v>
      </c>
      <c r="AA91" s="2">
        <v>45515</v>
      </c>
      <c r="AB91" t="b">
        <v>0</v>
      </c>
      <c r="AC91" t="b">
        <v>1</v>
      </c>
      <c r="AD91" t="s">
        <v>52</v>
      </c>
      <c r="AE91" t="s">
        <v>41</v>
      </c>
      <c r="AF91">
        <v>7</v>
      </c>
    </row>
    <row r="92" spans="1:32" x14ac:dyDescent="0.25">
      <c r="A92" t="s">
        <v>269</v>
      </c>
      <c r="B92">
        <v>90</v>
      </c>
      <c r="C92">
        <v>19</v>
      </c>
      <c r="D92" t="str">
        <f>IF(tbl_Original[[#This Row],[Gender2]]="Female","Female",IF(tbl_Original[[#This Row],[Gender2]]="Male","Male","Other"))</f>
        <v>Female</v>
      </c>
      <c r="E92" t="s">
        <v>29</v>
      </c>
      <c r="F92" t="s">
        <v>30</v>
      </c>
      <c r="G92" t="s">
        <v>31</v>
      </c>
      <c r="H92" t="s">
        <v>32</v>
      </c>
      <c r="I92" t="s">
        <v>30</v>
      </c>
      <c r="J92" t="str">
        <f>PROPER(TRIM(CLEAN(tbl_Original[[#This Row],[Column1]])))</f>
        <v>San Patricio</v>
      </c>
      <c r="K92" t="s">
        <v>270</v>
      </c>
      <c r="L92" t="s">
        <v>270</v>
      </c>
      <c r="M92" t="s">
        <v>104</v>
      </c>
      <c r="N92" s="1">
        <v>194.93</v>
      </c>
      <c r="O92">
        <v>9</v>
      </c>
      <c r="P92" t="s">
        <v>78</v>
      </c>
      <c r="Q92">
        <v>4</v>
      </c>
      <c r="R92">
        <v>4</v>
      </c>
      <c r="S92">
        <v>1</v>
      </c>
      <c r="T92" t="s">
        <v>44</v>
      </c>
      <c r="U92" t="s">
        <v>37</v>
      </c>
      <c r="V92">
        <v>0</v>
      </c>
      <c r="W92">
        <v>4</v>
      </c>
      <c r="X92" t="s">
        <v>36</v>
      </c>
      <c r="Y92" t="s">
        <v>38</v>
      </c>
      <c r="Z92" t="s">
        <v>66</v>
      </c>
      <c r="AA92" s="2">
        <v>45379</v>
      </c>
      <c r="AB92" t="b">
        <v>1</v>
      </c>
      <c r="AC92" t="b">
        <v>1</v>
      </c>
      <c r="AD92" t="s">
        <v>62</v>
      </c>
      <c r="AE92" t="s">
        <v>41</v>
      </c>
      <c r="AF92">
        <v>5</v>
      </c>
    </row>
    <row r="93" spans="1:32" x14ac:dyDescent="0.25">
      <c r="A93" t="s">
        <v>271</v>
      </c>
      <c r="B93">
        <v>91</v>
      </c>
      <c r="C93">
        <v>29</v>
      </c>
      <c r="D93" t="str">
        <f>IF(tbl_Original[[#This Row],[Gender2]]="Female","Female",IF(tbl_Original[[#This Row],[Gender2]]="Male","Male","Other"))</f>
        <v>Male</v>
      </c>
      <c r="E93" t="s">
        <v>43</v>
      </c>
      <c r="F93" t="s">
        <v>30</v>
      </c>
      <c r="G93" t="s">
        <v>69</v>
      </c>
      <c r="H93" t="s">
        <v>56</v>
      </c>
      <c r="I93" t="s">
        <v>44</v>
      </c>
      <c r="J93" t="str">
        <f>PROPER(TRIM(CLEAN(tbl_Original[[#This Row],[Column1]])))</f>
        <v>Fengtai</v>
      </c>
      <c r="K93" t="s">
        <v>272</v>
      </c>
      <c r="L93" t="s">
        <v>272</v>
      </c>
      <c r="M93" t="s">
        <v>47</v>
      </c>
      <c r="N93" s="1">
        <v>377.67</v>
      </c>
      <c r="O93">
        <v>8</v>
      </c>
      <c r="P93" t="s">
        <v>78</v>
      </c>
      <c r="Q93">
        <v>5</v>
      </c>
      <c r="R93">
        <v>3</v>
      </c>
      <c r="S93">
        <v>0</v>
      </c>
      <c r="T93" t="s">
        <v>36</v>
      </c>
      <c r="U93" t="s">
        <v>85</v>
      </c>
      <c r="V93">
        <v>2</v>
      </c>
      <c r="W93">
        <v>1</v>
      </c>
      <c r="X93" t="s">
        <v>44</v>
      </c>
      <c r="Y93" t="s">
        <v>79</v>
      </c>
      <c r="Z93" t="s">
        <v>51</v>
      </c>
      <c r="AA93" s="2">
        <v>45425</v>
      </c>
      <c r="AB93" t="b">
        <v>1</v>
      </c>
      <c r="AC93" t="b">
        <v>0</v>
      </c>
      <c r="AD93" t="s">
        <v>40</v>
      </c>
      <c r="AE93" t="s">
        <v>41</v>
      </c>
      <c r="AF93">
        <v>14</v>
      </c>
    </row>
    <row r="94" spans="1:32" x14ac:dyDescent="0.25">
      <c r="A94" t="s">
        <v>273</v>
      </c>
      <c r="B94">
        <v>92</v>
      </c>
      <c r="C94">
        <v>26</v>
      </c>
      <c r="D94" t="str">
        <f>IF(tbl_Original[[#This Row],[Gender2]]="Female","Female",IF(tbl_Original[[#This Row],[Gender2]]="Male","Male","Other"))</f>
        <v>Other</v>
      </c>
      <c r="E94" t="s">
        <v>274</v>
      </c>
      <c r="F94" t="s">
        <v>44</v>
      </c>
      <c r="G94" t="s">
        <v>55</v>
      </c>
      <c r="H94" t="s">
        <v>56</v>
      </c>
      <c r="I94" t="s">
        <v>44</v>
      </c>
      <c r="J94" t="str">
        <f>PROPER(TRIM(CLEAN(tbl_Original[[#This Row],[Column1]])))</f>
        <v>Awrn Ad Daydah</v>
      </c>
      <c r="K94" t="s">
        <v>2279</v>
      </c>
      <c r="L94" t="s">
        <v>275</v>
      </c>
      <c r="M94" t="s">
        <v>188</v>
      </c>
      <c r="N94" s="1">
        <v>108.61</v>
      </c>
      <c r="O94">
        <v>10</v>
      </c>
      <c r="P94" t="s">
        <v>48</v>
      </c>
      <c r="Q94">
        <v>3</v>
      </c>
      <c r="R94">
        <v>2</v>
      </c>
      <c r="S94">
        <v>0</v>
      </c>
      <c r="T94" t="s">
        <v>36</v>
      </c>
      <c r="U94" t="s">
        <v>85</v>
      </c>
      <c r="V94">
        <v>0</v>
      </c>
      <c r="W94">
        <v>3</v>
      </c>
      <c r="X94" t="s">
        <v>59</v>
      </c>
      <c r="Y94" t="s">
        <v>60</v>
      </c>
      <c r="Z94" t="s">
        <v>86</v>
      </c>
      <c r="AA94" s="2">
        <v>45619</v>
      </c>
      <c r="AB94" t="b">
        <v>1</v>
      </c>
      <c r="AC94" t="b">
        <v>1</v>
      </c>
      <c r="AD94" t="s">
        <v>40</v>
      </c>
      <c r="AE94" t="s">
        <v>41</v>
      </c>
      <c r="AF94">
        <v>14</v>
      </c>
    </row>
    <row r="95" spans="1:32" x14ac:dyDescent="0.25">
      <c r="A95" t="s">
        <v>276</v>
      </c>
      <c r="B95">
        <v>93</v>
      </c>
      <c r="C95">
        <v>20</v>
      </c>
      <c r="D95" t="str">
        <f>IF(tbl_Original[[#This Row],[Gender2]]="Female","Female",IF(tbl_Original[[#This Row],[Gender2]]="Male","Male","Other"))</f>
        <v>Female</v>
      </c>
      <c r="E95" t="s">
        <v>29</v>
      </c>
      <c r="F95" t="s">
        <v>30</v>
      </c>
      <c r="G95" t="s">
        <v>31</v>
      </c>
      <c r="H95" t="s">
        <v>32</v>
      </c>
      <c r="I95" t="s">
        <v>30</v>
      </c>
      <c r="J95" t="str">
        <f>PROPER(TRIM(CLEAN(tbl_Original[[#This Row],[Column1]])))</f>
        <v>Magdalena</v>
      </c>
      <c r="K95" t="s">
        <v>277</v>
      </c>
      <c r="L95" t="s">
        <v>277</v>
      </c>
      <c r="M95" t="s">
        <v>104</v>
      </c>
      <c r="N95" s="1">
        <v>366.77</v>
      </c>
      <c r="O95">
        <v>7</v>
      </c>
      <c r="P95" t="s">
        <v>35</v>
      </c>
      <c r="Q95">
        <v>4</v>
      </c>
      <c r="R95">
        <v>3</v>
      </c>
      <c r="S95">
        <v>2</v>
      </c>
      <c r="T95" t="s">
        <v>59</v>
      </c>
      <c r="U95" t="s">
        <v>50</v>
      </c>
      <c r="V95">
        <v>0</v>
      </c>
      <c r="W95">
        <v>9</v>
      </c>
      <c r="X95" t="s">
        <v>36</v>
      </c>
      <c r="Y95" t="s">
        <v>60</v>
      </c>
      <c r="Z95" t="s">
        <v>61</v>
      </c>
      <c r="AA95" s="2">
        <v>45553</v>
      </c>
      <c r="AB95" t="b">
        <v>0</v>
      </c>
      <c r="AC95" t="b">
        <v>0</v>
      </c>
      <c r="AD95" t="s">
        <v>62</v>
      </c>
      <c r="AE95" t="s">
        <v>53</v>
      </c>
      <c r="AF95">
        <v>1</v>
      </c>
    </row>
    <row r="96" spans="1:32" x14ac:dyDescent="0.25">
      <c r="A96" t="s">
        <v>278</v>
      </c>
      <c r="B96">
        <v>94</v>
      </c>
      <c r="C96">
        <v>31</v>
      </c>
      <c r="D96" t="str">
        <f>IF(tbl_Original[[#This Row],[Gender2]]="Female","Female",IF(tbl_Original[[#This Row],[Gender2]]="Male","Male","Other"))</f>
        <v>Female</v>
      </c>
      <c r="E96" t="s">
        <v>29</v>
      </c>
      <c r="F96" t="s">
        <v>44</v>
      </c>
      <c r="G96" t="s">
        <v>76</v>
      </c>
      <c r="H96" t="s">
        <v>56</v>
      </c>
      <c r="I96" t="s">
        <v>30</v>
      </c>
      <c r="J96" t="str">
        <f>PROPER(TRIM(CLEAN(tbl_Original[[#This Row],[Column1]])))</f>
        <v>Lenica</v>
      </c>
      <c r="K96" t="s">
        <v>2146</v>
      </c>
      <c r="L96" t="s">
        <v>279</v>
      </c>
      <c r="M96" t="s">
        <v>246</v>
      </c>
      <c r="N96" s="1">
        <v>178.04</v>
      </c>
      <c r="O96">
        <v>5</v>
      </c>
      <c r="P96" t="s">
        <v>48</v>
      </c>
      <c r="Q96">
        <v>5</v>
      </c>
      <c r="R96">
        <v>1</v>
      </c>
      <c r="S96">
        <v>2</v>
      </c>
      <c r="T96" t="s">
        <v>49</v>
      </c>
      <c r="U96" t="s">
        <v>37</v>
      </c>
      <c r="V96">
        <v>0</v>
      </c>
      <c r="W96">
        <v>5</v>
      </c>
      <c r="X96" t="s">
        <v>44</v>
      </c>
      <c r="Y96" t="s">
        <v>38</v>
      </c>
      <c r="Z96" t="s">
        <v>39</v>
      </c>
      <c r="AA96" s="2">
        <v>45489</v>
      </c>
      <c r="AB96" t="b">
        <v>0</v>
      </c>
      <c r="AC96" t="b">
        <v>0</v>
      </c>
      <c r="AD96" t="s">
        <v>40</v>
      </c>
      <c r="AE96" t="s">
        <v>41</v>
      </c>
      <c r="AF96">
        <v>12</v>
      </c>
    </row>
    <row r="97" spans="1:32" x14ac:dyDescent="0.25">
      <c r="A97" t="s">
        <v>280</v>
      </c>
      <c r="B97">
        <v>95</v>
      </c>
      <c r="C97">
        <v>23</v>
      </c>
      <c r="D97" t="str">
        <f>IF(tbl_Original[[#This Row],[Gender2]]="Female","Female",IF(tbl_Original[[#This Row],[Gender2]]="Male","Male","Other"))</f>
        <v>Female</v>
      </c>
      <c r="E97" t="s">
        <v>29</v>
      </c>
      <c r="F97" t="s">
        <v>44</v>
      </c>
      <c r="G97" t="s">
        <v>76</v>
      </c>
      <c r="H97" t="s">
        <v>45</v>
      </c>
      <c r="I97" t="s">
        <v>44</v>
      </c>
      <c r="J97" t="str">
        <f>PROPER(TRIM(CLEAN(tbl_Original[[#This Row],[Column1]])))</f>
        <v>Hinlayagan Ilaud</v>
      </c>
      <c r="K97" t="s">
        <v>281</v>
      </c>
      <c r="L97" t="s">
        <v>281</v>
      </c>
      <c r="M97" t="s">
        <v>126</v>
      </c>
      <c r="N97" s="1">
        <v>461.09</v>
      </c>
      <c r="O97">
        <v>8</v>
      </c>
      <c r="P97" t="s">
        <v>78</v>
      </c>
      <c r="Q97">
        <v>4</v>
      </c>
      <c r="R97">
        <v>1</v>
      </c>
      <c r="S97">
        <v>0</v>
      </c>
      <c r="T97" t="s">
        <v>49</v>
      </c>
      <c r="U97" t="s">
        <v>37</v>
      </c>
      <c r="V97">
        <v>0</v>
      </c>
      <c r="W97">
        <v>4</v>
      </c>
      <c r="X97" t="s">
        <v>49</v>
      </c>
      <c r="Y97" t="s">
        <v>60</v>
      </c>
      <c r="Z97" t="s">
        <v>61</v>
      </c>
      <c r="AA97" s="2">
        <v>45507</v>
      </c>
      <c r="AB97" t="b">
        <v>1</v>
      </c>
      <c r="AC97" t="b">
        <v>0</v>
      </c>
      <c r="AD97" t="s">
        <v>40</v>
      </c>
      <c r="AE97" t="s">
        <v>41</v>
      </c>
      <c r="AF97">
        <v>8</v>
      </c>
    </row>
    <row r="98" spans="1:32" x14ac:dyDescent="0.25">
      <c r="A98" t="s">
        <v>282</v>
      </c>
      <c r="B98">
        <v>96</v>
      </c>
      <c r="C98">
        <v>19</v>
      </c>
      <c r="D98" t="str">
        <f>IF(tbl_Original[[#This Row],[Gender2]]="Female","Female",IF(tbl_Original[[#This Row],[Gender2]]="Male","Male","Other"))</f>
        <v>Female</v>
      </c>
      <c r="E98" t="s">
        <v>29</v>
      </c>
      <c r="F98" t="s">
        <v>44</v>
      </c>
      <c r="G98" t="s">
        <v>55</v>
      </c>
      <c r="H98" t="s">
        <v>45</v>
      </c>
      <c r="I98" t="s">
        <v>30</v>
      </c>
      <c r="J98" t="str">
        <f>PROPER(TRIM(CLEAN(tbl_Original[[#This Row],[Column1]])))</f>
        <v>Forshaga</v>
      </c>
      <c r="K98" t="s">
        <v>283</v>
      </c>
      <c r="L98" t="s">
        <v>283</v>
      </c>
      <c r="M98" t="s">
        <v>107</v>
      </c>
      <c r="N98" s="1">
        <v>211.16</v>
      </c>
      <c r="O98">
        <v>5</v>
      </c>
      <c r="P98" t="s">
        <v>48</v>
      </c>
      <c r="Q98">
        <v>2</v>
      </c>
      <c r="R98">
        <v>3</v>
      </c>
      <c r="S98">
        <v>1</v>
      </c>
      <c r="T98" t="s">
        <v>44</v>
      </c>
      <c r="U98" t="s">
        <v>85</v>
      </c>
      <c r="V98">
        <v>0</v>
      </c>
      <c r="W98">
        <v>3</v>
      </c>
      <c r="X98" t="s">
        <v>36</v>
      </c>
      <c r="Y98" t="s">
        <v>60</v>
      </c>
      <c r="Z98" t="s">
        <v>51</v>
      </c>
      <c r="AA98" s="2">
        <v>45471</v>
      </c>
      <c r="AB98" t="b">
        <v>0</v>
      </c>
      <c r="AC98" t="b">
        <v>0</v>
      </c>
      <c r="AD98" t="s">
        <v>74</v>
      </c>
      <c r="AE98" t="s">
        <v>53</v>
      </c>
      <c r="AF98">
        <v>2</v>
      </c>
    </row>
    <row r="99" spans="1:32" x14ac:dyDescent="0.25">
      <c r="A99" t="s">
        <v>284</v>
      </c>
      <c r="B99">
        <v>97</v>
      </c>
      <c r="C99">
        <v>23</v>
      </c>
      <c r="D99" t="str">
        <f>IF(tbl_Original[[#This Row],[Gender2]]="Female","Female",IF(tbl_Original[[#This Row],[Gender2]]="Male","Male","Other"))</f>
        <v>Female</v>
      </c>
      <c r="E99" t="s">
        <v>29</v>
      </c>
      <c r="F99" t="s">
        <v>30</v>
      </c>
      <c r="G99" t="s">
        <v>69</v>
      </c>
      <c r="H99" t="s">
        <v>32</v>
      </c>
      <c r="I99" t="s">
        <v>44</v>
      </c>
      <c r="J99" t="str">
        <f>PROPER(TRIM(CLEAN(tbl_Original[[#This Row],[Column1]])))</f>
        <v>Rakszawa</v>
      </c>
      <c r="K99" t="s">
        <v>285</v>
      </c>
      <c r="L99" t="s">
        <v>285</v>
      </c>
      <c r="M99" t="s">
        <v>101</v>
      </c>
      <c r="N99" s="1">
        <v>421.95</v>
      </c>
      <c r="O99">
        <v>8</v>
      </c>
      <c r="P99" t="s">
        <v>35</v>
      </c>
      <c r="Q99">
        <v>3</v>
      </c>
      <c r="R99">
        <v>5</v>
      </c>
      <c r="S99">
        <v>0</v>
      </c>
      <c r="T99" t="s">
        <v>49</v>
      </c>
      <c r="U99" t="s">
        <v>50</v>
      </c>
      <c r="V99">
        <v>1</v>
      </c>
      <c r="W99">
        <v>1</v>
      </c>
      <c r="X99" t="s">
        <v>36</v>
      </c>
      <c r="Y99" t="s">
        <v>60</v>
      </c>
      <c r="Z99" t="s">
        <v>66</v>
      </c>
      <c r="AA99" s="2">
        <v>45369</v>
      </c>
      <c r="AB99" t="b">
        <v>0</v>
      </c>
      <c r="AC99" t="b">
        <v>1</v>
      </c>
      <c r="AD99" t="s">
        <v>40</v>
      </c>
      <c r="AE99" t="s">
        <v>41</v>
      </c>
      <c r="AF99">
        <v>7</v>
      </c>
    </row>
    <row r="100" spans="1:32" x14ac:dyDescent="0.25">
      <c r="A100" t="s">
        <v>286</v>
      </c>
      <c r="B100">
        <v>98</v>
      </c>
      <c r="C100">
        <v>49</v>
      </c>
      <c r="D100" t="str">
        <f>IF(tbl_Original[[#This Row],[Gender2]]="Female","Female",IF(tbl_Original[[#This Row],[Gender2]]="Male","Male","Other"))</f>
        <v>Female</v>
      </c>
      <c r="E100" t="s">
        <v>29</v>
      </c>
      <c r="F100" t="s">
        <v>30</v>
      </c>
      <c r="G100" t="s">
        <v>76</v>
      </c>
      <c r="H100" t="s">
        <v>32</v>
      </c>
      <c r="I100" t="s">
        <v>44</v>
      </c>
      <c r="J100" t="str">
        <f>PROPER(TRIM(CLEAN(tbl_Original[[#This Row],[Column1]])))</f>
        <v>Fengjiang</v>
      </c>
      <c r="K100" t="s">
        <v>287</v>
      </c>
      <c r="L100" t="s">
        <v>287</v>
      </c>
      <c r="M100" t="s">
        <v>71</v>
      </c>
      <c r="N100" s="1">
        <v>378.59</v>
      </c>
      <c r="O100">
        <v>5</v>
      </c>
      <c r="P100" t="s">
        <v>78</v>
      </c>
      <c r="Q100">
        <v>2</v>
      </c>
      <c r="R100">
        <v>1</v>
      </c>
      <c r="S100">
        <v>0</v>
      </c>
      <c r="T100" t="s">
        <v>36</v>
      </c>
      <c r="U100" t="s">
        <v>37</v>
      </c>
      <c r="V100">
        <v>0</v>
      </c>
      <c r="W100">
        <v>4</v>
      </c>
      <c r="X100" t="s">
        <v>44</v>
      </c>
      <c r="Y100" t="s">
        <v>79</v>
      </c>
      <c r="Z100" t="s">
        <v>66</v>
      </c>
      <c r="AA100" s="2">
        <v>45580</v>
      </c>
      <c r="AB100" t="b">
        <v>0</v>
      </c>
      <c r="AC100" t="b">
        <v>0</v>
      </c>
      <c r="AD100" t="s">
        <v>52</v>
      </c>
      <c r="AE100" t="s">
        <v>41</v>
      </c>
      <c r="AF100">
        <v>14</v>
      </c>
    </row>
    <row r="101" spans="1:32" x14ac:dyDescent="0.25">
      <c r="A101" t="s">
        <v>288</v>
      </c>
      <c r="B101">
        <v>99</v>
      </c>
      <c r="C101">
        <v>23</v>
      </c>
      <c r="D101" t="str">
        <f>IF(tbl_Original[[#This Row],[Gender2]]="Female","Female",IF(tbl_Original[[#This Row],[Gender2]]="Male","Male","Other"))</f>
        <v>Other</v>
      </c>
      <c r="E101" t="s">
        <v>190</v>
      </c>
      <c r="F101" t="s">
        <v>44</v>
      </c>
      <c r="G101" t="s">
        <v>76</v>
      </c>
      <c r="H101" t="s">
        <v>45</v>
      </c>
      <c r="I101" t="s">
        <v>44</v>
      </c>
      <c r="J101" t="str">
        <f>PROPER(TRIM(CLEAN(tbl_Original[[#This Row],[Column1]])))</f>
        <v>Jiangcun</v>
      </c>
      <c r="K101" t="s">
        <v>289</v>
      </c>
      <c r="L101" t="s">
        <v>289</v>
      </c>
      <c r="M101" t="s">
        <v>58</v>
      </c>
      <c r="N101" s="1">
        <v>268.93</v>
      </c>
      <c r="O101">
        <v>2</v>
      </c>
      <c r="P101" t="s">
        <v>35</v>
      </c>
      <c r="Q101">
        <v>5</v>
      </c>
      <c r="R101">
        <v>5</v>
      </c>
      <c r="S101">
        <v>1</v>
      </c>
      <c r="T101" t="s">
        <v>49</v>
      </c>
      <c r="U101" t="s">
        <v>85</v>
      </c>
      <c r="V101">
        <v>1</v>
      </c>
      <c r="W101">
        <v>3</v>
      </c>
      <c r="X101" t="s">
        <v>36</v>
      </c>
      <c r="Y101" t="s">
        <v>38</v>
      </c>
      <c r="Z101" t="s">
        <v>61</v>
      </c>
      <c r="AA101" s="2">
        <v>45619</v>
      </c>
      <c r="AB101" t="b">
        <v>0</v>
      </c>
      <c r="AC101" t="b">
        <v>0</v>
      </c>
      <c r="AD101" t="s">
        <v>62</v>
      </c>
      <c r="AE101" t="s">
        <v>67</v>
      </c>
      <c r="AF101">
        <v>8</v>
      </c>
    </row>
    <row r="102" spans="1:32" x14ac:dyDescent="0.25">
      <c r="A102" t="s">
        <v>290</v>
      </c>
      <c r="B102">
        <v>100</v>
      </c>
      <c r="C102">
        <v>42</v>
      </c>
      <c r="D102" t="str">
        <f>IF(tbl_Original[[#This Row],[Gender2]]="Female","Female",IF(tbl_Original[[#This Row],[Gender2]]="Male","Male","Other"))</f>
        <v>Male</v>
      </c>
      <c r="E102" t="s">
        <v>43</v>
      </c>
      <c r="F102" t="s">
        <v>30</v>
      </c>
      <c r="G102" t="s">
        <v>76</v>
      </c>
      <c r="H102" t="s">
        <v>32</v>
      </c>
      <c r="I102" t="s">
        <v>44</v>
      </c>
      <c r="J102" t="str">
        <f>PROPER(TRIM(CLEAN(tbl_Original[[#This Row],[Column1]])))</f>
        <v>Kuchi</v>
      </c>
      <c r="K102" t="s">
        <v>2280</v>
      </c>
      <c r="L102" t="s">
        <v>291</v>
      </c>
      <c r="M102" t="s">
        <v>104</v>
      </c>
      <c r="N102" s="1">
        <v>444.87</v>
      </c>
      <c r="O102">
        <v>11</v>
      </c>
      <c r="P102" t="s">
        <v>78</v>
      </c>
      <c r="Q102">
        <v>5</v>
      </c>
      <c r="R102">
        <v>4</v>
      </c>
      <c r="S102">
        <v>0</v>
      </c>
      <c r="T102" t="s">
        <v>49</v>
      </c>
      <c r="U102" t="s">
        <v>50</v>
      </c>
      <c r="V102">
        <v>1</v>
      </c>
      <c r="W102">
        <v>8</v>
      </c>
      <c r="X102" t="s">
        <v>59</v>
      </c>
      <c r="Y102" t="s">
        <v>79</v>
      </c>
      <c r="Z102" t="s">
        <v>66</v>
      </c>
      <c r="AA102" s="2">
        <v>45625</v>
      </c>
      <c r="AB102" t="b">
        <v>0</v>
      </c>
      <c r="AC102" t="b">
        <v>0</v>
      </c>
      <c r="AD102" t="s">
        <v>52</v>
      </c>
      <c r="AE102" t="s">
        <v>41</v>
      </c>
      <c r="AF102">
        <v>7</v>
      </c>
    </row>
    <row r="103" spans="1:32" x14ac:dyDescent="0.25">
      <c r="A103" t="s">
        <v>292</v>
      </c>
      <c r="B103">
        <v>101</v>
      </c>
      <c r="C103">
        <v>18</v>
      </c>
      <c r="D103" t="str">
        <f>IF(tbl_Original[[#This Row],[Gender2]]="Female","Female",IF(tbl_Original[[#This Row],[Gender2]]="Male","Male","Other"))</f>
        <v>Female</v>
      </c>
      <c r="E103" t="s">
        <v>29</v>
      </c>
      <c r="F103" t="s">
        <v>44</v>
      </c>
      <c r="G103" t="s">
        <v>69</v>
      </c>
      <c r="H103" t="s">
        <v>32</v>
      </c>
      <c r="I103" t="s">
        <v>44</v>
      </c>
      <c r="J103" t="str">
        <f>PROPER(TRIM(CLEAN(tbl_Original[[#This Row],[Column1]])))</f>
        <v>Novoukrainskiy</v>
      </c>
      <c r="K103" t="s">
        <v>293</v>
      </c>
      <c r="L103" t="s">
        <v>293</v>
      </c>
      <c r="M103" t="s">
        <v>188</v>
      </c>
      <c r="N103" s="1">
        <v>160.82</v>
      </c>
      <c r="O103">
        <v>7</v>
      </c>
      <c r="P103" t="s">
        <v>48</v>
      </c>
      <c r="Q103">
        <v>3</v>
      </c>
      <c r="R103">
        <v>1</v>
      </c>
      <c r="S103">
        <v>1</v>
      </c>
      <c r="T103" t="s">
        <v>44</v>
      </c>
      <c r="U103" t="s">
        <v>37</v>
      </c>
      <c r="V103">
        <v>0</v>
      </c>
      <c r="W103">
        <v>1</v>
      </c>
      <c r="X103" t="s">
        <v>44</v>
      </c>
      <c r="Y103" t="s">
        <v>60</v>
      </c>
      <c r="Z103" t="s">
        <v>86</v>
      </c>
      <c r="AA103" s="2">
        <v>45482</v>
      </c>
      <c r="AB103" t="b">
        <v>1</v>
      </c>
      <c r="AC103" t="b">
        <v>1</v>
      </c>
      <c r="AD103" t="s">
        <v>52</v>
      </c>
      <c r="AE103" t="s">
        <v>41</v>
      </c>
      <c r="AF103">
        <v>3</v>
      </c>
    </row>
    <row r="104" spans="1:32" x14ac:dyDescent="0.25">
      <c r="A104" t="s">
        <v>294</v>
      </c>
      <c r="B104">
        <v>102</v>
      </c>
      <c r="C104">
        <v>35</v>
      </c>
      <c r="D104" t="str">
        <f>IF(tbl_Original[[#This Row],[Gender2]]="Female","Female",IF(tbl_Original[[#This Row],[Gender2]]="Male","Male","Other"))</f>
        <v>Male</v>
      </c>
      <c r="E104" t="s">
        <v>43</v>
      </c>
      <c r="F104" t="s">
        <v>44</v>
      </c>
      <c r="G104" t="s">
        <v>55</v>
      </c>
      <c r="H104" t="s">
        <v>56</v>
      </c>
      <c r="I104" t="s">
        <v>30</v>
      </c>
      <c r="J104" t="str">
        <f>PROPER(TRIM(CLEAN(tbl_Original[[#This Row],[Column1]])))</f>
        <v>Acobambilla</v>
      </c>
      <c r="K104" t="s">
        <v>295</v>
      </c>
      <c r="L104" t="s">
        <v>295</v>
      </c>
      <c r="M104" t="s">
        <v>107</v>
      </c>
      <c r="N104" s="1">
        <v>494.18</v>
      </c>
      <c r="O104">
        <v>6</v>
      </c>
      <c r="P104" t="s">
        <v>35</v>
      </c>
      <c r="Q104">
        <v>4</v>
      </c>
      <c r="R104">
        <v>5</v>
      </c>
      <c r="S104">
        <v>1</v>
      </c>
      <c r="T104" t="s">
        <v>49</v>
      </c>
      <c r="U104" t="s">
        <v>50</v>
      </c>
      <c r="V104">
        <v>1</v>
      </c>
      <c r="W104">
        <v>2</v>
      </c>
      <c r="X104" t="s">
        <v>36</v>
      </c>
      <c r="Y104" t="s">
        <v>79</v>
      </c>
      <c r="Z104" t="s">
        <v>86</v>
      </c>
      <c r="AA104" s="2">
        <v>45507</v>
      </c>
      <c r="AB104" t="b">
        <v>0</v>
      </c>
      <c r="AC104" t="b">
        <v>0</v>
      </c>
      <c r="AD104" t="s">
        <v>40</v>
      </c>
      <c r="AE104" t="s">
        <v>53</v>
      </c>
      <c r="AF104">
        <v>14</v>
      </c>
    </row>
    <row r="105" spans="1:32" x14ac:dyDescent="0.25">
      <c r="A105" t="s">
        <v>296</v>
      </c>
      <c r="B105">
        <v>103</v>
      </c>
      <c r="C105">
        <v>22</v>
      </c>
      <c r="D105" t="str">
        <f>IF(tbl_Original[[#This Row],[Gender2]]="Female","Female",IF(tbl_Original[[#This Row],[Gender2]]="Male","Male","Other"))</f>
        <v>Male</v>
      </c>
      <c r="E105" t="s">
        <v>43</v>
      </c>
      <c r="F105" t="s">
        <v>30</v>
      </c>
      <c r="G105" t="s">
        <v>55</v>
      </c>
      <c r="H105" t="s">
        <v>32</v>
      </c>
      <c r="I105" t="s">
        <v>30</v>
      </c>
      <c r="J105" t="str">
        <f>PROPER(TRIM(CLEAN(tbl_Original[[#This Row],[Column1]])))</f>
        <v>Kyonju</v>
      </c>
      <c r="K105" t="s">
        <v>297</v>
      </c>
      <c r="L105" t="s">
        <v>297</v>
      </c>
      <c r="M105" t="s">
        <v>65</v>
      </c>
      <c r="N105" s="1">
        <v>177.05</v>
      </c>
      <c r="O105">
        <v>5</v>
      </c>
      <c r="P105" t="s">
        <v>78</v>
      </c>
      <c r="Q105">
        <v>3</v>
      </c>
      <c r="R105">
        <v>1</v>
      </c>
      <c r="S105">
        <v>1</v>
      </c>
      <c r="T105" t="s">
        <v>36</v>
      </c>
      <c r="U105" t="s">
        <v>37</v>
      </c>
      <c r="V105">
        <v>2</v>
      </c>
      <c r="W105">
        <v>1</v>
      </c>
      <c r="X105" t="s">
        <v>59</v>
      </c>
      <c r="Y105" t="s">
        <v>38</v>
      </c>
      <c r="Z105" t="s">
        <v>86</v>
      </c>
      <c r="AA105" s="2">
        <v>45630</v>
      </c>
      <c r="AB105" t="b">
        <v>1</v>
      </c>
      <c r="AC105" t="b">
        <v>1</v>
      </c>
      <c r="AD105" t="s">
        <v>62</v>
      </c>
      <c r="AE105" t="s">
        <v>53</v>
      </c>
      <c r="AF105">
        <v>1</v>
      </c>
    </row>
    <row r="106" spans="1:32" x14ac:dyDescent="0.25">
      <c r="A106" t="s">
        <v>298</v>
      </c>
      <c r="B106">
        <v>104</v>
      </c>
      <c r="C106">
        <v>28</v>
      </c>
      <c r="D106" t="str">
        <f>IF(tbl_Original[[#This Row],[Gender2]]="Female","Female",IF(tbl_Original[[#This Row],[Gender2]]="Male","Male","Other"))</f>
        <v>Female</v>
      </c>
      <c r="E106" t="s">
        <v>29</v>
      </c>
      <c r="F106" t="s">
        <v>30</v>
      </c>
      <c r="G106" t="s">
        <v>31</v>
      </c>
      <c r="H106" t="s">
        <v>56</v>
      </c>
      <c r="I106" t="s">
        <v>44</v>
      </c>
      <c r="J106" t="str">
        <f>PROPER(TRIM(CLEAN(tbl_Original[[#This Row],[Column1]])))</f>
        <v>Pomar</v>
      </c>
      <c r="K106" t="s">
        <v>299</v>
      </c>
      <c r="L106" t="s">
        <v>299</v>
      </c>
      <c r="M106" t="s">
        <v>47</v>
      </c>
      <c r="N106" s="1">
        <v>450.66</v>
      </c>
      <c r="O106">
        <v>7</v>
      </c>
      <c r="P106" t="s">
        <v>48</v>
      </c>
      <c r="Q106">
        <v>2</v>
      </c>
      <c r="R106">
        <v>5</v>
      </c>
      <c r="S106">
        <v>0</v>
      </c>
      <c r="T106" t="s">
        <v>44</v>
      </c>
      <c r="U106" t="s">
        <v>37</v>
      </c>
      <c r="V106">
        <v>2</v>
      </c>
      <c r="W106">
        <v>4</v>
      </c>
      <c r="X106" t="s">
        <v>49</v>
      </c>
      <c r="Y106" t="s">
        <v>38</v>
      </c>
      <c r="Z106" t="s">
        <v>39</v>
      </c>
      <c r="AA106" s="2">
        <v>45456</v>
      </c>
      <c r="AB106" t="b">
        <v>0</v>
      </c>
      <c r="AC106" t="b">
        <v>1</v>
      </c>
      <c r="AD106" t="s">
        <v>40</v>
      </c>
      <c r="AE106" t="s">
        <v>41</v>
      </c>
      <c r="AF106">
        <v>9</v>
      </c>
    </row>
    <row r="107" spans="1:32" x14ac:dyDescent="0.25">
      <c r="A107" t="s">
        <v>300</v>
      </c>
      <c r="B107">
        <v>105</v>
      </c>
      <c r="C107">
        <v>42</v>
      </c>
      <c r="D107" t="str">
        <f>IF(tbl_Original[[#This Row],[Gender2]]="Female","Female",IF(tbl_Original[[#This Row],[Gender2]]="Male","Male","Other"))</f>
        <v>Female</v>
      </c>
      <c r="E107" t="s">
        <v>29</v>
      </c>
      <c r="F107" t="s">
        <v>44</v>
      </c>
      <c r="G107" t="s">
        <v>31</v>
      </c>
      <c r="H107" t="s">
        <v>32</v>
      </c>
      <c r="I107" t="s">
        <v>30</v>
      </c>
      <c r="J107" t="str">
        <f>PROPER(TRIM(CLEAN(tbl_Original[[#This Row],[Column1]])))</f>
        <v>Zalan</v>
      </c>
      <c r="K107" t="s">
        <v>2147</v>
      </c>
      <c r="L107" t="s">
        <v>301</v>
      </c>
      <c r="M107" t="s">
        <v>135</v>
      </c>
      <c r="N107" s="1">
        <v>164.27</v>
      </c>
      <c r="O107">
        <v>6</v>
      </c>
      <c r="P107" t="s">
        <v>78</v>
      </c>
      <c r="Q107">
        <v>5</v>
      </c>
      <c r="R107">
        <v>3</v>
      </c>
      <c r="S107">
        <v>2</v>
      </c>
      <c r="T107" t="s">
        <v>44</v>
      </c>
      <c r="U107" t="s">
        <v>50</v>
      </c>
      <c r="V107">
        <v>2</v>
      </c>
      <c r="W107">
        <v>7</v>
      </c>
      <c r="X107" t="s">
        <v>59</v>
      </c>
      <c r="Y107" t="s">
        <v>79</v>
      </c>
      <c r="Z107" t="s">
        <v>51</v>
      </c>
      <c r="AA107" s="2">
        <v>45486</v>
      </c>
      <c r="AB107" t="b">
        <v>1</v>
      </c>
      <c r="AC107" t="b">
        <v>0</v>
      </c>
      <c r="AD107" t="s">
        <v>52</v>
      </c>
      <c r="AE107" t="s">
        <v>41</v>
      </c>
      <c r="AF107">
        <v>14</v>
      </c>
    </row>
    <row r="108" spans="1:32" x14ac:dyDescent="0.25">
      <c r="A108" t="s">
        <v>302</v>
      </c>
      <c r="B108">
        <v>106</v>
      </c>
      <c r="C108">
        <v>37</v>
      </c>
      <c r="D108" t="str">
        <f>IF(tbl_Original[[#This Row],[Gender2]]="Female","Female",IF(tbl_Original[[#This Row],[Gender2]]="Male","Male","Other"))</f>
        <v>Female</v>
      </c>
      <c r="E108" t="s">
        <v>29</v>
      </c>
      <c r="F108" t="s">
        <v>30</v>
      </c>
      <c r="G108" t="s">
        <v>69</v>
      </c>
      <c r="H108" t="s">
        <v>56</v>
      </c>
      <c r="I108" t="s">
        <v>44</v>
      </c>
      <c r="J108" t="str">
        <f>PROPER(TRIM(CLEAN(tbl_Original[[#This Row],[Column1]])))</f>
        <v>Trlaz</v>
      </c>
      <c r="K108" t="s">
        <v>2148</v>
      </c>
      <c r="L108" t="s">
        <v>303</v>
      </c>
      <c r="M108" t="s">
        <v>47</v>
      </c>
      <c r="N108" s="1">
        <v>346.36</v>
      </c>
      <c r="O108">
        <v>12</v>
      </c>
      <c r="P108" t="s">
        <v>35</v>
      </c>
      <c r="Q108">
        <v>4</v>
      </c>
      <c r="R108">
        <v>5</v>
      </c>
      <c r="S108">
        <v>0</v>
      </c>
      <c r="T108" t="s">
        <v>49</v>
      </c>
      <c r="U108" t="s">
        <v>37</v>
      </c>
      <c r="V108">
        <v>0</v>
      </c>
      <c r="W108">
        <v>7</v>
      </c>
      <c r="X108" t="s">
        <v>49</v>
      </c>
      <c r="Y108" t="s">
        <v>60</v>
      </c>
      <c r="Z108" t="s">
        <v>39</v>
      </c>
      <c r="AA108" s="2">
        <v>45539</v>
      </c>
      <c r="AB108" t="b">
        <v>0</v>
      </c>
      <c r="AC108" t="b">
        <v>0</v>
      </c>
      <c r="AD108" t="s">
        <v>40</v>
      </c>
      <c r="AE108" t="s">
        <v>53</v>
      </c>
      <c r="AF108">
        <v>14</v>
      </c>
    </row>
    <row r="109" spans="1:32" x14ac:dyDescent="0.25">
      <c r="A109" t="s">
        <v>304</v>
      </c>
      <c r="B109">
        <v>107</v>
      </c>
      <c r="C109">
        <v>33</v>
      </c>
      <c r="D109" t="str">
        <f>IF(tbl_Original[[#This Row],[Gender2]]="Female","Female",IF(tbl_Original[[#This Row],[Gender2]]="Male","Male","Other"))</f>
        <v>Female</v>
      </c>
      <c r="E109" t="s">
        <v>29</v>
      </c>
      <c r="F109" t="s">
        <v>30</v>
      </c>
      <c r="G109" t="s">
        <v>69</v>
      </c>
      <c r="H109" t="s">
        <v>45</v>
      </c>
      <c r="I109" t="s">
        <v>44</v>
      </c>
      <c r="J109" t="str">
        <f>PROPER(TRIM(CLEAN(tbl_Original[[#This Row],[Column1]])))</f>
        <v>Messina</v>
      </c>
      <c r="K109" t="s">
        <v>305</v>
      </c>
      <c r="L109" t="s">
        <v>305</v>
      </c>
      <c r="M109" t="s">
        <v>101</v>
      </c>
      <c r="N109" s="1">
        <v>377.77</v>
      </c>
      <c r="O109">
        <v>9</v>
      </c>
      <c r="P109" t="s">
        <v>35</v>
      </c>
      <c r="Q109">
        <v>4</v>
      </c>
      <c r="R109">
        <v>2</v>
      </c>
      <c r="S109">
        <v>1</v>
      </c>
      <c r="T109" t="s">
        <v>49</v>
      </c>
      <c r="U109" t="s">
        <v>50</v>
      </c>
      <c r="V109">
        <v>1</v>
      </c>
      <c r="W109">
        <v>5</v>
      </c>
      <c r="X109" t="s">
        <v>49</v>
      </c>
      <c r="Y109" t="s">
        <v>38</v>
      </c>
      <c r="Z109" t="s">
        <v>39</v>
      </c>
      <c r="AA109" s="2">
        <v>45530</v>
      </c>
      <c r="AB109" t="b">
        <v>1</v>
      </c>
      <c r="AC109" t="b">
        <v>1</v>
      </c>
      <c r="AD109" t="s">
        <v>62</v>
      </c>
      <c r="AE109" t="s">
        <v>53</v>
      </c>
      <c r="AF109">
        <v>3</v>
      </c>
    </row>
    <row r="110" spans="1:32" x14ac:dyDescent="0.25">
      <c r="A110" t="s">
        <v>306</v>
      </c>
      <c r="B110">
        <v>108</v>
      </c>
      <c r="C110">
        <v>46</v>
      </c>
      <c r="D110" t="str">
        <f>IF(tbl_Original[[#This Row],[Gender2]]="Female","Female",IF(tbl_Original[[#This Row],[Gender2]]="Male","Male","Other"))</f>
        <v>Female</v>
      </c>
      <c r="E110" t="s">
        <v>29</v>
      </c>
      <c r="F110" t="s">
        <v>30</v>
      </c>
      <c r="G110" t="s">
        <v>69</v>
      </c>
      <c r="H110" t="s">
        <v>45</v>
      </c>
      <c r="I110" t="s">
        <v>30</v>
      </c>
      <c r="J110" t="str">
        <f>PROPER(TRIM(CLEAN(tbl_Original[[#This Row],[Column1]])))</f>
        <v>Mrgowo</v>
      </c>
      <c r="K110" t="s">
        <v>2149</v>
      </c>
      <c r="L110" t="s">
        <v>307</v>
      </c>
      <c r="M110" t="s">
        <v>194</v>
      </c>
      <c r="N110" s="1">
        <v>163.41</v>
      </c>
      <c r="O110">
        <v>2</v>
      </c>
      <c r="P110" t="s">
        <v>48</v>
      </c>
      <c r="Q110">
        <v>5</v>
      </c>
      <c r="R110">
        <v>5</v>
      </c>
      <c r="S110">
        <v>2</v>
      </c>
      <c r="T110" t="s">
        <v>59</v>
      </c>
      <c r="U110" t="s">
        <v>50</v>
      </c>
      <c r="V110">
        <v>1</v>
      </c>
      <c r="W110">
        <v>8</v>
      </c>
      <c r="X110" t="s">
        <v>44</v>
      </c>
      <c r="Y110" t="s">
        <v>79</v>
      </c>
      <c r="Z110" t="s">
        <v>66</v>
      </c>
      <c r="AA110" s="2">
        <v>45347</v>
      </c>
      <c r="AB110" t="b">
        <v>1</v>
      </c>
      <c r="AC110" t="b">
        <v>1</v>
      </c>
      <c r="AD110" t="s">
        <v>40</v>
      </c>
      <c r="AE110" t="s">
        <v>67</v>
      </c>
      <c r="AF110">
        <v>4</v>
      </c>
    </row>
    <row r="111" spans="1:32" x14ac:dyDescent="0.25">
      <c r="A111" t="s">
        <v>308</v>
      </c>
      <c r="B111">
        <v>109</v>
      </c>
      <c r="C111">
        <v>30</v>
      </c>
      <c r="D111" t="str">
        <f>IF(tbl_Original[[#This Row],[Gender2]]="Female","Female",IF(tbl_Original[[#This Row],[Gender2]]="Male","Male","Other"))</f>
        <v>Female</v>
      </c>
      <c r="E111" t="s">
        <v>29</v>
      </c>
      <c r="F111" t="s">
        <v>30</v>
      </c>
      <c r="G111" t="s">
        <v>76</v>
      </c>
      <c r="H111" t="s">
        <v>56</v>
      </c>
      <c r="I111" t="s">
        <v>30</v>
      </c>
      <c r="J111" t="str">
        <f>PROPER(TRIM(CLEAN(tbl_Original[[#This Row],[Column1]])))</f>
        <v>Ngawi</v>
      </c>
      <c r="K111" t="s">
        <v>309</v>
      </c>
      <c r="L111" t="s">
        <v>309</v>
      </c>
      <c r="M111" t="s">
        <v>107</v>
      </c>
      <c r="N111" s="1">
        <v>467.58</v>
      </c>
      <c r="O111">
        <v>10</v>
      </c>
      <c r="P111" t="s">
        <v>35</v>
      </c>
      <c r="Q111">
        <v>1</v>
      </c>
      <c r="R111">
        <v>2</v>
      </c>
      <c r="S111">
        <v>0</v>
      </c>
      <c r="T111" t="s">
        <v>36</v>
      </c>
      <c r="U111" t="s">
        <v>37</v>
      </c>
      <c r="V111">
        <v>1</v>
      </c>
      <c r="W111">
        <v>6</v>
      </c>
      <c r="X111" t="s">
        <v>59</v>
      </c>
      <c r="Y111" t="s">
        <v>79</v>
      </c>
      <c r="Z111" t="s">
        <v>51</v>
      </c>
      <c r="AA111" s="2">
        <v>45397</v>
      </c>
      <c r="AB111" t="b">
        <v>1</v>
      </c>
      <c r="AC111" t="b">
        <v>1</v>
      </c>
      <c r="AD111" t="s">
        <v>52</v>
      </c>
      <c r="AE111" t="s">
        <v>53</v>
      </c>
      <c r="AF111">
        <v>7</v>
      </c>
    </row>
    <row r="112" spans="1:32" x14ac:dyDescent="0.25">
      <c r="A112" t="s">
        <v>310</v>
      </c>
      <c r="B112">
        <v>110</v>
      </c>
      <c r="C112">
        <v>39</v>
      </c>
      <c r="D112" t="str">
        <f>IF(tbl_Original[[#This Row],[Gender2]]="Female","Female",IF(tbl_Original[[#This Row],[Gender2]]="Male","Male","Other"))</f>
        <v>Female</v>
      </c>
      <c r="E112" t="s">
        <v>29</v>
      </c>
      <c r="F112" t="s">
        <v>30</v>
      </c>
      <c r="G112" t="s">
        <v>69</v>
      </c>
      <c r="H112" t="s">
        <v>32</v>
      </c>
      <c r="I112" t="s">
        <v>44</v>
      </c>
      <c r="J112" t="str">
        <f>PROPER(TRIM(CLEAN(tbl_Original[[#This Row],[Column1]])))</f>
        <v>Oslo</v>
      </c>
      <c r="K112" t="s">
        <v>311</v>
      </c>
      <c r="L112" t="s">
        <v>311</v>
      </c>
      <c r="M112" t="s">
        <v>82</v>
      </c>
      <c r="N112" s="1">
        <v>247.51</v>
      </c>
      <c r="O112">
        <v>10</v>
      </c>
      <c r="P112" t="s">
        <v>35</v>
      </c>
      <c r="Q112">
        <v>2</v>
      </c>
      <c r="R112">
        <v>1</v>
      </c>
      <c r="S112">
        <v>2</v>
      </c>
      <c r="T112" t="s">
        <v>59</v>
      </c>
      <c r="U112" t="s">
        <v>37</v>
      </c>
      <c r="V112">
        <v>1</v>
      </c>
      <c r="W112">
        <v>8</v>
      </c>
      <c r="X112" t="s">
        <v>59</v>
      </c>
      <c r="Y112" t="s">
        <v>38</v>
      </c>
      <c r="Z112" t="s">
        <v>39</v>
      </c>
      <c r="AA112" s="2">
        <v>45474</v>
      </c>
      <c r="AB112" t="b">
        <v>1</v>
      </c>
      <c r="AC112" t="b">
        <v>0</v>
      </c>
      <c r="AD112" t="s">
        <v>62</v>
      </c>
      <c r="AE112" t="s">
        <v>53</v>
      </c>
      <c r="AF112">
        <v>2</v>
      </c>
    </row>
    <row r="113" spans="1:32" x14ac:dyDescent="0.25">
      <c r="A113" t="s">
        <v>312</v>
      </c>
      <c r="B113">
        <v>111</v>
      </c>
      <c r="C113">
        <v>25</v>
      </c>
      <c r="D113" t="str">
        <f>IF(tbl_Original[[#This Row],[Gender2]]="Female","Female",IF(tbl_Original[[#This Row],[Gender2]]="Male","Male","Other"))</f>
        <v>Female</v>
      </c>
      <c r="E113" t="s">
        <v>29</v>
      </c>
      <c r="F113" t="s">
        <v>30</v>
      </c>
      <c r="G113" t="s">
        <v>55</v>
      </c>
      <c r="H113" t="s">
        <v>45</v>
      </c>
      <c r="I113" t="s">
        <v>44</v>
      </c>
      <c r="J113" t="str">
        <f>PROPER(TRIM(CLEAN(tbl_Original[[#This Row],[Column1]])))</f>
        <v>Dobrica</v>
      </c>
      <c r="K113" t="s">
        <v>313</v>
      </c>
      <c r="L113" t="s">
        <v>313</v>
      </c>
      <c r="M113" t="s">
        <v>58</v>
      </c>
      <c r="N113" s="1">
        <v>365.1</v>
      </c>
      <c r="O113">
        <v>3</v>
      </c>
      <c r="P113" t="s">
        <v>48</v>
      </c>
      <c r="Q113">
        <v>2</v>
      </c>
      <c r="R113">
        <v>3</v>
      </c>
      <c r="S113">
        <v>0</v>
      </c>
      <c r="T113" t="s">
        <v>36</v>
      </c>
      <c r="U113" t="s">
        <v>50</v>
      </c>
      <c r="V113">
        <v>1</v>
      </c>
      <c r="W113">
        <v>3</v>
      </c>
      <c r="X113" t="s">
        <v>44</v>
      </c>
      <c r="Y113" t="s">
        <v>79</v>
      </c>
      <c r="Z113" t="s">
        <v>61</v>
      </c>
      <c r="AA113" s="2">
        <v>45534</v>
      </c>
      <c r="AB113" t="b">
        <v>0</v>
      </c>
      <c r="AC113" t="b">
        <v>1</v>
      </c>
      <c r="AD113" t="s">
        <v>52</v>
      </c>
      <c r="AE113" t="s">
        <v>41</v>
      </c>
      <c r="AF113">
        <v>1</v>
      </c>
    </row>
    <row r="114" spans="1:32" x14ac:dyDescent="0.25">
      <c r="A114" t="s">
        <v>314</v>
      </c>
      <c r="B114">
        <v>112</v>
      </c>
      <c r="C114">
        <v>38</v>
      </c>
      <c r="D114" t="str">
        <f>IF(tbl_Original[[#This Row],[Gender2]]="Female","Female",IF(tbl_Original[[#This Row],[Gender2]]="Male","Male","Other"))</f>
        <v>Female</v>
      </c>
      <c r="E114" t="s">
        <v>29</v>
      </c>
      <c r="F114" t="s">
        <v>44</v>
      </c>
      <c r="G114" t="s">
        <v>55</v>
      </c>
      <c r="H114" t="s">
        <v>56</v>
      </c>
      <c r="I114" t="s">
        <v>30</v>
      </c>
      <c r="J114" t="str">
        <f>PROPER(TRIM(CLEAN(tbl_Original[[#This Row],[Column1]])))</f>
        <v>La Roche-Sur-Yon</v>
      </c>
      <c r="K114" t="s">
        <v>315</v>
      </c>
      <c r="L114" t="s">
        <v>315</v>
      </c>
      <c r="M114" t="s">
        <v>104</v>
      </c>
      <c r="N114" s="1">
        <v>485.42</v>
      </c>
      <c r="O114">
        <v>5</v>
      </c>
      <c r="P114" t="s">
        <v>78</v>
      </c>
      <c r="Q114">
        <v>1</v>
      </c>
      <c r="R114">
        <v>2</v>
      </c>
      <c r="S114">
        <v>2</v>
      </c>
      <c r="T114" t="s">
        <v>44</v>
      </c>
      <c r="U114" t="s">
        <v>37</v>
      </c>
      <c r="V114">
        <v>1</v>
      </c>
      <c r="W114">
        <v>6</v>
      </c>
      <c r="X114" t="s">
        <v>44</v>
      </c>
      <c r="Y114" t="s">
        <v>79</v>
      </c>
      <c r="Z114" t="s">
        <v>66</v>
      </c>
      <c r="AA114" s="2">
        <v>45609</v>
      </c>
      <c r="AB114" t="b">
        <v>1</v>
      </c>
      <c r="AC114" t="b">
        <v>0</v>
      </c>
      <c r="AD114" t="s">
        <v>52</v>
      </c>
      <c r="AE114" t="s">
        <v>41</v>
      </c>
      <c r="AF114">
        <v>4</v>
      </c>
    </row>
    <row r="115" spans="1:32" x14ac:dyDescent="0.25">
      <c r="A115" t="s">
        <v>316</v>
      </c>
      <c r="B115">
        <v>113</v>
      </c>
      <c r="C115">
        <v>41</v>
      </c>
      <c r="D115" t="str">
        <f>IF(tbl_Original[[#This Row],[Gender2]]="Female","Female",IF(tbl_Original[[#This Row],[Gender2]]="Male","Male","Other"))</f>
        <v>Female</v>
      </c>
      <c r="E115" t="s">
        <v>29</v>
      </c>
      <c r="F115" t="s">
        <v>30</v>
      </c>
      <c r="G115" t="s">
        <v>69</v>
      </c>
      <c r="H115" t="s">
        <v>32</v>
      </c>
      <c r="I115" t="s">
        <v>44</v>
      </c>
      <c r="J115" t="str">
        <f>PROPER(TRIM(CLEAN(tbl_Original[[#This Row],[Column1]])))</f>
        <v>Point Pedro</v>
      </c>
      <c r="K115" t="s">
        <v>317</v>
      </c>
      <c r="L115" t="s">
        <v>317</v>
      </c>
      <c r="M115" t="s">
        <v>104</v>
      </c>
      <c r="N115" s="1">
        <v>250.54</v>
      </c>
      <c r="O115">
        <v>4</v>
      </c>
      <c r="P115" t="s">
        <v>48</v>
      </c>
      <c r="Q115">
        <v>3</v>
      </c>
      <c r="R115">
        <v>3</v>
      </c>
      <c r="S115">
        <v>1</v>
      </c>
      <c r="T115" t="s">
        <v>44</v>
      </c>
      <c r="U115" t="s">
        <v>50</v>
      </c>
      <c r="V115">
        <v>2</v>
      </c>
      <c r="W115">
        <v>10</v>
      </c>
      <c r="X115" t="s">
        <v>36</v>
      </c>
      <c r="Y115" t="s">
        <v>79</v>
      </c>
      <c r="Z115" t="s">
        <v>39</v>
      </c>
      <c r="AA115" s="2">
        <v>45653</v>
      </c>
      <c r="AB115" t="b">
        <v>0</v>
      </c>
      <c r="AC115" t="b">
        <v>0</v>
      </c>
      <c r="AD115" t="s">
        <v>52</v>
      </c>
      <c r="AE115" t="s">
        <v>41</v>
      </c>
      <c r="AF115">
        <v>3</v>
      </c>
    </row>
    <row r="116" spans="1:32" x14ac:dyDescent="0.25">
      <c r="A116" t="s">
        <v>318</v>
      </c>
      <c r="B116">
        <v>114</v>
      </c>
      <c r="C116">
        <v>49</v>
      </c>
      <c r="D116" t="str">
        <f>IF(tbl_Original[[#This Row],[Gender2]]="Female","Female",IF(tbl_Original[[#This Row],[Gender2]]="Male","Male","Other"))</f>
        <v>Female</v>
      </c>
      <c r="E116" t="s">
        <v>29</v>
      </c>
      <c r="F116" t="s">
        <v>30</v>
      </c>
      <c r="G116" t="s">
        <v>76</v>
      </c>
      <c r="H116" t="s">
        <v>45</v>
      </c>
      <c r="I116" t="s">
        <v>44</v>
      </c>
      <c r="J116" t="str">
        <f>PROPER(TRIM(CLEAN(tbl_Original[[#This Row],[Column1]])))</f>
        <v>Marseille</v>
      </c>
      <c r="K116" t="s">
        <v>144</v>
      </c>
      <c r="L116" t="s">
        <v>144</v>
      </c>
      <c r="M116" t="s">
        <v>246</v>
      </c>
      <c r="N116" s="1">
        <v>163.13999999999999</v>
      </c>
      <c r="O116">
        <v>5</v>
      </c>
      <c r="P116" t="s">
        <v>35</v>
      </c>
      <c r="Q116">
        <v>5</v>
      </c>
      <c r="R116">
        <v>4</v>
      </c>
      <c r="S116">
        <v>0</v>
      </c>
      <c r="T116" t="s">
        <v>59</v>
      </c>
      <c r="U116" t="s">
        <v>37</v>
      </c>
      <c r="V116">
        <v>1</v>
      </c>
      <c r="W116">
        <v>2</v>
      </c>
      <c r="X116" t="s">
        <v>36</v>
      </c>
      <c r="Y116" t="s">
        <v>79</v>
      </c>
      <c r="Z116" t="s">
        <v>61</v>
      </c>
      <c r="AA116" s="2">
        <v>45511</v>
      </c>
      <c r="AB116" t="b">
        <v>1</v>
      </c>
      <c r="AC116" t="b">
        <v>1</v>
      </c>
      <c r="AD116" t="s">
        <v>74</v>
      </c>
      <c r="AE116" t="s">
        <v>41</v>
      </c>
      <c r="AF116">
        <v>1</v>
      </c>
    </row>
    <row r="117" spans="1:32" x14ac:dyDescent="0.25">
      <c r="A117" t="s">
        <v>319</v>
      </c>
      <c r="B117">
        <v>115</v>
      </c>
      <c r="C117">
        <v>21</v>
      </c>
      <c r="D117" t="str">
        <f>IF(tbl_Original[[#This Row],[Gender2]]="Female","Female",IF(tbl_Original[[#This Row],[Gender2]]="Male","Male","Other"))</f>
        <v>Male</v>
      </c>
      <c r="E117" t="s">
        <v>43</v>
      </c>
      <c r="F117" t="s">
        <v>44</v>
      </c>
      <c r="G117" t="s">
        <v>76</v>
      </c>
      <c r="H117" t="s">
        <v>32</v>
      </c>
      <c r="I117" t="s">
        <v>30</v>
      </c>
      <c r="J117" t="str">
        <f>PROPER(TRIM(CLEAN(tbl_Original[[#This Row],[Column1]])))</f>
        <v>Tianbao</v>
      </c>
      <c r="K117" t="s">
        <v>320</v>
      </c>
      <c r="L117" t="s">
        <v>320</v>
      </c>
      <c r="M117" t="s">
        <v>34</v>
      </c>
      <c r="N117" s="1">
        <v>162.31</v>
      </c>
      <c r="O117">
        <v>8</v>
      </c>
      <c r="P117" t="s">
        <v>48</v>
      </c>
      <c r="Q117">
        <v>5</v>
      </c>
      <c r="R117">
        <v>1</v>
      </c>
      <c r="S117">
        <v>1</v>
      </c>
      <c r="T117" t="s">
        <v>44</v>
      </c>
      <c r="U117" t="s">
        <v>85</v>
      </c>
      <c r="V117">
        <v>1</v>
      </c>
      <c r="W117">
        <v>2</v>
      </c>
      <c r="X117" t="s">
        <v>49</v>
      </c>
      <c r="Y117" t="s">
        <v>38</v>
      </c>
      <c r="Z117" t="s">
        <v>39</v>
      </c>
      <c r="AA117" s="2">
        <v>45570</v>
      </c>
      <c r="AB117" t="b">
        <v>0</v>
      </c>
      <c r="AC117" t="b">
        <v>0</v>
      </c>
      <c r="AD117" t="s">
        <v>40</v>
      </c>
      <c r="AE117" t="s">
        <v>41</v>
      </c>
      <c r="AF117">
        <v>11</v>
      </c>
    </row>
    <row r="118" spans="1:32" x14ac:dyDescent="0.25">
      <c r="A118" t="s">
        <v>321</v>
      </c>
      <c r="B118">
        <v>116</v>
      </c>
      <c r="C118">
        <v>37</v>
      </c>
      <c r="D118" t="str">
        <f>IF(tbl_Original[[#This Row],[Gender2]]="Female","Female",IF(tbl_Original[[#This Row],[Gender2]]="Male","Male","Other"))</f>
        <v>Male</v>
      </c>
      <c r="E118" t="s">
        <v>43</v>
      </c>
      <c r="F118" t="s">
        <v>30</v>
      </c>
      <c r="G118" t="s">
        <v>69</v>
      </c>
      <c r="H118" t="s">
        <v>56</v>
      </c>
      <c r="I118" t="s">
        <v>44</v>
      </c>
      <c r="J118" t="str">
        <f>PROPER(TRIM(CLEAN(tbl_Original[[#This Row],[Column1]])))</f>
        <v>Puqian</v>
      </c>
      <c r="K118" t="s">
        <v>322</v>
      </c>
      <c r="L118" t="s">
        <v>322</v>
      </c>
      <c r="M118" t="s">
        <v>58</v>
      </c>
      <c r="N118" s="1">
        <v>328.21</v>
      </c>
      <c r="O118">
        <v>7</v>
      </c>
      <c r="P118" t="s">
        <v>35</v>
      </c>
      <c r="Q118">
        <v>5</v>
      </c>
      <c r="R118">
        <v>5</v>
      </c>
      <c r="S118">
        <v>2</v>
      </c>
      <c r="T118" t="s">
        <v>59</v>
      </c>
      <c r="U118" t="s">
        <v>50</v>
      </c>
      <c r="V118">
        <v>2</v>
      </c>
      <c r="W118">
        <v>2</v>
      </c>
      <c r="X118" t="s">
        <v>59</v>
      </c>
      <c r="Y118" t="s">
        <v>60</v>
      </c>
      <c r="Z118" t="s">
        <v>39</v>
      </c>
      <c r="AA118" s="2">
        <v>45336</v>
      </c>
      <c r="AB118" t="b">
        <v>0</v>
      </c>
      <c r="AC118" t="b">
        <v>0</v>
      </c>
      <c r="AD118" t="s">
        <v>40</v>
      </c>
      <c r="AE118" t="s">
        <v>41</v>
      </c>
      <c r="AF118">
        <v>12</v>
      </c>
    </row>
    <row r="119" spans="1:32" x14ac:dyDescent="0.25">
      <c r="A119" t="s">
        <v>323</v>
      </c>
      <c r="B119">
        <v>117</v>
      </c>
      <c r="C119">
        <v>30</v>
      </c>
      <c r="D119" t="str">
        <f>IF(tbl_Original[[#This Row],[Gender2]]="Female","Female",IF(tbl_Original[[#This Row],[Gender2]]="Male","Male","Other"))</f>
        <v>Female</v>
      </c>
      <c r="E119" t="s">
        <v>29</v>
      </c>
      <c r="F119" t="s">
        <v>44</v>
      </c>
      <c r="G119" t="s">
        <v>31</v>
      </c>
      <c r="H119" t="s">
        <v>56</v>
      </c>
      <c r="I119" t="s">
        <v>44</v>
      </c>
      <c r="J119" t="str">
        <f>PROPER(TRIM(CLEAN(tbl_Original[[#This Row],[Column1]])))</f>
        <v>Binalbagan</v>
      </c>
      <c r="K119" t="s">
        <v>324</v>
      </c>
      <c r="L119" t="s">
        <v>324</v>
      </c>
      <c r="M119" t="s">
        <v>90</v>
      </c>
      <c r="N119" s="1">
        <v>268.58999999999997</v>
      </c>
      <c r="O119">
        <v>4</v>
      </c>
      <c r="P119" t="s">
        <v>78</v>
      </c>
      <c r="Q119">
        <v>3</v>
      </c>
      <c r="R119">
        <v>3</v>
      </c>
      <c r="S119">
        <v>1</v>
      </c>
      <c r="T119" t="s">
        <v>44</v>
      </c>
      <c r="U119" t="s">
        <v>85</v>
      </c>
      <c r="V119">
        <v>1</v>
      </c>
      <c r="W119">
        <v>1</v>
      </c>
      <c r="X119" t="s">
        <v>49</v>
      </c>
      <c r="Y119" t="s">
        <v>79</v>
      </c>
      <c r="Z119" t="s">
        <v>61</v>
      </c>
      <c r="AA119" s="2">
        <v>45387</v>
      </c>
      <c r="AB119" t="b">
        <v>1</v>
      </c>
      <c r="AC119" t="b">
        <v>1</v>
      </c>
      <c r="AD119" t="s">
        <v>40</v>
      </c>
      <c r="AE119" t="s">
        <v>53</v>
      </c>
      <c r="AF119">
        <v>3</v>
      </c>
    </row>
    <row r="120" spans="1:32" x14ac:dyDescent="0.25">
      <c r="A120" t="s">
        <v>325</v>
      </c>
      <c r="B120">
        <v>118</v>
      </c>
      <c r="C120">
        <v>18</v>
      </c>
      <c r="D120" t="str">
        <f>IF(tbl_Original[[#This Row],[Gender2]]="Female","Female",IF(tbl_Original[[#This Row],[Gender2]]="Male","Male","Other"))</f>
        <v>Female</v>
      </c>
      <c r="E120" t="s">
        <v>29</v>
      </c>
      <c r="F120" t="s">
        <v>44</v>
      </c>
      <c r="G120" t="s">
        <v>76</v>
      </c>
      <c r="H120" t="s">
        <v>45</v>
      </c>
      <c r="I120" t="s">
        <v>44</v>
      </c>
      <c r="J120" t="str">
        <f>PROPER(TRIM(CLEAN(tbl_Original[[#This Row],[Column1]])))</f>
        <v>Tessalit</v>
      </c>
      <c r="K120" t="s">
        <v>326</v>
      </c>
      <c r="L120" t="s">
        <v>326</v>
      </c>
      <c r="M120" t="s">
        <v>117</v>
      </c>
      <c r="N120" s="1">
        <v>257.37</v>
      </c>
      <c r="O120">
        <v>7</v>
      </c>
      <c r="P120" t="s">
        <v>78</v>
      </c>
      <c r="Q120">
        <v>3</v>
      </c>
      <c r="R120">
        <v>3</v>
      </c>
      <c r="S120">
        <v>0</v>
      </c>
      <c r="T120" t="s">
        <v>49</v>
      </c>
      <c r="U120" t="s">
        <v>85</v>
      </c>
      <c r="V120">
        <v>2</v>
      </c>
      <c r="W120">
        <v>5</v>
      </c>
      <c r="X120" t="s">
        <v>49</v>
      </c>
      <c r="Y120" t="s">
        <v>60</v>
      </c>
      <c r="Z120" t="s">
        <v>51</v>
      </c>
      <c r="AA120" s="2">
        <v>45323</v>
      </c>
      <c r="AB120" t="b">
        <v>1</v>
      </c>
      <c r="AC120" t="b">
        <v>0</v>
      </c>
      <c r="AD120" t="s">
        <v>52</v>
      </c>
      <c r="AE120" t="s">
        <v>67</v>
      </c>
      <c r="AF120">
        <v>13</v>
      </c>
    </row>
    <row r="121" spans="1:32" x14ac:dyDescent="0.25">
      <c r="A121" t="s">
        <v>327</v>
      </c>
      <c r="B121">
        <v>119</v>
      </c>
      <c r="C121">
        <v>41</v>
      </c>
      <c r="D121" t="str">
        <f>IF(tbl_Original[[#This Row],[Gender2]]="Female","Female",IF(tbl_Original[[#This Row],[Gender2]]="Male","Male","Other"))</f>
        <v>Female</v>
      </c>
      <c r="E121" t="s">
        <v>29</v>
      </c>
      <c r="F121" t="s">
        <v>30</v>
      </c>
      <c r="G121" t="s">
        <v>55</v>
      </c>
      <c r="H121" t="s">
        <v>45</v>
      </c>
      <c r="I121" t="s">
        <v>44</v>
      </c>
      <c r="J121" t="str">
        <f>PROPER(TRIM(CLEAN(tbl_Original[[#This Row],[Column1]])))</f>
        <v>Nikolayevsk</v>
      </c>
      <c r="K121" t="s">
        <v>328</v>
      </c>
      <c r="L121" t="s">
        <v>328</v>
      </c>
      <c r="M121" t="s">
        <v>58</v>
      </c>
      <c r="N121" s="1">
        <v>205.49</v>
      </c>
      <c r="O121">
        <v>4</v>
      </c>
      <c r="P121" t="s">
        <v>48</v>
      </c>
      <c r="Q121">
        <v>5</v>
      </c>
      <c r="R121">
        <v>3</v>
      </c>
      <c r="S121">
        <v>2</v>
      </c>
      <c r="T121" t="s">
        <v>59</v>
      </c>
      <c r="U121" t="s">
        <v>37</v>
      </c>
      <c r="V121">
        <v>2</v>
      </c>
      <c r="W121">
        <v>2</v>
      </c>
      <c r="X121" t="s">
        <v>44</v>
      </c>
      <c r="Y121" t="s">
        <v>38</v>
      </c>
      <c r="Z121" t="s">
        <v>86</v>
      </c>
      <c r="AA121" s="2">
        <v>45605</v>
      </c>
      <c r="AB121" t="b">
        <v>1</v>
      </c>
      <c r="AC121" t="b">
        <v>0</v>
      </c>
      <c r="AD121" t="s">
        <v>40</v>
      </c>
      <c r="AE121" t="s">
        <v>67</v>
      </c>
      <c r="AF121">
        <v>11</v>
      </c>
    </row>
    <row r="122" spans="1:32" x14ac:dyDescent="0.25">
      <c r="A122" t="s">
        <v>329</v>
      </c>
      <c r="B122">
        <v>120</v>
      </c>
      <c r="C122">
        <v>40</v>
      </c>
      <c r="D122" t="str">
        <f>IF(tbl_Original[[#This Row],[Gender2]]="Female","Female",IF(tbl_Original[[#This Row],[Gender2]]="Male","Male","Other"))</f>
        <v>Male</v>
      </c>
      <c r="E122" t="s">
        <v>43</v>
      </c>
      <c r="F122" t="s">
        <v>44</v>
      </c>
      <c r="G122" t="s">
        <v>76</v>
      </c>
      <c r="H122" t="s">
        <v>56</v>
      </c>
      <c r="I122" t="s">
        <v>44</v>
      </c>
      <c r="J122" t="str">
        <f>PROPER(TRIM(CLEAN(tbl_Original[[#This Row],[Column1]])))</f>
        <v>Dashuipo</v>
      </c>
      <c r="K122" t="s">
        <v>330</v>
      </c>
      <c r="L122" t="s">
        <v>330</v>
      </c>
      <c r="M122" t="s">
        <v>93</v>
      </c>
      <c r="N122" s="1">
        <v>407.91</v>
      </c>
      <c r="O122">
        <v>7</v>
      </c>
      <c r="P122" t="s">
        <v>48</v>
      </c>
      <c r="Q122">
        <v>2</v>
      </c>
      <c r="R122">
        <v>5</v>
      </c>
      <c r="S122">
        <v>0</v>
      </c>
      <c r="T122" t="s">
        <v>59</v>
      </c>
      <c r="U122" t="s">
        <v>50</v>
      </c>
      <c r="V122">
        <v>0</v>
      </c>
      <c r="W122">
        <v>5</v>
      </c>
      <c r="X122" t="s">
        <v>59</v>
      </c>
      <c r="Y122" t="s">
        <v>38</v>
      </c>
      <c r="Z122" t="s">
        <v>66</v>
      </c>
      <c r="AA122" s="2">
        <v>45460</v>
      </c>
      <c r="AB122" t="b">
        <v>1</v>
      </c>
      <c r="AC122" t="b">
        <v>1</v>
      </c>
      <c r="AD122" t="s">
        <v>40</v>
      </c>
      <c r="AE122" t="s">
        <v>53</v>
      </c>
      <c r="AF122">
        <v>14</v>
      </c>
    </row>
    <row r="123" spans="1:32" x14ac:dyDescent="0.25">
      <c r="A123" t="s">
        <v>331</v>
      </c>
      <c r="B123">
        <v>121</v>
      </c>
      <c r="C123">
        <v>33</v>
      </c>
      <c r="D123" t="str">
        <f>IF(tbl_Original[[#This Row],[Gender2]]="Female","Female",IF(tbl_Original[[#This Row],[Gender2]]="Male","Male","Other"))</f>
        <v>Female</v>
      </c>
      <c r="E123" t="s">
        <v>29</v>
      </c>
      <c r="F123" t="s">
        <v>44</v>
      </c>
      <c r="G123" t="s">
        <v>76</v>
      </c>
      <c r="H123" t="s">
        <v>32</v>
      </c>
      <c r="I123" t="s">
        <v>44</v>
      </c>
      <c r="J123" t="str">
        <f>PROPER(TRIM(CLEAN(tbl_Original[[#This Row],[Column1]])))</f>
        <v>Tn Nad Vltavou</v>
      </c>
      <c r="K123" t="s">
        <v>2150</v>
      </c>
      <c r="L123" t="s">
        <v>332</v>
      </c>
      <c r="M123" t="s">
        <v>47</v>
      </c>
      <c r="N123" s="1">
        <v>254.73</v>
      </c>
      <c r="O123">
        <v>6</v>
      </c>
      <c r="P123" t="s">
        <v>78</v>
      </c>
      <c r="Q123">
        <v>4</v>
      </c>
      <c r="R123">
        <v>3</v>
      </c>
      <c r="S123">
        <v>0</v>
      </c>
      <c r="T123" t="s">
        <v>49</v>
      </c>
      <c r="U123" t="s">
        <v>85</v>
      </c>
      <c r="V123">
        <v>0</v>
      </c>
      <c r="W123">
        <v>3</v>
      </c>
      <c r="X123" t="s">
        <v>59</v>
      </c>
      <c r="Y123" t="s">
        <v>60</v>
      </c>
      <c r="Z123" t="s">
        <v>66</v>
      </c>
      <c r="AA123" s="2">
        <v>45444</v>
      </c>
      <c r="AB123" t="b">
        <v>1</v>
      </c>
      <c r="AC123" t="b">
        <v>1</v>
      </c>
      <c r="AD123" t="s">
        <v>62</v>
      </c>
      <c r="AE123" t="s">
        <v>67</v>
      </c>
      <c r="AF123">
        <v>3</v>
      </c>
    </row>
    <row r="124" spans="1:32" x14ac:dyDescent="0.25">
      <c r="A124" t="s">
        <v>333</v>
      </c>
      <c r="B124">
        <v>122</v>
      </c>
      <c r="C124">
        <v>30</v>
      </c>
      <c r="D124" t="str">
        <f>IF(tbl_Original[[#This Row],[Gender2]]="Female","Female",IF(tbl_Original[[#This Row],[Gender2]]="Male","Male","Other"))</f>
        <v>Female</v>
      </c>
      <c r="E124" t="s">
        <v>29</v>
      </c>
      <c r="F124" t="s">
        <v>30</v>
      </c>
      <c r="G124" t="s">
        <v>76</v>
      </c>
      <c r="H124" t="s">
        <v>32</v>
      </c>
      <c r="I124" t="s">
        <v>44</v>
      </c>
      <c r="J124" t="str">
        <f>PROPER(TRIM(CLEAN(tbl_Original[[#This Row],[Column1]])))</f>
        <v>Kaum Kaler</v>
      </c>
      <c r="K124" t="s">
        <v>334</v>
      </c>
      <c r="L124" t="s">
        <v>334</v>
      </c>
      <c r="M124" t="s">
        <v>183</v>
      </c>
      <c r="N124" s="1">
        <v>397.78</v>
      </c>
      <c r="O124">
        <v>12</v>
      </c>
      <c r="P124" t="s">
        <v>78</v>
      </c>
      <c r="Q124">
        <v>3</v>
      </c>
      <c r="R124">
        <v>3</v>
      </c>
      <c r="S124">
        <v>1</v>
      </c>
      <c r="T124" t="s">
        <v>49</v>
      </c>
      <c r="U124" t="s">
        <v>50</v>
      </c>
      <c r="V124">
        <v>2</v>
      </c>
      <c r="W124">
        <v>7</v>
      </c>
      <c r="X124" t="s">
        <v>49</v>
      </c>
      <c r="Y124" t="s">
        <v>60</v>
      </c>
      <c r="Z124" t="s">
        <v>51</v>
      </c>
      <c r="AA124" s="2">
        <v>45559</v>
      </c>
      <c r="AB124" t="b">
        <v>0</v>
      </c>
      <c r="AC124" t="b">
        <v>1</v>
      </c>
      <c r="AD124" t="s">
        <v>62</v>
      </c>
      <c r="AE124" t="s">
        <v>41</v>
      </c>
      <c r="AF124">
        <v>11</v>
      </c>
    </row>
    <row r="125" spans="1:32" x14ac:dyDescent="0.25">
      <c r="A125" t="s">
        <v>335</v>
      </c>
      <c r="B125">
        <v>123</v>
      </c>
      <c r="C125">
        <v>33</v>
      </c>
      <c r="D125" t="str">
        <f>IF(tbl_Original[[#This Row],[Gender2]]="Female","Female",IF(tbl_Original[[#This Row],[Gender2]]="Male","Male","Other"))</f>
        <v>Female</v>
      </c>
      <c r="E125" t="s">
        <v>29</v>
      </c>
      <c r="F125" t="s">
        <v>44</v>
      </c>
      <c r="G125" t="s">
        <v>31</v>
      </c>
      <c r="H125" t="s">
        <v>32</v>
      </c>
      <c r="I125" t="s">
        <v>44</v>
      </c>
      <c r="J125" t="str">
        <f>PROPER(TRIM(CLEAN(tbl_Original[[#This Row],[Column1]])))</f>
        <v>Gandapura</v>
      </c>
      <c r="K125" t="s">
        <v>336</v>
      </c>
      <c r="L125" t="s">
        <v>336</v>
      </c>
      <c r="M125" t="s">
        <v>117</v>
      </c>
      <c r="N125" s="1">
        <v>305.29000000000002</v>
      </c>
      <c r="O125">
        <v>3</v>
      </c>
      <c r="P125" t="s">
        <v>78</v>
      </c>
      <c r="Q125">
        <v>2</v>
      </c>
      <c r="R125">
        <v>3</v>
      </c>
      <c r="S125">
        <v>1</v>
      </c>
      <c r="T125" t="s">
        <v>49</v>
      </c>
      <c r="U125" t="s">
        <v>85</v>
      </c>
      <c r="V125">
        <v>1</v>
      </c>
      <c r="W125">
        <v>8</v>
      </c>
      <c r="X125" t="s">
        <v>49</v>
      </c>
      <c r="Y125" t="s">
        <v>79</v>
      </c>
      <c r="Z125" t="s">
        <v>61</v>
      </c>
      <c r="AA125" s="2">
        <v>45540</v>
      </c>
      <c r="AB125" t="b">
        <v>1</v>
      </c>
      <c r="AC125" t="b">
        <v>1</v>
      </c>
      <c r="AD125" t="s">
        <v>62</v>
      </c>
      <c r="AE125" t="s">
        <v>53</v>
      </c>
      <c r="AF125">
        <v>10</v>
      </c>
    </row>
    <row r="126" spans="1:32" x14ac:dyDescent="0.25">
      <c r="A126" t="s">
        <v>337</v>
      </c>
      <c r="B126">
        <v>124</v>
      </c>
      <c r="C126">
        <v>45</v>
      </c>
      <c r="D126" t="str">
        <f>IF(tbl_Original[[#This Row],[Gender2]]="Female","Female",IF(tbl_Original[[#This Row],[Gender2]]="Male","Male","Other"))</f>
        <v>Male</v>
      </c>
      <c r="E126" t="s">
        <v>43</v>
      </c>
      <c r="F126" t="s">
        <v>30</v>
      </c>
      <c r="G126" t="s">
        <v>76</v>
      </c>
      <c r="H126" t="s">
        <v>45</v>
      </c>
      <c r="I126" t="s">
        <v>44</v>
      </c>
      <c r="J126" t="str">
        <f>PROPER(TRIM(CLEAN(tbl_Original[[#This Row],[Column1]])))</f>
        <v>Kawangkoan</v>
      </c>
      <c r="K126" t="s">
        <v>338</v>
      </c>
      <c r="L126" t="s">
        <v>338</v>
      </c>
      <c r="M126" t="s">
        <v>47</v>
      </c>
      <c r="N126" s="1">
        <v>257.86</v>
      </c>
      <c r="O126">
        <v>6</v>
      </c>
      <c r="P126" t="s">
        <v>78</v>
      </c>
      <c r="Q126">
        <v>2</v>
      </c>
      <c r="R126">
        <v>2</v>
      </c>
      <c r="S126">
        <v>0</v>
      </c>
      <c r="T126" t="s">
        <v>36</v>
      </c>
      <c r="U126" t="s">
        <v>37</v>
      </c>
      <c r="V126">
        <v>0</v>
      </c>
      <c r="W126">
        <v>4</v>
      </c>
      <c r="X126" t="s">
        <v>44</v>
      </c>
      <c r="Y126" t="s">
        <v>38</v>
      </c>
      <c r="Z126" t="s">
        <v>51</v>
      </c>
      <c r="AA126" s="2">
        <v>45455</v>
      </c>
      <c r="AB126" t="b">
        <v>1</v>
      </c>
      <c r="AC126" t="b">
        <v>1</v>
      </c>
      <c r="AD126" t="s">
        <v>40</v>
      </c>
      <c r="AE126" t="s">
        <v>67</v>
      </c>
      <c r="AF126">
        <v>1</v>
      </c>
    </row>
    <row r="127" spans="1:32" x14ac:dyDescent="0.25">
      <c r="A127" t="s">
        <v>339</v>
      </c>
      <c r="B127">
        <v>125</v>
      </c>
      <c r="C127">
        <v>42</v>
      </c>
      <c r="D127" t="str">
        <f>IF(tbl_Original[[#This Row],[Gender2]]="Female","Female",IF(tbl_Original[[#This Row],[Gender2]]="Male","Male","Other"))</f>
        <v>Female</v>
      </c>
      <c r="E127" t="s">
        <v>29</v>
      </c>
      <c r="F127" t="s">
        <v>44</v>
      </c>
      <c r="G127" t="s">
        <v>55</v>
      </c>
      <c r="H127" t="s">
        <v>45</v>
      </c>
      <c r="I127" t="s">
        <v>30</v>
      </c>
      <c r="J127" t="str">
        <f>PROPER(TRIM(CLEAN(tbl_Original[[#This Row],[Column1]])))</f>
        <v>Mondorf-Les-Bains</v>
      </c>
      <c r="K127" t="s">
        <v>340</v>
      </c>
      <c r="L127" t="s">
        <v>340</v>
      </c>
      <c r="M127" t="s">
        <v>246</v>
      </c>
      <c r="N127" s="1">
        <v>393.45</v>
      </c>
      <c r="O127">
        <v>12</v>
      </c>
      <c r="P127" t="s">
        <v>48</v>
      </c>
      <c r="Q127">
        <v>3</v>
      </c>
      <c r="R127">
        <v>1</v>
      </c>
      <c r="S127">
        <v>0</v>
      </c>
      <c r="T127" t="s">
        <v>59</v>
      </c>
      <c r="U127" t="s">
        <v>37</v>
      </c>
      <c r="V127">
        <v>2</v>
      </c>
      <c r="W127">
        <v>10</v>
      </c>
      <c r="X127" t="s">
        <v>49</v>
      </c>
      <c r="Y127" t="s">
        <v>79</v>
      </c>
      <c r="Z127" t="s">
        <v>39</v>
      </c>
      <c r="AA127" s="2">
        <v>45571</v>
      </c>
      <c r="AB127" t="b">
        <v>0</v>
      </c>
      <c r="AC127" t="b">
        <v>0</v>
      </c>
      <c r="AD127" t="s">
        <v>40</v>
      </c>
      <c r="AE127" t="s">
        <v>67</v>
      </c>
      <c r="AF127">
        <v>12</v>
      </c>
    </row>
    <row r="128" spans="1:32" x14ac:dyDescent="0.25">
      <c r="A128" t="s">
        <v>341</v>
      </c>
      <c r="B128">
        <v>126</v>
      </c>
      <c r="C128">
        <v>30</v>
      </c>
      <c r="D128" t="str">
        <f>IF(tbl_Original[[#This Row],[Gender2]]="Female","Female",IF(tbl_Original[[#This Row],[Gender2]]="Male","Male","Other"))</f>
        <v>Male</v>
      </c>
      <c r="E128" t="s">
        <v>43</v>
      </c>
      <c r="F128" t="s">
        <v>44</v>
      </c>
      <c r="G128" t="s">
        <v>31</v>
      </c>
      <c r="H128" t="s">
        <v>32</v>
      </c>
      <c r="I128" t="s">
        <v>30</v>
      </c>
      <c r="J128" t="str">
        <f>PROPER(TRIM(CLEAN(tbl_Original[[#This Row],[Column1]])))</f>
        <v>Manwakh</v>
      </c>
      <c r="K128" t="s">
        <v>342</v>
      </c>
      <c r="L128" t="s">
        <v>342</v>
      </c>
      <c r="M128" t="s">
        <v>142</v>
      </c>
      <c r="N128" s="1">
        <v>58.49</v>
      </c>
      <c r="O128">
        <v>6</v>
      </c>
      <c r="P128" t="s">
        <v>78</v>
      </c>
      <c r="Q128">
        <v>2</v>
      </c>
      <c r="R128">
        <v>2</v>
      </c>
      <c r="S128">
        <v>0</v>
      </c>
      <c r="T128" t="s">
        <v>49</v>
      </c>
      <c r="U128" t="s">
        <v>85</v>
      </c>
      <c r="V128">
        <v>0</v>
      </c>
      <c r="W128">
        <v>8</v>
      </c>
      <c r="X128" t="s">
        <v>44</v>
      </c>
      <c r="Y128" t="s">
        <v>38</v>
      </c>
      <c r="Z128" t="s">
        <v>66</v>
      </c>
      <c r="AA128" s="2">
        <v>45502</v>
      </c>
      <c r="AB128" t="b">
        <v>1</v>
      </c>
      <c r="AC128" t="b">
        <v>1</v>
      </c>
      <c r="AD128" t="s">
        <v>74</v>
      </c>
      <c r="AE128" t="s">
        <v>67</v>
      </c>
      <c r="AF128">
        <v>7</v>
      </c>
    </row>
    <row r="129" spans="1:32" x14ac:dyDescent="0.25">
      <c r="A129" t="s">
        <v>343</v>
      </c>
      <c r="B129">
        <v>127</v>
      </c>
      <c r="C129">
        <v>42</v>
      </c>
      <c r="D129" t="str">
        <f>IF(tbl_Original[[#This Row],[Gender2]]="Female","Female",IF(tbl_Original[[#This Row],[Gender2]]="Male","Male","Other"))</f>
        <v>Male</v>
      </c>
      <c r="E129" t="s">
        <v>43</v>
      </c>
      <c r="F129" t="s">
        <v>30</v>
      </c>
      <c r="G129" t="s">
        <v>55</v>
      </c>
      <c r="H129" t="s">
        <v>45</v>
      </c>
      <c r="I129" t="s">
        <v>30</v>
      </c>
      <c r="J129" t="str">
        <f>PROPER(TRIM(CLEAN(tbl_Original[[#This Row],[Column1]])))</f>
        <v>Karlstad</v>
      </c>
      <c r="K129" t="s">
        <v>344</v>
      </c>
      <c r="L129" t="s">
        <v>344</v>
      </c>
      <c r="M129" t="s">
        <v>188</v>
      </c>
      <c r="N129" s="1">
        <v>226.48</v>
      </c>
      <c r="O129">
        <v>11</v>
      </c>
      <c r="P129" t="s">
        <v>48</v>
      </c>
      <c r="Q129">
        <v>5</v>
      </c>
      <c r="R129">
        <v>3</v>
      </c>
      <c r="S129">
        <v>2</v>
      </c>
      <c r="T129" t="s">
        <v>36</v>
      </c>
      <c r="U129" t="s">
        <v>50</v>
      </c>
      <c r="V129">
        <v>2</v>
      </c>
      <c r="W129">
        <v>7</v>
      </c>
      <c r="X129" t="s">
        <v>44</v>
      </c>
      <c r="Y129" t="s">
        <v>38</v>
      </c>
      <c r="Z129" t="s">
        <v>61</v>
      </c>
      <c r="AA129" s="2">
        <v>45583</v>
      </c>
      <c r="AB129" t="b">
        <v>1</v>
      </c>
      <c r="AC129" t="b">
        <v>0</v>
      </c>
      <c r="AD129" t="s">
        <v>40</v>
      </c>
      <c r="AE129" t="s">
        <v>67</v>
      </c>
      <c r="AF129">
        <v>11</v>
      </c>
    </row>
    <row r="130" spans="1:32" x14ac:dyDescent="0.25">
      <c r="A130" t="s">
        <v>345</v>
      </c>
      <c r="B130">
        <v>128</v>
      </c>
      <c r="C130">
        <v>26</v>
      </c>
      <c r="D130" t="str">
        <f>IF(tbl_Original[[#This Row],[Gender2]]="Female","Female",IF(tbl_Original[[#This Row],[Gender2]]="Male","Male","Other"))</f>
        <v>Female</v>
      </c>
      <c r="E130" t="s">
        <v>29</v>
      </c>
      <c r="F130" t="s">
        <v>44</v>
      </c>
      <c r="G130" t="s">
        <v>55</v>
      </c>
      <c r="H130" t="s">
        <v>56</v>
      </c>
      <c r="I130" t="s">
        <v>30</v>
      </c>
      <c r="J130" t="str">
        <f>PROPER(TRIM(CLEAN(tbl_Original[[#This Row],[Column1]])))</f>
        <v>Obong</v>
      </c>
      <c r="K130" t="s">
        <v>346</v>
      </c>
      <c r="L130" t="s">
        <v>346</v>
      </c>
      <c r="M130" t="s">
        <v>104</v>
      </c>
      <c r="N130" s="1">
        <v>469.22</v>
      </c>
      <c r="O130">
        <v>6</v>
      </c>
      <c r="P130" t="s">
        <v>48</v>
      </c>
      <c r="Q130">
        <v>1</v>
      </c>
      <c r="R130">
        <v>1</v>
      </c>
      <c r="S130">
        <v>1</v>
      </c>
      <c r="T130" t="s">
        <v>44</v>
      </c>
      <c r="U130" t="s">
        <v>50</v>
      </c>
      <c r="V130">
        <v>0</v>
      </c>
      <c r="W130">
        <v>1</v>
      </c>
      <c r="X130" t="s">
        <v>59</v>
      </c>
      <c r="Y130" t="s">
        <v>38</v>
      </c>
      <c r="Z130" t="s">
        <v>39</v>
      </c>
      <c r="AA130" s="2">
        <v>45511</v>
      </c>
      <c r="AB130" t="b">
        <v>0</v>
      </c>
      <c r="AC130" t="b">
        <v>0</v>
      </c>
      <c r="AD130" t="s">
        <v>52</v>
      </c>
      <c r="AE130" t="s">
        <v>41</v>
      </c>
      <c r="AF130">
        <v>7</v>
      </c>
    </row>
    <row r="131" spans="1:32" x14ac:dyDescent="0.25">
      <c r="A131" t="s">
        <v>347</v>
      </c>
      <c r="B131">
        <v>129</v>
      </c>
      <c r="C131">
        <v>42</v>
      </c>
      <c r="D131" t="str">
        <f>IF(tbl_Original[[#This Row],[Gender2]]="Female","Female",IF(tbl_Original[[#This Row],[Gender2]]="Male","Male","Other"))</f>
        <v>Female</v>
      </c>
      <c r="E131" t="s">
        <v>29</v>
      </c>
      <c r="F131" t="s">
        <v>44</v>
      </c>
      <c r="G131" t="s">
        <v>76</v>
      </c>
      <c r="H131" t="s">
        <v>45</v>
      </c>
      <c r="I131" t="s">
        <v>44</v>
      </c>
      <c r="J131" t="str">
        <f>PROPER(TRIM(CLEAN(tbl_Original[[#This Row],[Column1]])))</f>
        <v>Kolsko</v>
      </c>
      <c r="K131" t="s">
        <v>348</v>
      </c>
      <c r="L131" t="s">
        <v>348</v>
      </c>
      <c r="M131" t="s">
        <v>246</v>
      </c>
      <c r="N131" s="1">
        <v>335.32</v>
      </c>
      <c r="O131">
        <v>6</v>
      </c>
      <c r="P131" t="s">
        <v>35</v>
      </c>
      <c r="Q131">
        <v>3</v>
      </c>
      <c r="R131">
        <v>3</v>
      </c>
      <c r="S131">
        <v>1</v>
      </c>
      <c r="T131" t="s">
        <v>36</v>
      </c>
      <c r="U131" t="s">
        <v>50</v>
      </c>
      <c r="V131">
        <v>0</v>
      </c>
      <c r="W131">
        <v>1</v>
      </c>
      <c r="X131" t="s">
        <v>59</v>
      </c>
      <c r="Y131" t="s">
        <v>79</v>
      </c>
      <c r="Z131" t="s">
        <v>66</v>
      </c>
      <c r="AA131" s="2">
        <v>45516</v>
      </c>
      <c r="AB131" t="b">
        <v>1</v>
      </c>
      <c r="AC131" t="b">
        <v>0</v>
      </c>
      <c r="AD131" t="s">
        <v>74</v>
      </c>
      <c r="AE131" t="s">
        <v>41</v>
      </c>
      <c r="AF131">
        <v>10</v>
      </c>
    </row>
    <row r="132" spans="1:32" x14ac:dyDescent="0.25">
      <c r="A132" t="s">
        <v>349</v>
      </c>
      <c r="B132">
        <v>130</v>
      </c>
      <c r="C132">
        <v>31</v>
      </c>
      <c r="D132" t="str">
        <f>IF(tbl_Original[[#This Row],[Gender2]]="Female","Female",IF(tbl_Original[[#This Row],[Gender2]]="Male","Male","Other"))</f>
        <v>Male</v>
      </c>
      <c r="E132" t="s">
        <v>43</v>
      </c>
      <c r="F132" t="s">
        <v>44</v>
      </c>
      <c r="G132" t="s">
        <v>76</v>
      </c>
      <c r="H132" t="s">
        <v>45</v>
      </c>
      <c r="I132" t="s">
        <v>30</v>
      </c>
      <c r="J132" t="str">
        <f>PROPER(TRIM(CLEAN(tbl_Original[[#This Row],[Column1]])))</f>
        <v>Dlbandn</v>
      </c>
      <c r="K132" t="s">
        <v>2151</v>
      </c>
      <c r="L132" t="s">
        <v>350</v>
      </c>
      <c r="M132" t="s">
        <v>101</v>
      </c>
      <c r="N132" s="1">
        <v>184.74</v>
      </c>
      <c r="O132">
        <v>5</v>
      </c>
      <c r="P132" t="s">
        <v>48</v>
      </c>
      <c r="Q132">
        <v>4</v>
      </c>
      <c r="R132">
        <v>4</v>
      </c>
      <c r="S132">
        <v>0</v>
      </c>
      <c r="T132" t="s">
        <v>49</v>
      </c>
      <c r="U132" t="s">
        <v>85</v>
      </c>
      <c r="V132">
        <v>1</v>
      </c>
      <c r="W132">
        <v>5</v>
      </c>
      <c r="X132" t="s">
        <v>44</v>
      </c>
      <c r="Y132" t="s">
        <v>38</v>
      </c>
      <c r="Z132" t="s">
        <v>61</v>
      </c>
      <c r="AA132" s="2">
        <v>45623</v>
      </c>
      <c r="AB132" t="b">
        <v>0</v>
      </c>
      <c r="AC132" t="b">
        <v>1</v>
      </c>
      <c r="AD132" t="s">
        <v>62</v>
      </c>
      <c r="AE132" t="s">
        <v>41</v>
      </c>
      <c r="AF132">
        <v>10</v>
      </c>
    </row>
    <row r="133" spans="1:32" x14ac:dyDescent="0.25">
      <c r="A133" t="s">
        <v>351</v>
      </c>
      <c r="B133">
        <v>131</v>
      </c>
      <c r="C133">
        <v>37</v>
      </c>
      <c r="D133" t="str">
        <f>IF(tbl_Original[[#This Row],[Gender2]]="Female","Female",IF(tbl_Original[[#This Row],[Gender2]]="Male","Male","Other"))</f>
        <v>Other</v>
      </c>
      <c r="E133" t="s">
        <v>352</v>
      </c>
      <c r="F133" t="s">
        <v>44</v>
      </c>
      <c r="G133" t="s">
        <v>76</v>
      </c>
      <c r="H133" t="s">
        <v>32</v>
      </c>
      <c r="I133" t="s">
        <v>30</v>
      </c>
      <c r="J133" t="str">
        <f>PROPER(TRIM(CLEAN(tbl_Original[[#This Row],[Column1]])))</f>
        <v>Shazi</v>
      </c>
      <c r="K133" t="s">
        <v>353</v>
      </c>
      <c r="L133" t="s">
        <v>353</v>
      </c>
      <c r="M133" t="s">
        <v>194</v>
      </c>
      <c r="N133" s="1">
        <v>442.18</v>
      </c>
      <c r="O133">
        <v>5</v>
      </c>
      <c r="P133" t="s">
        <v>48</v>
      </c>
      <c r="Q133">
        <v>4</v>
      </c>
      <c r="R133">
        <v>3</v>
      </c>
      <c r="S133">
        <v>1</v>
      </c>
      <c r="T133" t="s">
        <v>36</v>
      </c>
      <c r="U133" t="s">
        <v>85</v>
      </c>
      <c r="V133">
        <v>2</v>
      </c>
      <c r="W133">
        <v>10</v>
      </c>
      <c r="X133" t="s">
        <v>44</v>
      </c>
      <c r="Y133" t="s">
        <v>60</v>
      </c>
      <c r="Z133" t="s">
        <v>51</v>
      </c>
      <c r="AA133" s="2">
        <v>45316</v>
      </c>
      <c r="AB133" t="b">
        <v>0</v>
      </c>
      <c r="AC133" t="b">
        <v>0</v>
      </c>
      <c r="AD133" t="s">
        <v>62</v>
      </c>
      <c r="AE133" t="s">
        <v>67</v>
      </c>
      <c r="AF133">
        <v>12</v>
      </c>
    </row>
    <row r="134" spans="1:32" x14ac:dyDescent="0.25">
      <c r="A134" t="s">
        <v>354</v>
      </c>
      <c r="B134">
        <v>132</v>
      </c>
      <c r="C134">
        <v>49</v>
      </c>
      <c r="D134" t="str">
        <f>IF(tbl_Original[[#This Row],[Gender2]]="Female","Female",IF(tbl_Original[[#This Row],[Gender2]]="Male","Male","Other"))</f>
        <v>Male</v>
      </c>
      <c r="E134" t="s">
        <v>43</v>
      </c>
      <c r="F134" t="s">
        <v>44</v>
      </c>
      <c r="G134" t="s">
        <v>31</v>
      </c>
      <c r="H134" t="s">
        <v>45</v>
      </c>
      <c r="I134" t="s">
        <v>30</v>
      </c>
      <c r="J134" t="str">
        <f>PROPER(TRIM(CLEAN(tbl_Original[[#This Row],[Column1]])))</f>
        <v>Hachiji</v>
      </c>
      <c r="K134" t="s">
        <v>2152</v>
      </c>
      <c r="L134" t="s">
        <v>355</v>
      </c>
      <c r="M134" t="s">
        <v>142</v>
      </c>
      <c r="N134" s="1">
        <v>427.1</v>
      </c>
      <c r="O134">
        <v>8</v>
      </c>
      <c r="P134" t="s">
        <v>35</v>
      </c>
      <c r="Q134">
        <v>1</v>
      </c>
      <c r="R134">
        <v>2</v>
      </c>
      <c r="S134">
        <v>1</v>
      </c>
      <c r="T134" t="s">
        <v>44</v>
      </c>
      <c r="U134" t="s">
        <v>37</v>
      </c>
      <c r="V134">
        <v>0</v>
      </c>
      <c r="W134">
        <v>2</v>
      </c>
      <c r="X134" t="s">
        <v>49</v>
      </c>
      <c r="Y134" t="s">
        <v>79</v>
      </c>
      <c r="Z134" t="s">
        <v>51</v>
      </c>
      <c r="AA134" s="2">
        <v>45422</v>
      </c>
      <c r="AB134" t="b">
        <v>0</v>
      </c>
      <c r="AC134" t="b">
        <v>1</v>
      </c>
      <c r="AD134" t="s">
        <v>74</v>
      </c>
      <c r="AE134" t="s">
        <v>41</v>
      </c>
      <c r="AF134">
        <v>5</v>
      </c>
    </row>
    <row r="135" spans="1:32" x14ac:dyDescent="0.25">
      <c r="A135" t="s">
        <v>356</v>
      </c>
      <c r="B135">
        <v>133</v>
      </c>
      <c r="C135">
        <v>34</v>
      </c>
      <c r="D135" t="str">
        <f>IF(tbl_Original[[#This Row],[Gender2]]="Female","Female",IF(tbl_Original[[#This Row],[Gender2]]="Male","Male","Other"))</f>
        <v>Male</v>
      </c>
      <c r="E135" t="s">
        <v>43</v>
      </c>
      <c r="F135" t="s">
        <v>44</v>
      </c>
      <c r="G135" t="s">
        <v>69</v>
      </c>
      <c r="H135" t="s">
        <v>45</v>
      </c>
      <c r="I135" t="s">
        <v>44</v>
      </c>
      <c r="J135" t="str">
        <f>PROPER(TRIM(CLEAN(tbl_Original[[#This Row],[Column1]])))</f>
        <v>Jolo</v>
      </c>
      <c r="K135" t="s">
        <v>357</v>
      </c>
      <c r="L135" t="s">
        <v>357</v>
      </c>
      <c r="M135" t="s">
        <v>65</v>
      </c>
      <c r="N135" s="1">
        <v>326.82</v>
      </c>
      <c r="O135">
        <v>4</v>
      </c>
      <c r="P135" t="s">
        <v>35</v>
      </c>
      <c r="Q135">
        <v>3</v>
      </c>
      <c r="R135">
        <v>2</v>
      </c>
      <c r="S135">
        <v>1</v>
      </c>
      <c r="T135" t="s">
        <v>44</v>
      </c>
      <c r="U135" t="s">
        <v>37</v>
      </c>
      <c r="V135">
        <v>2</v>
      </c>
      <c r="W135">
        <v>5</v>
      </c>
      <c r="X135" t="s">
        <v>49</v>
      </c>
      <c r="Y135" t="s">
        <v>38</v>
      </c>
      <c r="Z135" t="s">
        <v>39</v>
      </c>
      <c r="AA135" s="2">
        <v>45404</v>
      </c>
      <c r="AB135" t="b">
        <v>1</v>
      </c>
      <c r="AC135" t="b">
        <v>0</v>
      </c>
      <c r="AD135" t="s">
        <v>74</v>
      </c>
      <c r="AE135" t="s">
        <v>53</v>
      </c>
      <c r="AF135">
        <v>4</v>
      </c>
    </row>
    <row r="136" spans="1:32" x14ac:dyDescent="0.25">
      <c r="A136" t="s">
        <v>358</v>
      </c>
      <c r="B136">
        <v>134</v>
      </c>
      <c r="C136">
        <v>41</v>
      </c>
      <c r="D136" t="str">
        <f>IF(tbl_Original[[#This Row],[Gender2]]="Female","Female",IF(tbl_Original[[#This Row],[Gender2]]="Male","Male","Other"))</f>
        <v>Male</v>
      </c>
      <c r="E136" t="s">
        <v>43</v>
      </c>
      <c r="F136" t="s">
        <v>44</v>
      </c>
      <c r="G136" t="s">
        <v>69</v>
      </c>
      <c r="H136" t="s">
        <v>45</v>
      </c>
      <c r="I136" t="s">
        <v>30</v>
      </c>
      <c r="J136" t="str">
        <f>PROPER(TRIM(CLEAN(tbl_Original[[#This Row],[Column1]])))</f>
        <v>Pedra Azul</v>
      </c>
      <c r="K136" t="s">
        <v>359</v>
      </c>
      <c r="L136" t="s">
        <v>359</v>
      </c>
      <c r="M136" t="s">
        <v>107</v>
      </c>
      <c r="N136" s="1">
        <v>98.97</v>
      </c>
      <c r="O136">
        <v>12</v>
      </c>
      <c r="P136" t="s">
        <v>48</v>
      </c>
      <c r="Q136">
        <v>2</v>
      </c>
      <c r="R136">
        <v>5</v>
      </c>
      <c r="S136">
        <v>2</v>
      </c>
      <c r="T136" t="s">
        <v>36</v>
      </c>
      <c r="U136" t="s">
        <v>85</v>
      </c>
      <c r="V136">
        <v>1</v>
      </c>
      <c r="W136">
        <v>7</v>
      </c>
      <c r="X136" t="s">
        <v>44</v>
      </c>
      <c r="Y136" t="s">
        <v>38</v>
      </c>
      <c r="Z136" t="s">
        <v>66</v>
      </c>
      <c r="AA136" s="2">
        <v>45370</v>
      </c>
      <c r="AB136" t="b">
        <v>1</v>
      </c>
      <c r="AC136" t="b">
        <v>1</v>
      </c>
      <c r="AD136" t="s">
        <v>62</v>
      </c>
      <c r="AE136" t="s">
        <v>41</v>
      </c>
      <c r="AF136">
        <v>11</v>
      </c>
    </row>
    <row r="137" spans="1:32" x14ac:dyDescent="0.25">
      <c r="A137" t="s">
        <v>360</v>
      </c>
      <c r="B137">
        <v>135</v>
      </c>
      <c r="C137">
        <v>33</v>
      </c>
      <c r="D137" t="str">
        <f>IF(tbl_Original[[#This Row],[Gender2]]="Female","Female",IF(tbl_Original[[#This Row],[Gender2]]="Male","Male","Other"))</f>
        <v>Male</v>
      </c>
      <c r="E137" t="s">
        <v>43</v>
      </c>
      <c r="F137" t="s">
        <v>44</v>
      </c>
      <c r="G137" t="s">
        <v>55</v>
      </c>
      <c r="H137" t="s">
        <v>45</v>
      </c>
      <c r="I137" t="s">
        <v>44</v>
      </c>
      <c r="J137" t="str">
        <f>PROPER(TRIM(CLEAN(tbl_Original[[#This Row],[Column1]])))</f>
        <v>Gustavsberg</v>
      </c>
      <c r="K137" t="s">
        <v>361</v>
      </c>
      <c r="L137" t="s">
        <v>361</v>
      </c>
      <c r="M137" t="s">
        <v>104</v>
      </c>
      <c r="N137" s="1">
        <v>77.650000000000006</v>
      </c>
      <c r="O137">
        <v>6</v>
      </c>
      <c r="P137" t="s">
        <v>78</v>
      </c>
      <c r="Q137">
        <v>1</v>
      </c>
      <c r="R137">
        <v>4</v>
      </c>
      <c r="S137">
        <v>1</v>
      </c>
      <c r="T137" t="s">
        <v>49</v>
      </c>
      <c r="U137" t="s">
        <v>37</v>
      </c>
      <c r="V137">
        <v>2</v>
      </c>
      <c r="W137">
        <v>3</v>
      </c>
      <c r="X137" t="s">
        <v>36</v>
      </c>
      <c r="Y137" t="s">
        <v>38</v>
      </c>
      <c r="Z137" t="s">
        <v>86</v>
      </c>
      <c r="AA137" s="2">
        <v>45315</v>
      </c>
      <c r="AB137" t="b">
        <v>1</v>
      </c>
      <c r="AC137" t="b">
        <v>1</v>
      </c>
      <c r="AD137" t="s">
        <v>74</v>
      </c>
      <c r="AE137" t="s">
        <v>41</v>
      </c>
      <c r="AF137">
        <v>1</v>
      </c>
    </row>
    <row r="138" spans="1:32" x14ac:dyDescent="0.25">
      <c r="A138" t="s">
        <v>362</v>
      </c>
      <c r="B138">
        <v>136</v>
      </c>
      <c r="C138">
        <v>47</v>
      </c>
      <c r="D138" t="str">
        <f>IF(tbl_Original[[#This Row],[Gender2]]="Female","Female",IF(tbl_Original[[#This Row],[Gender2]]="Male","Male","Other"))</f>
        <v>Female</v>
      </c>
      <c r="E138" t="s">
        <v>29</v>
      </c>
      <c r="F138" t="s">
        <v>30</v>
      </c>
      <c r="G138" t="s">
        <v>69</v>
      </c>
      <c r="H138" t="s">
        <v>56</v>
      </c>
      <c r="I138" t="s">
        <v>44</v>
      </c>
      <c r="J138" t="str">
        <f>PROPER(TRIM(CLEAN(tbl_Original[[#This Row],[Column1]])))</f>
        <v>La Mohammedia</v>
      </c>
      <c r="K138" t="s">
        <v>363</v>
      </c>
      <c r="L138" t="s">
        <v>363</v>
      </c>
      <c r="M138" t="s">
        <v>117</v>
      </c>
      <c r="N138" s="1">
        <v>85.61</v>
      </c>
      <c r="O138">
        <v>2</v>
      </c>
      <c r="P138" t="s">
        <v>78</v>
      </c>
      <c r="Q138">
        <v>4</v>
      </c>
      <c r="R138">
        <v>2</v>
      </c>
      <c r="S138">
        <v>1</v>
      </c>
      <c r="T138" t="s">
        <v>44</v>
      </c>
      <c r="U138" t="s">
        <v>50</v>
      </c>
      <c r="V138">
        <v>1</v>
      </c>
      <c r="W138">
        <v>3</v>
      </c>
      <c r="X138" t="s">
        <v>59</v>
      </c>
      <c r="Y138" t="s">
        <v>79</v>
      </c>
      <c r="Z138" t="s">
        <v>66</v>
      </c>
      <c r="AA138" s="2">
        <v>45569</v>
      </c>
      <c r="AB138" t="b">
        <v>1</v>
      </c>
      <c r="AC138" t="b">
        <v>1</v>
      </c>
      <c r="AD138" t="s">
        <v>40</v>
      </c>
      <c r="AE138" t="s">
        <v>53</v>
      </c>
      <c r="AF138">
        <v>5</v>
      </c>
    </row>
    <row r="139" spans="1:32" x14ac:dyDescent="0.25">
      <c r="A139" t="s">
        <v>364</v>
      </c>
      <c r="B139">
        <v>137</v>
      </c>
      <c r="C139">
        <v>47</v>
      </c>
      <c r="D139" t="str">
        <f>IF(tbl_Original[[#This Row],[Gender2]]="Female","Female",IF(tbl_Original[[#This Row],[Gender2]]="Male","Male","Other"))</f>
        <v>Male</v>
      </c>
      <c r="E139" t="s">
        <v>43</v>
      </c>
      <c r="F139" t="s">
        <v>44</v>
      </c>
      <c r="G139" t="s">
        <v>69</v>
      </c>
      <c r="H139" t="s">
        <v>45</v>
      </c>
      <c r="I139" t="s">
        <v>44</v>
      </c>
      <c r="J139" t="str">
        <f>PROPER(TRIM(CLEAN(tbl_Original[[#This Row],[Column1]])))</f>
        <v>Florida</v>
      </c>
      <c r="K139" t="s">
        <v>365</v>
      </c>
      <c r="L139" t="s">
        <v>365</v>
      </c>
      <c r="M139" t="s">
        <v>47</v>
      </c>
      <c r="N139" s="1">
        <v>164.79</v>
      </c>
      <c r="O139">
        <v>4</v>
      </c>
      <c r="P139" t="s">
        <v>48</v>
      </c>
      <c r="Q139">
        <v>3</v>
      </c>
      <c r="R139">
        <v>2</v>
      </c>
      <c r="S139">
        <v>0</v>
      </c>
      <c r="T139" t="s">
        <v>36</v>
      </c>
      <c r="U139" t="s">
        <v>37</v>
      </c>
      <c r="V139">
        <v>2</v>
      </c>
      <c r="W139">
        <v>5</v>
      </c>
      <c r="X139" t="s">
        <v>44</v>
      </c>
      <c r="Y139" t="s">
        <v>38</v>
      </c>
      <c r="Z139" t="s">
        <v>39</v>
      </c>
      <c r="AA139" s="2">
        <v>45435</v>
      </c>
      <c r="AB139" t="b">
        <v>1</v>
      </c>
      <c r="AC139" t="b">
        <v>1</v>
      </c>
      <c r="AD139" t="s">
        <v>62</v>
      </c>
      <c r="AE139" t="s">
        <v>41</v>
      </c>
      <c r="AF139">
        <v>1</v>
      </c>
    </row>
    <row r="140" spans="1:32" x14ac:dyDescent="0.25">
      <c r="A140" t="s">
        <v>366</v>
      </c>
      <c r="B140">
        <v>138</v>
      </c>
      <c r="C140">
        <v>29</v>
      </c>
      <c r="D140" t="str">
        <f>IF(tbl_Original[[#This Row],[Gender2]]="Female","Female",IF(tbl_Original[[#This Row],[Gender2]]="Male","Male","Other"))</f>
        <v>Female</v>
      </c>
      <c r="E140" t="s">
        <v>29</v>
      </c>
      <c r="F140" t="s">
        <v>44</v>
      </c>
      <c r="G140" t="s">
        <v>69</v>
      </c>
      <c r="H140" t="s">
        <v>45</v>
      </c>
      <c r="I140" t="s">
        <v>44</v>
      </c>
      <c r="J140" t="str">
        <f>PROPER(TRIM(CLEAN(tbl_Original[[#This Row],[Column1]])))</f>
        <v>Zhongcheng</v>
      </c>
      <c r="K140" t="s">
        <v>367</v>
      </c>
      <c r="L140" t="s">
        <v>367</v>
      </c>
      <c r="M140" t="s">
        <v>142</v>
      </c>
      <c r="N140" s="1">
        <v>235.46</v>
      </c>
      <c r="O140">
        <v>10</v>
      </c>
      <c r="P140" t="s">
        <v>48</v>
      </c>
      <c r="Q140">
        <v>3</v>
      </c>
      <c r="R140">
        <v>4</v>
      </c>
      <c r="S140">
        <v>2</v>
      </c>
      <c r="T140" t="s">
        <v>36</v>
      </c>
      <c r="U140" t="s">
        <v>50</v>
      </c>
      <c r="V140">
        <v>0</v>
      </c>
      <c r="W140">
        <v>7</v>
      </c>
      <c r="X140" t="s">
        <v>36</v>
      </c>
      <c r="Y140" t="s">
        <v>79</v>
      </c>
      <c r="Z140" t="s">
        <v>39</v>
      </c>
      <c r="AA140" s="2">
        <v>45609</v>
      </c>
      <c r="AB140" t="b">
        <v>0</v>
      </c>
      <c r="AC140" t="b">
        <v>1</v>
      </c>
      <c r="AD140" t="s">
        <v>62</v>
      </c>
      <c r="AE140" t="s">
        <v>41</v>
      </c>
      <c r="AF140">
        <v>2</v>
      </c>
    </row>
    <row r="141" spans="1:32" x14ac:dyDescent="0.25">
      <c r="A141" t="s">
        <v>368</v>
      </c>
      <c r="B141">
        <v>139</v>
      </c>
      <c r="C141">
        <v>36</v>
      </c>
      <c r="D141" t="str">
        <f>IF(tbl_Original[[#This Row],[Gender2]]="Female","Female",IF(tbl_Original[[#This Row],[Gender2]]="Male","Male","Other"))</f>
        <v>Female</v>
      </c>
      <c r="E141" t="s">
        <v>29</v>
      </c>
      <c r="F141" t="s">
        <v>44</v>
      </c>
      <c r="G141" t="s">
        <v>69</v>
      </c>
      <c r="H141" t="s">
        <v>56</v>
      </c>
      <c r="I141" t="s">
        <v>30</v>
      </c>
      <c r="J141" t="str">
        <f>PROPER(TRIM(CLEAN(tbl_Original[[#This Row],[Column1]])))</f>
        <v>Goiatuba</v>
      </c>
      <c r="K141" t="s">
        <v>369</v>
      </c>
      <c r="L141" t="s">
        <v>369</v>
      </c>
      <c r="M141" t="s">
        <v>82</v>
      </c>
      <c r="N141" s="1">
        <v>245.14</v>
      </c>
      <c r="O141">
        <v>4</v>
      </c>
      <c r="P141" t="s">
        <v>78</v>
      </c>
      <c r="Q141">
        <v>4</v>
      </c>
      <c r="R141">
        <v>5</v>
      </c>
      <c r="S141">
        <v>1</v>
      </c>
      <c r="T141" t="s">
        <v>44</v>
      </c>
      <c r="U141" t="s">
        <v>85</v>
      </c>
      <c r="V141">
        <v>1</v>
      </c>
      <c r="W141">
        <v>4</v>
      </c>
      <c r="X141" t="s">
        <v>49</v>
      </c>
      <c r="Y141" t="s">
        <v>60</v>
      </c>
      <c r="Z141" t="s">
        <v>51</v>
      </c>
      <c r="AA141" s="2">
        <v>45354</v>
      </c>
      <c r="AB141" t="b">
        <v>1</v>
      </c>
      <c r="AC141" t="b">
        <v>0</v>
      </c>
      <c r="AD141" t="s">
        <v>62</v>
      </c>
      <c r="AE141" t="s">
        <v>53</v>
      </c>
      <c r="AF141">
        <v>3</v>
      </c>
    </row>
    <row r="142" spans="1:32" x14ac:dyDescent="0.25">
      <c r="A142" t="s">
        <v>370</v>
      </c>
      <c r="B142">
        <v>140</v>
      </c>
      <c r="C142">
        <v>43</v>
      </c>
      <c r="D142" t="str">
        <f>IF(tbl_Original[[#This Row],[Gender2]]="Female","Female",IF(tbl_Original[[#This Row],[Gender2]]="Male","Male","Other"))</f>
        <v>Male</v>
      </c>
      <c r="E142" t="s">
        <v>43</v>
      </c>
      <c r="F142" t="s">
        <v>44</v>
      </c>
      <c r="G142" t="s">
        <v>76</v>
      </c>
      <c r="H142" t="s">
        <v>32</v>
      </c>
      <c r="I142" t="s">
        <v>30</v>
      </c>
      <c r="J142" t="str">
        <f>PROPER(TRIM(CLEAN(tbl_Original[[#This Row],[Column1]])))</f>
        <v>Krajan Kidul Rojopolo</v>
      </c>
      <c r="K142" t="s">
        <v>371</v>
      </c>
      <c r="L142" t="s">
        <v>371</v>
      </c>
      <c r="M142" t="s">
        <v>126</v>
      </c>
      <c r="N142" s="1">
        <v>439.91</v>
      </c>
      <c r="O142">
        <v>5</v>
      </c>
      <c r="P142" t="s">
        <v>78</v>
      </c>
      <c r="Q142">
        <v>1</v>
      </c>
      <c r="R142">
        <v>4</v>
      </c>
      <c r="S142">
        <v>2</v>
      </c>
      <c r="T142" t="s">
        <v>59</v>
      </c>
      <c r="U142" t="s">
        <v>37</v>
      </c>
      <c r="V142">
        <v>0</v>
      </c>
      <c r="W142">
        <v>9</v>
      </c>
      <c r="X142" t="s">
        <v>49</v>
      </c>
      <c r="Y142" t="s">
        <v>60</v>
      </c>
      <c r="Z142" t="s">
        <v>66</v>
      </c>
      <c r="AA142" s="2">
        <v>45354</v>
      </c>
      <c r="AB142" t="b">
        <v>0</v>
      </c>
      <c r="AC142" t="b">
        <v>0</v>
      </c>
      <c r="AD142" t="s">
        <v>40</v>
      </c>
      <c r="AE142" t="s">
        <v>67</v>
      </c>
      <c r="AF142">
        <v>10</v>
      </c>
    </row>
    <row r="143" spans="1:32" x14ac:dyDescent="0.25">
      <c r="A143" t="s">
        <v>372</v>
      </c>
      <c r="B143">
        <v>141</v>
      </c>
      <c r="C143">
        <v>31</v>
      </c>
      <c r="D143" t="str">
        <f>IF(tbl_Original[[#This Row],[Gender2]]="Female","Female",IF(tbl_Original[[#This Row],[Gender2]]="Male","Male","Other"))</f>
        <v>Male</v>
      </c>
      <c r="E143" t="s">
        <v>43</v>
      </c>
      <c r="F143" t="s">
        <v>44</v>
      </c>
      <c r="G143" t="s">
        <v>69</v>
      </c>
      <c r="H143" t="s">
        <v>45</v>
      </c>
      <c r="I143" t="s">
        <v>44</v>
      </c>
      <c r="J143" t="str">
        <f>PROPER(TRIM(CLEAN(tbl_Original[[#This Row],[Column1]])))</f>
        <v>Metchosin</v>
      </c>
      <c r="K143" t="s">
        <v>373</v>
      </c>
      <c r="L143" t="s">
        <v>373</v>
      </c>
      <c r="M143" t="s">
        <v>65</v>
      </c>
      <c r="N143" s="1">
        <v>309.22000000000003</v>
      </c>
      <c r="O143">
        <v>5</v>
      </c>
      <c r="P143" t="s">
        <v>35</v>
      </c>
      <c r="Q143">
        <v>3</v>
      </c>
      <c r="R143">
        <v>5</v>
      </c>
      <c r="S143">
        <v>2</v>
      </c>
      <c r="T143" t="s">
        <v>59</v>
      </c>
      <c r="U143" t="s">
        <v>50</v>
      </c>
      <c r="V143">
        <v>2</v>
      </c>
      <c r="W143">
        <v>4</v>
      </c>
      <c r="X143" t="s">
        <v>36</v>
      </c>
      <c r="Y143" t="s">
        <v>38</v>
      </c>
      <c r="Z143" t="s">
        <v>86</v>
      </c>
      <c r="AA143" s="2">
        <v>45375</v>
      </c>
      <c r="AB143" t="b">
        <v>0</v>
      </c>
      <c r="AC143" t="b">
        <v>0</v>
      </c>
      <c r="AD143" t="s">
        <v>74</v>
      </c>
      <c r="AE143" t="s">
        <v>53</v>
      </c>
      <c r="AF143">
        <v>10</v>
      </c>
    </row>
    <row r="144" spans="1:32" x14ac:dyDescent="0.25">
      <c r="A144" t="s">
        <v>374</v>
      </c>
      <c r="B144">
        <v>142</v>
      </c>
      <c r="C144">
        <v>27</v>
      </c>
      <c r="D144" t="str">
        <f>IF(tbl_Original[[#This Row],[Gender2]]="Female","Female",IF(tbl_Original[[#This Row],[Gender2]]="Male","Male","Other"))</f>
        <v>Male</v>
      </c>
      <c r="E144" t="s">
        <v>43</v>
      </c>
      <c r="F144" t="s">
        <v>30</v>
      </c>
      <c r="G144" t="s">
        <v>69</v>
      </c>
      <c r="H144" t="s">
        <v>56</v>
      </c>
      <c r="I144" t="s">
        <v>30</v>
      </c>
      <c r="J144" t="str">
        <f>PROPER(TRIM(CLEAN(tbl_Original[[#This Row],[Column1]])))</f>
        <v>Staritsa</v>
      </c>
      <c r="K144" t="s">
        <v>375</v>
      </c>
      <c r="L144" t="s">
        <v>375</v>
      </c>
      <c r="M144" t="s">
        <v>158</v>
      </c>
      <c r="N144" s="1">
        <v>146.59</v>
      </c>
      <c r="O144">
        <v>10</v>
      </c>
      <c r="P144" t="s">
        <v>35</v>
      </c>
      <c r="Q144">
        <v>5</v>
      </c>
      <c r="R144">
        <v>1</v>
      </c>
      <c r="S144">
        <v>2</v>
      </c>
      <c r="T144" t="s">
        <v>59</v>
      </c>
      <c r="U144" t="s">
        <v>85</v>
      </c>
      <c r="V144">
        <v>0</v>
      </c>
      <c r="W144">
        <v>2</v>
      </c>
      <c r="X144" t="s">
        <v>36</v>
      </c>
      <c r="Y144" t="s">
        <v>60</v>
      </c>
      <c r="Z144" t="s">
        <v>86</v>
      </c>
      <c r="AA144" s="2">
        <v>45313</v>
      </c>
      <c r="AB144" t="b">
        <v>0</v>
      </c>
      <c r="AC144" t="b">
        <v>1</v>
      </c>
      <c r="AD144" t="s">
        <v>62</v>
      </c>
      <c r="AE144" t="s">
        <v>41</v>
      </c>
      <c r="AF144">
        <v>3</v>
      </c>
    </row>
    <row r="145" spans="1:32" x14ac:dyDescent="0.25">
      <c r="A145" t="s">
        <v>376</v>
      </c>
      <c r="B145">
        <v>143</v>
      </c>
      <c r="C145">
        <v>48</v>
      </c>
      <c r="D145" t="str">
        <f>IF(tbl_Original[[#This Row],[Gender2]]="Female","Female",IF(tbl_Original[[#This Row],[Gender2]]="Male","Male","Other"))</f>
        <v>Male</v>
      </c>
      <c r="E145" t="s">
        <v>43</v>
      </c>
      <c r="F145" t="s">
        <v>30</v>
      </c>
      <c r="G145" t="s">
        <v>55</v>
      </c>
      <c r="H145" t="s">
        <v>45</v>
      </c>
      <c r="I145" t="s">
        <v>30</v>
      </c>
      <c r="J145" t="str">
        <f>PROPER(TRIM(CLEAN(tbl_Original[[#This Row],[Column1]])))</f>
        <v>Benito Juarez</v>
      </c>
      <c r="K145" t="s">
        <v>377</v>
      </c>
      <c r="L145" t="s">
        <v>377</v>
      </c>
      <c r="M145" t="s">
        <v>107</v>
      </c>
      <c r="N145" s="1">
        <v>298.73</v>
      </c>
      <c r="O145">
        <v>4</v>
      </c>
      <c r="P145" t="s">
        <v>78</v>
      </c>
      <c r="Q145">
        <v>1</v>
      </c>
      <c r="R145">
        <v>5</v>
      </c>
      <c r="S145">
        <v>1</v>
      </c>
      <c r="T145" t="s">
        <v>44</v>
      </c>
      <c r="U145" t="s">
        <v>50</v>
      </c>
      <c r="V145">
        <v>0</v>
      </c>
      <c r="W145">
        <v>2</v>
      </c>
      <c r="X145" t="s">
        <v>59</v>
      </c>
      <c r="Y145" t="s">
        <v>38</v>
      </c>
      <c r="Z145" t="s">
        <v>61</v>
      </c>
      <c r="AA145" s="2">
        <v>45598</v>
      </c>
      <c r="AB145" t="b">
        <v>0</v>
      </c>
      <c r="AC145" t="b">
        <v>1</v>
      </c>
      <c r="AD145" t="s">
        <v>40</v>
      </c>
      <c r="AE145" t="s">
        <v>41</v>
      </c>
      <c r="AF145">
        <v>4</v>
      </c>
    </row>
    <row r="146" spans="1:32" x14ac:dyDescent="0.25">
      <c r="A146" t="s">
        <v>378</v>
      </c>
      <c r="B146">
        <v>144</v>
      </c>
      <c r="C146">
        <v>19</v>
      </c>
      <c r="D146" t="str">
        <f>IF(tbl_Original[[#This Row],[Gender2]]="Female","Female",IF(tbl_Original[[#This Row],[Gender2]]="Male","Male","Other"))</f>
        <v>Other</v>
      </c>
      <c r="E146" t="s">
        <v>352</v>
      </c>
      <c r="F146" t="s">
        <v>44</v>
      </c>
      <c r="G146" t="s">
        <v>55</v>
      </c>
      <c r="H146" t="s">
        <v>32</v>
      </c>
      <c r="I146" t="s">
        <v>44</v>
      </c>
      <c r="J146" t="str">
        <f>PROPER(TRIM(CLEAN(tbl_Original[[#This Row],[Column1]])))</f>
        <v>Man</v>
      </c>
      <c r="K146" t="s">
        <v>2153</v>
      </c>
      <c r="L146" t="s">
        <v>379</v>
      </c>
      <c r="M146" t="s">
        <v>47</v>
      </c>
      <c r="N146" s="1">
        <v>395.01</v>
      </c>
      <c r="O146">
        <v>2</v>
      </c>
      <c r="P146" t="s">
        <v>35</v>
      </c>
      <c r="Q146">
        <v>1</v>
      </c>
      <c r="R146">
        <v>2</v>
      </c>
      <c r="S146">
        <v>2</v>
      </c>
      <c r="T146" t="s">
        <v>49</v>
      </c>
      <c r="U146" t="s">
        <v>85</v>
      </c>
      <c r="V146">
        <v>0</v>
      </c>
      <c r="W146">
        <v>6</v>
      </c>
      <c r="X146" t="s">
        <v>49</v>
      </c>
      <c r="Y146" t="s">
        <v>79</v>
      </c>
      <c r="Z146" t="s">
        <v>39</v>
      </c>
      <c r="AA146" s="2">
        <v>45400</v>
      </c>
      <c r="AB146" t="b">
        <v>1</v>
      </c>
      <c r="AC146" t="b">
        <v>0</v>
      </c>
      <c r="AD146" t="s">
        <v>52</v>
      </c>
      <c r="AE146" t="s">
        <v>53</v>
      </c>
      <c r="AF146">
        <v>3</v>
      </c>
    </row>
    <row r="147" spans="1:32" x14ac:dyDescent="0.25">
      <c r="A147" t="s">
        <v>380</v>
      </c>
      <c r="B147">
        <v>145</v>
      </c>
      <c r="C147">
        <v>41</v>
      </c>
      <c r="D147" t="str">
        <f>IF(tbl_Original[[#This Row],[Gender2]]="Female","Female",IF(tbl_Original[[#This Row],[Gender2]]="Male","Male","Other"))</f>
        <v>Male</v>
      </c>
      <c r="E147" t="s">
        <v>43</v>
      </c>
      <c r="F147" t="s">
        <v>30</v>
      </c>
      <c r="G147" t="s">
        <v>31</v>
      </c>
      <c r="H147" t="s">
        <v>32</v>
      </c>
      <c r="I147" t="s">
        <v>44</v>
      </c>
      <c r="J147" t="str">
        <f>PROPER(TRIM(CLEAN(tbl_Original[[#This Row],[Column1]])))</f>
        <v>Vitali</v>
      </c>
      <c r="K147" t="s">
        <v>381</v>
      </c>
      <c r="L147" t="s">
        <v>381</v>
      </c>
      <c r="M147" t="s">
        <v>117</v>
      </c>
      <c r="N147" s="1">
        <v>371.19</v>
      </c>
      <c r="O147">
        <v>10</v>
      </c>
      <c r="P147" t="s">
        <v>35</v>
      </c>
      <c r="Q147">
        <v>1</v>
      </c>
      <c r="R147">
        <v>2</v>
      </c>
      <c r="S147">
        <v>2</v>
      </c>
      <c r="T147" t="s">
        <v>44</v>
      </c>
      <c r="U147" t="s">
        <v>37</v>
      </c>
      <c r="V147">
        <v>1</v>
      </c>
      <c r="W147">
        <v>8</v>
      </c>
      <c r="X147" t="s">
        <v>49</v>
      </c>
      <c r="Y147" t="s">
        <v>79</v>
      </c>
      <c r="Z147" t="s">
        <v>39</v>
      </c>
      <c r="AA147" s="2">
        <v>45531</v>
      </c>
      <c r="AB147" t="b">
        <v>0</v>
      </c>
      <c r="AC147" t="b">
        <v>0</v>
      </c>
      <c r="AD147" t="s">
        <v>74</v>
      </c>
      <c r="AE147" t="s">
        <v>67</v>
      </c>
      <c r="AF147">
        <v>1</v>
      </c>
    </row>
    <row r="148" spans="1:32" x14ac:dyDescent="0.25">
      <c r="A148" t="s">
        <v>382</v>
      </c>
      <c r="B148">
        <v>146</v>
      </c>
      <c r="C148">
        <v>33</v>
      </c>
      <c r="D148" t="str">
        <f>IF(tbl_Original[[#This Row],[Gender2]]="Female","Female",IF(tbl_Original[[#This Row],[Gender2]]="Male","Male","Other"))</f>
        <v>Female</v>
      </c>
      <c r="E148" t="s">
        <v>29</v>
      </c>
      <c r="F148" t="s">
        <v>30</v>
      </c>
      <c r="G148" t="s">
        <v>31</v>
      </c>
      <c r="H148" t="s">
        <v>56</v>
      </c>
      <c r="I148" t="s">
        <v>44</v>
      </c>
      <c r="J148" t="str">
        <f>PROPER(TRIM(CLEAN(tbl_Original[[#This Row],[Column1]])))</f>
        <v>Mizque</v>
      </c>
      <c r="K148" t="s">
        <v>383</v>
      </c>
      <c r="L148" t="s">
        <v>383</v>
      </c>
      <c r="M148" t="s">
        <v>117</v>
      </c>
      <c r="N148" s="1">
        <v>193.76</v>
      </c>
      <c r="O148">
        <v>10</v>
      </c>
      <c r="P148" t="s">
        <v>35</v>
      </c>
      <c r="Q148">
        <v>4</v>
      </c>
      <c r="R148">
        <v>3</v>
      </c>
      <c r="S148">
        <v>1</v>
      </c>
      <c r="T148" t="s">
        <v>49</v>
      </c>
      <c r="U148" t="s">
        <v>50</v>
      </c>
      <c r="V148">
        <v>0</v>
      </c>
      <c r="W148">
        <v>2</v>
      </c>
      <c r="X148" t="s">
        <v>59</v>
      </c>
      <c r="Y148" t="s">
        <v>79</v>
      </c>
      <c r="Z148" t="s">
        <v>61</v>
      </c>
      <c r="AA148" s="2">
        <v>45325</v>
      </c>
      <c r="AB148" t="b">
        <v>0</v>
      </c>
      <c r="AC148" t="b">
        <v>0</v>
      </c>
      <c r="AD148" t="s">
        <v>52</v>
      </c>
      <c r="AE148" t="s">
        <v>41</v>
      </c>
      <c r="AF148">
        <v>12</v>
      </c>
    </row>
    <row r="149" spans="1:32" x14ac:dyDescent="0.25">
      <c r="A149" t="s">
        <v>384</v>
      </c>
      <c r="B149">
        <v>147</v>
      </c>
      <c r="C149">
        <v>43</v>
      </c>
      <c r="D149" t="str">
        <f>IF(tbl_Original[[#This Row],[Gender2]]="Female","Female",IF(tbl_Original[[#This Row],[Gender2]]="Male","Male","Other"))</f>
        <v>Male</v>
      </c>
      <c r="E149" t="s">
        <v>43</v>
      </c>
      <c r="F149" t="s">
        <v>30</v>
      </c>
      <c r="G149" t="s">
        <v>76</v>
      </c>
      <c r="H149" t="s">
        <v>56</v>
      </c>
      <c r="I149" t="s">
        <v>44</v>
      </c>
      <c r="J149" t="str">
        <f>PROPER(TRIM(CLEAN(tbl_Original[[#This Row],[Column1]])))</f>
        <v>Zgornje Pirnie</v>
      </c>
      <c r="K149" t="s">
        <v>2154</v>
      </c>
      <c r="L149" t="s">
        <v>385</v>
      </c>
      <c r="M149" t="s">
        <v>123</v>
      </c>
      <c r="N149" s="1">
        <v>424.27</v>
      </c>
      <c r="O149">
        <v>6</v>
      </c>
      <c r="P149" t="s">
        <v>78</v>
      </c>
      <c r="Q149">
        <v>1</v>
      </c>
      <c r="R149">
        <v>4</v>
      </c>
      <c r="S149">
        <v>2</v>
      </c>
      <c r="T149" t="s">
        <v>36</v>
      </c>
      <c r="U149" t="s">
        <v>50</v>
      </c>
      <c r="V149">
        <v>2</v>
      </c>
      <c r="W149">
        <v>8</v>
      </c>
      <c r="X149" t="s">
        <v>59</v>
      </c>
      <c r="Y149" t="s">
        <v>38</v>
      </c>
      <c r="Z149" t="s">
        <v>86</v>
      </c>
      <c r="AA149" s="2">
        <v>45550</v>
      </c>
      <c r="AB149" t="b">
        <v>1</v>
      </c>
      <c r="AC149" t="b">
        <v>1</v>
      </c>
      <c r="AD149" t="s">
        <v>74</v>
      </c>
      <c r="AE149" t="s">
        <v>53</v>
      </c>
      <c r="AF149">
        <v>12</v>
      </c>
    </row>
    <row r="150" spans="1:32" x14ac:dyDescent="0.25">
      <c r="A150" t="s">
        <v>386</v>
      </c>
      <c r="B150">
        <v>148</v>
      </c>
      <c r="C150">
        <v>38</v>
      </c>
      <c r="D150" t="str">
        <f>IF(tbl_Original[[#This Row],[Gender2]]="Female","Female",IF(tbl_Original[[#This Row],[Gender2]]="Male","Male","Other"))</f>
        <v>Male</v>
      </c>
      <c r="E150" t="s">
        <v>43</v>
      </c>
      <c r="F150" t="s">
        <v>44</v>
      </c>
      <c r="G150" t="s">
        <v>55</v>
      </c>
      <c r="H150" t="s">
        <v>32</v>
      </c>
      <c r="I150" t="s">
        <v>44</v>
      </c>
      <c r="J150" t="str">
        <f>PROPER(TRIM(CLEAN(tbl_Original[[#This Row],[Column1]])))</f>
        <v>Cipolletti</v>
      </c>
      <c r="K150" t="s">
        <v>387</v>
      </c>
      <c r="L150" t="s">
        <v>387</v>
      </c>
      <c r="M150" t="s">
        <v>246</v>
      </c>
      <c r="N150" s="1">
        <v>496.11</v>
      </c>
      <c r="O150">
        <v>2</v>
      </c>
      <c r="P150" t="s">
        <v>35</v>
      </c>
      <c r="Q150">
        <v>2</v>
      </c>
      <c r="R150">
        <v>3</v>
      </c>
      <c r="S150">
        <v>1</v>
      </c>
      <c r="T150" t="s">
        <v>44</v>
      </c>
      <c r="U150" t="s">
        <v>37</v>
      </c>
      <c r="V150">
        <v>2</v>
      </c>
      <c r="W150">
        <v>8</v>
      </c>
      <c r="X150" t="s">
        <v>44</v>
      </c>
      <c r="Y150" t="s">
        <v>60</v>
      </c>
      <c r="Z150" t="s">
        <v>51</v>
      </c>
      <c r="AA150" s="2">
        <v>45451</v>
      </c>
      <c r="AB150" t="b">
        <v>1</v>
      </c>
      <c r="AC150" t="b">
        <v>0</v>
      </c>
      <c r="AD150" t="s">
        <v>62</v>
      </c>
      <c r="AE150" t="s">
        <v>53</v>
      </c>
      <c r="AF150">
        <v>12</v>
      </c>
    </row>
    <row r="151" spans="1:32" x14ac:dyDescent="0.25">
      <c r="A151" t="s">
        <v>388</v>
      </c>
      <c r="B151">
        <v>149</v>
      </c>
      <c r="C151">
        <v>41</v>
      </c>
      <c r="D151" t="str">
        <f>IF(tbl_Original[[#This Row],[Gender2]]="Female","Female",IF(tbl_Original[[#This Row],[Gender2]]="Male","Male","Other"))</f>
        <v>Male</v>
      </c>
      <c r="E151" t="s">
        <v>43</v>
      </c>
      <c r="F151" t="s">
        <v>44</v>
      </c>
      <c r="G151" t="s">
        <v>69</v>
      </c>
      <c r="H151" t="s">
        <v>32</v>
      </c>
      <c r="I151" t="s">
        <v>30</v>
      </c>
      <c r="J151" t="str">
        <f>PROPER(TRIM(CLEAN(tbl_Original[[#This Row],[Column1]])))</f>
        <v>Sollefte</v>
      </c>
      <c r="K151" t="s">
        <v>2155</v>
      </c>
      <c r="L151" t="s">
        <v>389</v>
      </c>
      <c r="M151" t="s">
        <v>123</v>
      </c>
      <c r="N151" s="1">
        <v>341.91</v>
      </c>
      <c r="O151">
        <v>3</v>
      </c>
      <c r="P151" t="s">
        <v>78</v>
      </c>
      <c r="Q151">
        <v>4</v>
      </c>
      <c r="R151">
        <v>4</v>
      </c>
      <c r="S151">
        <v>0</v>
      </c>
      <c r="T151" t="s">
        <v>59</v>
      </c>
      <c r="U151" t="s">
        <v>50</v>
      </c>
      <c r="V151">
        <v>1</v>
      </c>
      <c r="W151">
        <v>9</v>
      </c>
      <c r="X151" t="s">
        <v>36</v>
      </c>
      <c r="Y151" t="s">
        <v>38</v>
      </c>
      <c r="Z151" t="s">
        <v>86</v>
      </c>
      <c r="AA151" s="2">
        <v>45443</v>
      </c>
      <c r="AB151" t="b">
        <v>0</v>
      </c>
      <c r="AC151" t="b">
        <v>0</v>
      </c>
      <c r="AD151" t="s">
        <v>62</v>
      </c>
      <c r="AE151" t="s">
        <v>67</v>
      </c>
      <c r="AF151">
        <v>7</v>
      </c>
    </row>
    <row r="152" spans="1:32" x14ac:dyDescent="0.25">
      <c r="A152" t="s">
        <v>390</v>
      </c>
      <c r="B152">
        <v>150</v>
      </c>
      <c r="C152">
        <v>40</v>
      </c>
      <c r="D152" t="str">
        <f>IF(tbl_Original[[#This Row],[Gender2]]="Female","Female",IF(tbl_Original[[#This Row],[Gender2]]="Male","Male","Other"))</f>
        <v>Male</v>
      </c>
      <c r="E152" t="s">
        <v>43</v>
      </c>
      <c r="F152" t="s">
        <v>44</v>
      </c>
      <c r="G152" t="s">
        <v>31</v>
      </c>
      <c r="H152" t="s">
        <v>56</v>
      </c>
      <c r="I152" t="s">
        <v>44</v>
      </c>
      <c r="J152" t="str">
        <f>PROPER(TRIM(CLEAN(tbl_Original[[#This Row],[Column1]])))</f>
        <v>Klonowa</v>
      </c>
      <c r="K152" t="s">
        <v>391</v>
      </c>
      <c r="L152" t="s">
        <v>391</v>
      </c>
      <c r="M152" t="s">
        <v>34</v>
      </c>
      <c r="N152" s="1">
        <v>127.66</v>
      </c>
      <c r="O152">
        <v>11</v>
      </c>
      <c r="P152" t="s">
        <v>78</v>
      </c>
      <c r="Q152">
        <v>1</v>
      </c>
      <c r="R152">
        <v>2</v>
      </c>
      <c r="S152">
        <v>2</v>
      </c>
      <c r="T152" t="s">
        <v>59</v>
      </c>
      <c r="U152" t="s">
        <v>50</v>
      </c>
      <c r="V152">
        <v>2</v>
      </c>
      <c r="W152">
        <v>7</v>
      </c>
      <c r="X152" t="s">
        <v>36</v>
      </c>
      <c r="Y152" t="s">
        <v>60</v>
      </c>
      <c r="Z152" t="s">
        <v>39</v>
      </c>
      <c r="AA152" s="2">
        <v>45345</v>
      </c>
      <c r="AB152" t="b">
        <v>0</v>
      </c>
      <c r="AC152" t="b">
        <v>1</v>
      </c>
      <c r="AD152" t="s">
        <v>74</v>
      </c>
      <c r="AE152" t="s">
        <v>53</v>
      </c>
      <c r="AF152">
        <v>7</v>
      </c>
    </row>
    <row r="153" spans="1:32" x14ac:dyDescent="0.25">
      <c r="A153" t="s">
        <v>392</v>
      </c>
      <c r="B153">
        <v>151</v>
      </c>
      <c r="C153">
        <v>47</v>
      </c>
      <c r="D153" t="str">
        <f>IF(tbl_Original[[#This Row],[Gender2]]="Female","Female",IF(tbl_Original[[#This Row],[Gender2]]="Male","Male","Other"))</f>
        <v>Other</v>
      </c>
      <c r="E153" t="s">
        <v>148</v>
      </c>
      <c r="F153" t="s">
        <v>30</v>
      </c>
      <c r="G153" t="s">
        <v>55</v>
      </c>
      <c r="H153" t="s">
        <v>32</v>
      </c>
      <c r="I153" t="s">
        <v>30</v>
      </c>
      <c r="J153" t="str">
        <f>PROPER(TRIM(CLEAN(tbl_Original[[#This Row],[Column1]])))</f>
        <v>Suvorov</v>
      </c>
      <c r="K153" t="s">
        <v>393</v>
      </c>
      <c r="L153" t="s">
        <v>393</v>
      </c>
      <c r="M153" t="s">
        <v>120</v>
      </c>
      <c r="N153" s="1">
        <v>227.47</v>
      </c>
      <c r="O153">
        <v>2</v>
      </c>
      <c r="P153" t="s">
        <v>78</v>
      </c>
      <c r="Q153">
        <v>2</v>
      </c>
      <c r="R153">
        <v>2</v>
      </c>
      <c r="S153">
        <v>2</v>
      </c>
      <c r="T153" t="s">
        <v>59</v>
      </c>
      <c r="U153" t="s">
        <v>85</v>
      </c>
      <c r="V153">
        <v>1</v>
      </c>
      <c r="W153">
        <v>4</v>
      </c>
      <c r="X153" t="s">
        <v>44</v>
      </c>
      <c r="Y153" t="s">
        <v>38</v>
      </c>
      <c r="Z153" t="s">
        <v>66</v>
      </c>
      <c r="AA153" s="2">
        <v>45595</v>
      </c>
      <c r="AB153" t="b">
        <v>1</v>
      </c>
      <c r="AC153" t="b">
        <v>0</v>
      </c>
      <c r="AD153" t="s">
        <v>40</v>
      </c>
      <c r="AE153" t="s">
        <v>67</v>
      </c>
      <c r="AF153">
        <v>9</v>
      </c>
    </row>
    <row r="154" spans="1:32" x14ac:dyDescent="0.25">
      <c r="A154" t="s">
        <v>394</v>
      </c>
      <c r="B154">
        <v>152</v>
      </c>
      <c r="C154">
        <v>35</v>
      </c>
      <c r="D154" t="str">
        <f>IF(tbl_Original[[#This Row],[Gender2]]="Female","Female",IF(tbl_Original[[#This Row],[Gender2]]="Male","Male","Other"))</f>
        <v>Male</v>
      </c>
      <c r="E154" t="s">
        <v>43</v>
      </c>
      <c r="F154" t="s">
        <v>44</v>
      </c>
      <c r="G154" t="s">
        <v>69</v>
      </c>
      <c r="H154" t="s">
        <v>32</v>
      </c>
      <c r="I154" t="s">
        <v>44</v>
      </c>
      <c r="J154" t="str">
        <f>PROPER(TRIM(CLEAN(tbl_Original[[#This Row],[Column1]])))</f>
        <v>Dragash</v>
      </c>
      <c r="K154" t="s">
        <v>395</v>
      </c>
      <c r="L154" t="s">
        <v>395</v>
      </c>
      <c r="M154" t="s">
        <v>142</v>
      </c>
      <c r="N154" s="1">
        <v>342.99</v>
      </c>
      <c r="O154">
        <v>3</v>
      </c>
      <c r="P154" t="s">
        <v>48</v>
      </c>
      <c r="Q154">
        <v>4</v>
      </c>
      <c r="R154">
        <v>2</v>
      </c>
      <c r="S154">
        <v>2</v>
      </c>
      <c r="T154" t="s">
        <v>59</v>
      </c>
      <c r="U154" t="s">
        <v>85</v>
      </c>
      <c r="V154">
        <v>0</v>
      </c>
      <c r="W154">
        <v>6</v>
      </c>
      <c r="X154" t="s">
        <v>49</v>
      </c>
      <c r="Y154" t="s">
        <v>60</v>
      </c>
      <c r="Z154" t="s">
        <v>66</v>
      </c>
      <c r="AA154" s="2">
        <v>45618</v>
      </c>
      <c r="AB154" t="b">
        <v>0</v>
      </c>
      <c r="AC154" t="b">
        <v>1</v>
      </c>
      <c r="AD154" t="s">
        <v>62</v>
      </c>
      <c r="AE154" t="s">
        <v>67</v>
      </c>
      <c r="AF154">
        <v>6</v>
      </c>
    </row>
    <row r="155" spans="1:32" x14ac:dyDescent="0.25">
      <c r="A155" t="s">
        <v>396</v>
      </c>
      <c r="B155">
        <v>153</v>
      </c>
      <c r="C155">
        <v>49</v>
      </c>
      <c r="D155" t="str">
        <f>IF(tbl_Original[[#This Row],[Gender2]]="Female","Female",IF(tbl_Original[[#This Row],[Gender2]]="Male","Male","Other"))</f>
        <v>Other</v>
      </c>
      <c r="E155" t="s">
        <v>190</v>
      </c>
      <c r="F155" t="s">
        <v>44</v>
      </c>
      <c r="G155" t="s">
        <v>31</v>
      </c>
      <c r="H155" t="s">
        <v>56</v>
      </c>
      <c r="I155" t="s">
        <v>30</v>
      </c>
      <c r="J155" t="str">
        <f>PROPER(TRIM(CLEAN(tbl_Original[[#This Row],[Column1]])))</f>
        <v>Freiburg Im Breisgau</v>
      </c>
      <c r="K155" t="s">
        <v>397</v>
      </c>
      <c r="L155" t="s">
        <v>397</v>
      </c>
      <c r="M155" t="s">
        <v>114</v>
      </c>
      <c r="N155" s="1">
        <v>306.48</v>
      </c>
      <c r="O155">
        <v>5</v>
      </c>
      <c r="P155" t="s">
        <v>35</v>
      </c>
      <c r="Q155">
        <v>1</v>
      </c>
      <c r="R155">
        <v>3</v>
      </c>
      <c r="S155">
        <v>0</v>
      </c>
      <c r="T155" t="s">
        <v>49</v>
      </c>
      <c r="U155" t="s">
        <v>85</v>
      </c>
      <c r="V155">
        <v>0</v>
      </c>
      <c r="W155">
        <v>9</v>
      </c>
      <c r="X155" t="s">
        <v>59</v>
      </c>
      <c r="Y155" t="s">
        <v>38</v>
      </c>
      <c r="Z155" t="s">
        <v>39</v>
      </c>
      <c r="AA155" s="2">
        <v>45550</v>
      </c>
      <c r="AB155" t="b">
        <v>0</v>
      </c>
      <c r="AC155" t="b">
        <v>1</v>
      </c>
      <c r="AD155" t="s">
        <v>40</v>
      </c>
      <c r="AE155" t="s">
        <v>53</v>
      </c>
      <c r="AF155">
        <v>14</v>
      </c>
    </row>
    <row r="156" spans="1:32" x14ac:dyDescent="0.25">
      <c r="A156" t="s">
        <v>398</v>
      </c>
      <c r="B156">
        <v>154</v>
      </c>
      <c r="C156">
        <v>22</v>
      </c>
      <c r="D156" t="str">
        <f>IF(tbl_Original[[#This Row],[Gender2]]="Female","Female",IF(tbl_Original[[#This Row],[Gender2]]="Male","Male","Other"))</f>
        <v>Male</v>
      </c>
      <c r="E156" t="s">
        <v>43</v>
      </c>
      <c r="F156" t="s">
        <v>30</v>
      </c>
      <c r="G156" t="s">
        <v>76</v>
      </c>
      <c r="H156" t="s">
        <v>56</v>
      </c>
      <c r="I156" t="s">
        <v>44</v>
      </c>
      <c r="J156" t="str">
        <f>PROPER(TRIM(CLEAN(tbl_Original[[#This Row],[Column1]])))</f>
        <v>Macau</v>
      </c>
      <c r="K156" t="s">
        <v>399</v>
      </c>
      <c r="L156" t="s">
        <v>399</v>
      </c>
      <c r="M156" t="s">
        <v>65</v>
      </c>
      <c r="N156" s="1">
        <v>308.54000000000002</v>
      </c>
      <c r="O156">
        <v>3</v>
      </c>
      <c r="P156" t="s">
        <v>35</v>
      </c>
      <c r="Q156">
        <v>1</v>
      </c>
      <c r="R156">
        <v>3</v>
      </c>
      <c r="S156">
        <v>0</v>
      </c>
      <c r="T156" t="s">
        <v>44</v>
      </c>
      <c r="U156" t="s">
        <v>50</v>
      </c>
      <c r="V156">
        <v>1</v>
      </c>
      <c r="W156">
        <v>5</v>
      </c>
      <c r="X156" t="s">
        <v>44</v>
      </c>
      <c r="Y156" t="s">
        <v>79</v>
      </c>
      <c r="Z156" t="s">
        <v>39</v>
      </c>
      <c r="AA156" s="2">
        <v>45564</v>
      </c>
      <c r="AB156" t="b">
        <v>0</v>
      </c>
      <c r="AC156" t="b">
        <v>1</v>
      </c>
      <c r="AD156" t="s">
        <v>52</v>
      </c>
      <c r="AE156" t="s">
        <v>53</v>
      </c>
      <c r="AF156">
        <v>7</v>
      </c>
    </row>
    <row r="157" spans="1:32" x14ac:dyDescent="0.25">
      <c r="A157" t="s">
        <v>400</v>
      </c>
      <c r="B157">
        <v>155</v>
      </c>
      <c r="C157">
        <v>49</v>
      </c>
      <c r="D157" t="str">
        <f>IF(tbl_Original[[#This Row],[Gender2]]="Female","Female",IF(tbl_Original[[#This Row],[Gender2]]="Male","Male","Other"))</f>
        <v>Male</v>
      </c>
      <c r="E157" t="s">
        <v>43</v>
      </c>
      <c r="F157" t="s">
        <v>44</v>
      </c>
      <c r="G157" t="s">
        <v>55</v>
      </c>
      <c r="H157" t="s">
        <v>56</v>
      </c>
      <c r="I157" t="s">
        <v>30</v>
      </c>
      <c r="J157" t="str">
        <f>PROPER(TRIM(CLEAN(tbl_Original[[#This Row],[Column1]])))</f>
        <v>Pancas</v>
      </c>
      <c r="K157" t="s">
        <v>401</v>
      </c>
      <c r="L157" t="s">
        <v>401</v>
      </c>
      <c r="M157" t="s">
        <v>194</v>
      </c>
      <c r="N157" s="1">
        <v>124.17</v>
      </c>
      <c r="O157">
        <v>12</v>
      </c>
      <c r="P157" t="s">
        <v>35</v>
      </c>
      <c r="Q157">
        <v>5</v>
      </c>
      <c r="R157">
        <v>2</v>
      </c>
      <c r="S157">
        <v>2</v>
      </c>
      <c r="T157" t="s">
        <v>44</v>
      </c>
      <c r="U157" t="s">
        <v>85</v>
      </c>
      <c r="V157">
        <v>2</v>
      </c>
      <c r="W157">
        <v>4</v>
      </c>
      <c r="X157" t="s">
        <v>44</v>
      </c>
      <c r="Y157" t="s">
        <v>60</v>
      </c>
      <c r="Z157" t="s">
        <v>61</v>
      </c>
      <c r="AA157" s="2">
        <v>45612</v>
      </c>
      <c r="AB157" t="b">
        <v>1</v>
      </c>
      <c r="AC157" t="b">
        <v>1</v>
      </c>
      <c r="AD157" t="s">
        <v>74</v>
      </c>
      <c r="AE157" t="s">
        <v>53</v>
      </c>
      <c r="AF157">
        <v>6</v>
      </c>
    </row>
    <row r="158" spans="1:32" x14ac:dyDescent="0.25">
      <c r="A158" t="s">
        <v>402</v>
      </c>
      <c r="B158">
        <v>156</v>
      </c>
      <c r="C158">
        <v>27</v>
      </c>
      <c r="D158" t="str">
        <f>IF(tbl_Original[[#This Row],[Gender2]]="Female","Female",IF(tbl_Original[[#This Row],[Gender2]]="Male","Male","Other"))</f>
        <v>Female</v>
      </c>
      <c r="E158" t="s">
        <v>29</v>
      </c>
      <c r="F158" t="s">
        <v>30</v>
      </c>
      <c r="G158" t="s">
        <v>31</v>
      </c>
      <c r="H158" t="s">
        <v>56</v>
      </c>
      <c r="I158" t="s">
        <v>30</v>
      </c>
      <c r="J158" t="str">
        <f>PROPER(TRIM(CLEAN(tbl_Original[[#This Row],[Column1]])))</f>
        <v>Dayapan</v>
      </c>
      <c r="K158" t="s">
        <v>403</v>
      </c>
      <c r="L158" t="s">
        <v>403</v>
      </c>
      <c r="M158" t="s">
        <v>194</v>
      </c>
      <c r="N158" s="1">
        <v>78</v>
      </c>
      <c r="O158">
        <v>5</v>
      </c>
      <c r="P158" t="s">
        <v>78</v>
      </c>
      <c r="Q158">
        <v>1</v>
      </c>
      <c r="R158">
        <v>5</v>
      </c>
      <c r="S158">
        <v>0</v>
      </c>
      <c r="T158" t="s">
        <v>36</v>
      </c>
      <c r="U158" t="s">
        <v>50</v>
      </c>
      <c r="V158">
        <v>1</v>
      </c>
      <c r="W158">
        <v>1</v>
      </c>
      <c r="X158" t="s">
        <v>59</v>
      </c>
      <c r="Y158" t="s">
        <v>79</v>
      </c>
      <c r="Z158" t="s">
        <v>61</v>
      </c>
      <c r="AA158" s="2">
        <v>45605</v>
      </c>
      <c r="AB158" t="b">
        <v>1</v>
      </c>
      <c r="AC158" t="b">
        <v>0</v>
      </c>
      <c r="AD158" t="s">
        <v>52</v>
      </c>
      <c r="AE158" t="s">
        <v>41</v>
      </c>
      <c r="AF158">
        <v>11</v>
      </c>
    </row>
    <row r="159" spans="1:32" x14ac:dyDescent="0.25">
      <c r="A159" t="s">
        <v>404</v>
      </c>
      <c r="B159">
        <v>157</v>
      </c>
      <c r="C159">
        <v>27</v>
      </c>
      <c r="D159" t="str">
        <f>IF(tbl_Original[[#This Row],[Gender2]]="Female","Female",IF(tbl_Original[[#This Row],[Gender2]]="Male","Male","Other"))</f>
        <v>Female</v>
      </c>
      <c r="E159" t="s">
        <v>29</v>
      </c>
      <c r="F159" t="s">
        <v>44</v>
      </c>
      <c r="G159" t="s">
        <v>31</v>
      </c>
      <c r="H159" t="s">
        <v>32</v>
      </c>
      <c r="I159" t="s">
        <v>30</v>
      </c>
      <c r="J159" t="str">
        <f>PROPER(TRIM(CLEAN(tbl_Original[[#This Row],[Column1]])))</f>
        <v>Gordon Town</v>
      </c>
      <c r="K159" t="s">
        <v>405</v>
      </c>
      <c r="L159" t="s">
        <v>405</v>
      </c>
      <c r="M159" t="s">
        <v>104</v>
      </c>
      <c r="N159" s="1">
        <v>393.03</v>
      </c>
      <c r="O159">
        <v>4</v>
      </c>
      <c r="P159" t="s">
        <v>35</v>
      </c>
      <c r="Q159">
        <v>4</v>
      </c>
      <c r="R159">
        <v>4</v>
      </c>
      <c r="S159">
        <v>0</v>
      </c>
      <c r="T159" t="s">
        <v>44</v>
      </c>
      <c r="U159" t="s">
        <v>37</v>
      </c>
      <c r="V159">
        <v>1</v>
      </c>
      <c r="W159">
        <v>3</v>
      </c>
      <c r="X159" t="s">
        <v>49</v>
      </c>
      <c r="Y159" t="s">
        <v>60</v>
      </c>
      <c r="Z159" t="s">
        <v>86</v>
      </c>
      <c r="AA159" s="2">
        <v>45538</v>
      </c>
      <c r="AB159" t="b">
        <v>1</v>
      </c>
      <c r="AC159" t="b">
        <v>1</v>
      </c>
      <c r="AD159" t="s">
        <v>74</v>
      </c>
      <c r="AE159" t="s">
        <v>53</v>
      </c>
      <c r="AF159">
        <v>7</v>
      </c>
    </row>
    <row r="160" spans="1:32" x14ac:dyDescent="0.25">
      <c r="A160" t="s">
        <v>406</v>
      </c>
      <c r="B160">
        <v>158</v>
      </c>
      <c r="C160">
        <v>37</v>
      </c>
      <c r="D160" t="str">
        <f>IF(tbl_Original[[#This Row],[Gender2]]="Female","Female",IF(tbl_Original[[#This Row],[Gender2]]="Male","Male","Other"))</f>
        <v>Female</v>
      </c>
      <c r="E160" t="s">
        <v>29</v>
      </c>
      <c r="F160" t="s">
        <v>44</v>
      </c>
      <c r="G160" t="s">
        <v>55</v>
      </c>
      <c r="H160" t="s">
        <v>56</v>
      </c>
      <c r="I160" t="s">
        <v>30</v>
      </c>
      <c r="J160" t="str">
        <f>PROPER(TRIM(CLEAN(tbl_Original[[#This Row],[Column1]])))</f>
        <v>Proptisht</v>
      </c>
      <c r="K160" t="s">
        <v>407</v>
      </c>
      <c r="L160" t="s">
        <v>407</v>
      </c>
      <c r="M160" t="s">
        <v>107</v>
      </c>
      <c r="N160" s="1">
        <v>102.09</v>
      </c>
      <c r="O160">
        <v>3</v>
      </c>
      <c r="P160" t="s">
        <v>35</v>
      </c>
      <c r="Q160">
        <v>1</v>
      </c>
      <c r="R160">
        <v>4</v>
      </c>
      <c r="S160">
        <v>0</v>
      </c>
      <c r="T160" t="s">
        <v>36</v>
      </c>
      <c r="U160" t="s">
        <v>85</v>
      </c>
      <c r="V160">
        <v>1</v>
      </c>
      <c r="W160">
        <v>9</v>
      </c>
      <c r="X160" t="s">
        <v>49</v>
      </c>
      <c r="Y160" t="s">
        <v>38</v>
      </c>
      <c r="Z160" t="s">
        <v>51</v>
      </c>
      <c r="AA160" s="2">
        <v>45364</v>
      </c>
      <c r="AB160" t="b">
        <v>0</v>
      </c>
      <c r="AC160" t="b">
        <v>1</v>
      </c>
      <c r="AD160" t="s">
        <v>40</v>
      </c>
      <c r="AE160" t="s">
        <v>67</v>
      </c>
      <c r="AF160">
        <v>1</v>
      </c>
    </row>
    <row r="161" spans="1:32" x14ac:dyDescent="0.25">
      <c r="A161" t="s">
        <v>408</v>
      </c>
      <c r="B161">
        <v>159</v>
      </c>
      <c r="C161">
        <v>32</v>
      </c>
      <c r="D161" t="str">
        <f>IF(tbl_Original[[#This Row],[Gender2]]="Female","Female",IF(tbl_Original[[#This Row],[Gender2]]="Male","Male","Other"))</f>
        <v>Male</v>
      </c>
      <c r="E161" t="s">
        <v>43</v>
      </c>
      <c r="F161" t="s">
        <v>30</v>
      </c>
      <c r="G161" t="s">
        <v>31</v>
      </c>
      <c r="H161" t="s">
        <v>32</v>
      </c>
      <c r="I161" t="s">
        <v>44</v>
      </c>
      <c r="J161" t="str">
        <f>PROPER(TRIM(CLEAN(tbl_Original[[#This Row],[Column1]])))</f>
        <v>Kamal</v>
      </c>
      <c r="K161" t="s">
        <v>409</v>
      </c>
      <c r="L161" t="s">
        <v>409</v>
      </c>
      <c r="M161" t="s">
        <v>104</v>
      </c>
      <c r="N161" s="1">
        <v>426.21</v>
      </c>
      <c r="O161">
        <v>3</v>
      </c>
      <c r="P161" t="s">
        <v>35</v>
      </c>
      <c r="Q161">
        <v>1</v>
      </c>
      <c r="R161">
        <v>4</v>
      </c>
      <c r="S161">
        <v>2</v>
      </c>
      <c r="T161" t="s">
        <v>44</v>
      </c>
      <c r="U161" t="s">
        <v>37</v>
      </c>
      <c r="V161">
        <v>2</v>
      </c>
      <c r="W161">
        <v>5</v>
      </c>
      <c r="X161" t="s">
        <v>44</v>
      </c>
      <c r="Y161" t="s">
        <v>60</v>
      </c>
      <c r="Z161" t="s">
        <v>66</v>
      </c>
      <c r="AA161" s="2">
        <v>45400</v>
      </c>
      <c r="AB161" t="b">
        <v>0</v>
      </c>
      <c r="AC161" t="b">
        <v>1</v>
      </c>
      <c r="AD161" t="s">
        <v>52</v>
      </c>
      <c r="AE161" t="s">
        <v>53</v>
      </c>
      <c r="AF161">
        <v>2</v>
      </c>
    </row>
    <row r="162" spans="1:32" x14ac:dyDescent="0.25">
      <c r="A162" t="s">
        <v>410</v>
      </c>
      <c r="B162">
        <v>160</v>
      </c>
      <c r="C162">
        <v>42</v>
      </c>
      <c r="D162" t="str">
        <f>IF(tbl_Original[[#This Row],[Gender2]]="Female","Female",IF(tbl_Original[[#This Row],[Gender2]]="Male","Male","Other"))</f>
        <v>Male</v>
      </c>
      <c r="E162" t="s">
        <v>43</v>
      </c>
      <c r="F162" t="s">
        <v>30</v>
      </c>
      <c r="G162" t="s">
        <v>69</v>
      </c>
      <c r="H162" t="s">
        <v>56</v>
      </c>
      <c r="I162" t="s">
        <v>44</v>
      </c>
      <c r="J162" t="str">
        <f>PROPER(TRIM(CLEAN(tbl_Original[[#This Row],[Column1]])))</f>
        <v>Kouvola</v>
      </c>
      <c r="K162" t="s">
        <v>411</v>
      </c>
      <c r="L162" t="s">
        <v>411</v>
      </c>
      <c r="M162" t="s">
        <v>135</v>
      </c>
      <c r="N162" s="1">
        <v>140.31</v>
      </c>
      <c r="O162">
        <v>2</v>
      </c>
      <c r="P162" t="s">
        <v>78</v>
      </c>
      <c r="Q162">
        <v>2</v>
      </c>
      <c r="R162">
        <v>4</v>
      </c>
      <c r="S162">
        <v>1</v>
      </c>
      <c r="T162" t="s">
        <v>59</v>
      </c>
      <c r="U162" t="s">
        <v>85</v>
      </c>
      <c r="V162">
        <v>2</v>
      </c>
      <c r="W162">
        <v>5</v>
      </c>
      <c r="X162" t="s">
        <v>36</v>
      </c>
      <c r="Y162" t="s">
        <v>79</v>
      </c>
      <c r="Z162" t="s">
        <v>86</v>
      </c>
      <c r="AA162" s="2">
        <v>45433</v>
      </c>
      <c r="AB162" t="b">
        <v>1</v>
      </c>
      <c r="AC162" t="b">
        <v>1</v>
      </c>
      <c r="AD162" t="s">
        <v>62</v>
      </c>
      <c r="AE162" t="s">
        <v>67</v>
      </c>
      <c r="AF162">
        <v>8</v>
      </c>
    </row>
    <row r="163" spans="1:32" x14ac:dyDescent="0.25">
      <c r="A163" t="s">
        <v>412</v>
      </c>
      <c r="B163">
        <v>161</v>
      </c>
      <c r="C163">
        <v>18</v>
      </c>
      <c r="D163" t="str">
        <f>IF(tbl_Original[[#This Row],[Gender2]]="Female","Female",IF(tbl_Original[[#This Row],[Gender2]]="Male","Male","Other"))</f>
        <v>Female</v>
      </c>
      <c r="E163" t="s">
        <v>29</v>
      </c>
      <c r="F163" t="s">
        <v>44</v>
      </c>
      <c r="G163" t="s">
        <v>69</v>
      </c>
      <c r="H163" t="s">
        <v>56</v>
      </c>
      <c r="I163" t="s">
        <v>30</v>
      </c>
      <c r="J163" t="str">
        <f>PROPER(TRIM(CLEAN(tbl_Original[[#This Row],[Column1]])))</f>
        <v>Zhongdong</v>
      </c>
      <c r="K163" t="s">
        <v>413</v>
      </c>
      <c r="L163" t="s">
        <v>413</v>
      </c>
      <c r="M163" t="s">
        <v>120</v>
      </c>
      <c r="N163" s="1">
        <v>413.7</v>
      </c>
      <c r="O163">
        <v>8</v>
      </c>
      <c r="P163" t="s">
        <v>35</v>
      </c>
      <c r="Q163">
        <v>3</v>
      </c>
      <c r="R163">
        <v>3</v>
      </c>
      <c r="S163">
        <v>0.3</v>
      </c>
      <c r="T163" t="s">
        <v>59</v>
      </c>
      <c r="U163" t="s">
        <v>85</v>
      </c>
      <c r="V163">
        <v>0</v>
      </c>
      <c r="W163">
        <v>9</v>
      </c>
      <c r="X163" t="s">
        <v>44</v>
      </c>
      <c r="Y163" t="s">
        <v>79</v>
      </c>
      <c r="Z163" t="s">
        <v>66</v>
      </c>
      <c r="AA163" s="2">
        <v>45460</v>
      </c>
      <c r="AB163" t="b">
        <v>0</v>
      </c>
      <c r="AC163" t="b">
        <v>1</v>
      </c>
      <c r="AD163" t="s">
        <v>40</v>
      </c>
      <c r="AE163" t="s">
        <v>41</v>
      </c>
      <c r="AF163">
        <v>6</v>
      </c>
    </row>
    <row r="164" spans="1:32" x14ac:dyDescent="0.25">
      <c r="A164" t="s">
        <v>414</v>
      </c>
      <c r="B164">
        <v>162</v>
      </c>
      <c r="C164">
        <v>49</v>
      </c>
      <c r="D164" t="str">
        <f>IF(tbl_Original[[#This Row],[Gender2]]="Female","Female",IF(tbl_Original[[#This Row],[Gender2]]="Male","Male","Other"))</f>
        <v>Male</v>
      </c>
      <c r="E164" t="s">
        <v>43</v>
      </c>
      <c r="F164" t="s">
        <v>44</v>
      </c>
      <c r="G164" t="s">
        <v>69</v>
      </c>
      <c r="H164" t="s">
        <v>56</v>
      </c>
      <c r="I164" t="s">
        <v>30</v>
      </c>
      <c r="J164" t="str">
        <f>PROPER(TRIM(CLEAN(tbl_Original[[#This Row],[Column1]])))</f>
        <v>Betong</v>
      </c>
      <c r="K164" t="s">
        <v>415</v>
      </c>
      <c r="L164" t="s">
        <v>415</v>
      </c>
      <c r="M164" t="s">
        <v>135</v>
      </c>
      <c r="N164" s="1">
        <v>348.63</v>
      </c>
      <c r="O164">
        <v>4</v>
      </c>
      <c r="P164" t="s">
        <v>78</v>
      </c>
      <c r="Q164">
        <v>5</v>
      </c>
      <c r="R164">
        <v>2</v>
      </c>
      <c r="S164">
        <v>0</v>
      </c>
      <c r="T164" t="s">
        <v>44</v>
      </c>
      <c r="U164" t="s">
        <v>37</v>
      </c>
      <c r="V164">
        <v>0</v>
      </c>
      <c r="W164">
        <v>7</v>
      </c>
      <c r="X164" t="s">
        <v>36</v>
      </c>
      <c r="Y164" t="s">
        <v>60</v>
      </c>
      <c r="Z164" t="s">
        <v>61</v>
      </c>
      <c r="AA164" s="2">
        <v>45383</v>
      </c>
      <c r="AB164" t="b">
        <v>0</v>
      </c>
      <c r="AC164" t="b">
        <v>0</v>
      </c>
      <c r="AD164" t="s">
        <v>74</v>
      </c>
      <c r="AE164" t="s">
        <v>41</v>
      </c>
      <c r="AF164">
        <v>6</v>
      </c>
    </row>
    <row r="165" spans="1:32" x14ac:dyDescent="0.25">
      <c r="A165" t="s">
        <v>416</v>
      </c>
      <c r="B165">
        <v>163</v>
      </c>
      <c r="C165">
        <v>23</v>
      </c>
      <c r="D165" t="str">
        <f>IF(tbl_Original[[#This Row],[Gender2]]="Female","Female",IF(tbl_Original[[#This Row],[Gender2]]="Male","Male","Other"))</f>
        <v>Female</v>
      </c>
      <c r="E165" t="s">
        <v>29</v>
      </c>
      <c r="F165" t="s">
        <v>30</v>
      </c>
      <c r="G165" t="s">
        <v>69</v>
      </c>
      <c r="H165" t="s">
        <v>45</v>
      </c>
      <c r="I165" t="s">
        <v>30</v>
      </c>
      <c r="J165" t="str">
        <f>PROPER(TRIM(CLEAN(tbl_Original[[#This Row],[Column1]])))</f>
        <v>Jinping</v>
      </c>
      <c r="K165" t="s">
        <v>417</v>
      </c>
      <c r="L165" t="s">
        <v>417</v>
      </c>
      <c r="M165" t="s">
        <v>101</v>
      </c>
      <c r="N165" s="1">
        <v>91.27</v>
      </c>
      <c r="O165">
        <v>7</v>
      </c>
      <c r="P165" t="s">
        <v>48</v>
      </c>
      <c r="Q165">
        <v>5</v>
      </c>
      <c r="R165">
        <v>1</v>
      </c>
      <c r="S165">
        <v>0</v>
      </c>
      <c r="T165" t="s">
        <v>44</v>
      </c>
      <c r="U165" t="s">
        <v>50</v>
      </c>
      <c r="V165">
        <v>2</v>
      </c>
      <c r="W165">
        <v>6</v>
      </c>
      <c r="X165" t="s">
        <v>36</v>
      </c>
      <c r="Y165" t="s">
        <v>38</v>
      </c>
      <c r="Z165" t="s">
        <v>86</v>
      </c>
      <c r="AA165" s="2">
        <v>45464</v>
      </c>
      <c r="AB165" t="b">
        <v>1</v>
      </c>
      <c r="AC165" t="b">
        <v>1</v>
      </c>
      <c r="AD165" t="s">
        <v>74</v>
      </c>
      <c r="AE165" t="s">
        <v>67</v>
      </c>
      <c r="AF165">
        <v>13</v>
      </c>
    </row>
    <row r="166" spans="1:32" x14ac:dyDescent="0.25">
      <c r="A166" t="s">
        <v>418</v>
      </c>
      <c r="B166">
        <v>164</v>
      </c>
      <c r="C166">
        <v>29</v>
      </c>
      <c r="D166" t="str">
        <f>IF(tbl_Original[[#This Row],[Gender2]]="Female","Female",IF(tbl_Original[[#This Row],[Gender2]]="Male","Male","Other"))</f>
        <v>Female</v>
      </c>
      <c r="E166" t="s">
        <v>29</v>
      </c>
      <c r="F166" t="s">
        <v>44</v>
      </c>
      <c r="G166" t="s">
        <v>76</v>
      </c>
      <c r="H166" t="s">
        <v>32</v>
      </c>
      <c r="I166" t="s">
        <v>44</v>
      </c>
      <c r="J166" t="str">
        <f>PROPER(TRIM(CLEAN(tbl_Original[[#This Row],[Column1]])))</f>
        <v>Mgachi</v>
      </c>
      <c r="K166" t="s">
        <v>419</v>
      </c>
      <c r="L166" t="s">
        <v>419</v>
      </c>
      <c r="M166" t="s">
        <v>98</v>
      </c>
      <c r="N166" s="1">
        <v>359.94</v>
      </c>
      <c r="O166">
        <v>11</v>
      </c>
      <c r="P166" t="s">
        <v>35</v>
      </c>
      <c r="Q166">
        <v>2</v>
      </c>
      <c r="R166">
        <v>5</v>
      </c>
      <c r="S166">
        <v>2</v>
      </c>
      <c r="T166" t="s">
        <v>36</v>
      </c>
      <c r="U166" t="s">
        <v>85</v>
      </c>
      <c r="V166">
        <v>1</v>
      </c>
      <c r="W166">
        <v>8</v>
      </c>
      <c r="X166" t="s">
        <v>59</v>
      </c>
      <c r="Y166" t="s">
        <v>60</v>
      </c>
      <c r="Z166" t="s">
        <v>86</v>
      </c>
      <c r="AA166" s="2">
        <v>45645</v>
      </c>
      <c r="AB166" t="b">
        <v>0</v>
      </c>
      <c r="AC166" t="b">
        <v>1</v>
      </c>
      <c r="AD166" t="s">
        <v>52</v>
      </c>
      <c r="AE166" t="s">
        <v>67</v>
      </c>
      <c r="AF166">
        <v>9</v>
      </c>
    </row>
    <row r="167" spans="1:32" x14ac:dyDescent="0.25">
      <c r="A167" t="s">
        <v>420</v>
      </c>
      <c r="B167">
        <v>165</v>
      </c>
      <c r="C167">
        <v>25</v>
      </c>
      <c r="D167" t="str">
        <f>IF(tbl_Original[[#This Row],[Gender2]]="Female","Female",IF(tbl_Original[[#This Row],[Gender2]]="Male","Male","Other"))</f>
        <v>Male</v>
      </c>
      <c r="E167" t="s">
        <v>43</v>
      </c>
      <c r="F167" t="s">
        <v>30</v>
      </c>
      <c r="G167" t="s">
        <v>76</v>
      </c>
      <c r="H167" t="s">
        <v>45</v>
      </c>
      <c r="I167" t="s">
        <v>30</v>
      </c>
      <c r="J167" t="str">
        <f>PROPER(TRIM(CLEAN(tbl_Original[[#This Row],[Column1]])))</f>
        <v>Lameira</v>
      </c>
      <c r="K167" t="s">
        <v>421</v>
      </c>
      <c r="L167" t="s">
        <v>421</v>
      </c>
      <c r="M167" t="s">
        <v>34</v>
      </c>
      <c r="N167" s="1">
        <v>138.19999999999999</v>
      </c>
      <c r="O167">
        <v>8</v>
      </c>
      <c r="P167" t="s">
        <v>48</v>
      </c>
      <c r="Q167">
        <v>1</v>
      </c>
      <c r="R167">
        <v>2</v>
      </c>
      <c r="S167">
        <v>2</v>
      </c>
      <c r="T167" t="s">
        <v>44</v>
      </c>
      <c r="U167" t="s">
        <v>50</v>
      </c>
      <c r="V167">
        <v>0</v>
      </c>
      <c r="W167">
        <v>6</v>
      </c>
      <c r="X167" t="s">
        <v>59</v>
      </c>
      <c r="Y167" t="s">
        <v>79</v>
      </c>
      <c r="Z167" t="s">
        <v>61</v>
      </c>
      <c r="AA167" s="2">
        <v>45353</v>
      </c>
      <c r="AB167" t="b">
        <v>0</v>
      </c>
      <c r="AC167" t="b">
        <v>1</v>
      </c>
      <c r="AD167" t="s">
        <v>40</v>
      </c>
      <c r="AE167" t="s">
        <v>41</v>
      </c>
      <c r="AF167">
        <v>12</v>
      </c>
    </row>
    <row r="168" spans="1:32" x14ac:dyDescent="0.25">
      <c r="A168" t="s">
        <v>422</v>
      </c>
      <c r="B168">
        <v>166</v>
      </c>
      <c r="C168">
        <v>38</v>
      </c>
      <c r="D168" t="str">
        <f>IF(tbl_Original[[#This Row],[Gender2]]="Female","Female",IF(tbl_Original[[#This Row],[Gender2]]="Male","Male","Other"))</f>
        <v>Other</v>
      </c>
      <c r="E168" t="s">
        <v>274</v>
      </c>
      <c r="F168" t="s">
        <v>44</v>
      </c>
      <c r="G168" t="s">
        <v>76</v>
      </c>
      <c r="H168" t="s">
        <v>45</v>
      </c>
      <c r="I168" t="s">
        <v>44</v>
      </c>
      <c r="J168" t="str">
        <f>PROPER(TRIM(CLEAN(tbl_Original[[#This Row],[Column1]])))</f>
        <v>Medicine Hat</v>
      </c>
      <c r="K168" t="s">
        <v>423</v>
      </c>
      <c r="L168" t="s">
        <v>423</v>
      </c>
      <c r="M168" t="s">
        <v>65</v>
      </c>
      <c r="N168" s="1">
        <v>196.33</v>
      </c>
      <c r="O168">
        <v>11</v>
      </c>
      <c r="P168" t="s">
        <v>78</v>
      </c>
      <c r="Q168">
        <v>4</v>
      </c>
      <c r="R168">
        <v>3</v>
      </c>
      <c r="S168">
        <v>1</v>
      </c>
      <c r="T168" t="s">
        <v>49</v>
      </c>
      <c r="U168" t="s">
        <v>50</v>
      </c>
      <c r="V168">
        <v>0</v>
      </c>
      <c r="W168">
        <v>5</v>
      </c>
      <c r="X168" t="s">
        <v>36</v>
      </c>
      <c r="Y168" t="s">
        <v>79</v>
      </c>
      <c r="Z168" t="s">
        <v>61</v>
      </c>
      <c r="AA168" s="2">
        <v>45472</v>
      </c>
      <c r="AB168" t="b">
        <v>1</v>
      </c>
      <c r="AC168" t="b">
        <v>1</v>
      </c>
      <c r="AD168" t="s">
        <v>74</v>
      </c>
      <c r="AE168" t="s">
        <v>53</v>
      </c>
      <c r="AF168">
        <v>11</v>
      </c>
    </row>
    <row r="169" spans="1:32" x14ac:dyDescent="0.25">
      <c r="A169" t="s">
        <v>424</v>
      </c>
      <c r="B169">
        <v>167</v>
      </c>
      <c r="C169">
        <v>32</v>
      </c>
      <c r="D169" t="str">
        <f>IF(tbl_Original[[#This Row],[Gender2]]="Female","Female",IF(tbl_Original[[#This Row],[Gender2]]="Male","Male","Other"))</f>
        <v>Female</v>
      </c>
      <c r="E169" t="s">
        <v>29</v>
      </c>
      <c r="F169" t="s">
        <v>30</v>
      </c>
      <c r="G169" t="s">
        <v>69</v>
      </c>
      <c r="H169" t="s">
        <v>32</v>
      </c>
      <c r="I169" t="s">
        <v>30</v>
      </c>
      <c r="J169" t="str">
        <f>PROPER(TRIM(CLEAN(tbl_Original[[#This Row],[Column1]])))</f>
        <v>Oslo</v>
      </c>
      <c r="K169" t="s">
        <v>311</v>
      </c>
      <c r="L169" t="s">
        <v>311</v>
      </c>
      <c r="M169" t="s">
        <v>114</v>
      </c>
      <c r="N169" s="1">
        <v>249.24</v>
      </c>
      <c r="O169">
        <v>8</v>
      </c>
      <c r="P169" t="s">
        <v>48</v>
      </c>
      <c r="Q169">
        <v>4</v>
      </c>
      <c r="R169">
        <v>3</v>
      </c>
      <c r="S169">
        <v>1</v>
      </c>
      <c r="T169" t="s">
        <v>49</v>
      </c>
      <c r="U169" t="s">
        <v>37</v>
      </c>
      <c r="V169">
        <v>2</v>
      </c>
      <c r="W169">
        <v>3</v>
      </c>
      <c r="X169" t="s">
        <v>44</v>
      </c>
      <c r="Y169" t="s">
        <v>60</v>
      </c>
      <c r="Z169" t="s">
        <v>86</v>
      </c>
      <c r="AA169" s="2">
        <v>45533</v>
      </c>
      <c r="AB169" t="b">
        <v>0</v>
      </c>
      <c r="AC169" t="b">
        <v>1</v>
      </c>
      <c r="AD169" t="s">
        <v>40</v>
      </c>
      <c r="AE169" t="s">
        <v>53</v>
      </c>
      <c r="AF169">
        <v>7</v>
      </c>
    </row>
    <row r="170" spans="1:32" x14ac:dyDescent="0.25">
      <c r="A170" t="s">
        <v>425</v>
      </c>
      <c r="B170">
        <v>168</v>
      </c>
      <c r="C170">
        <v>45</v>
      </c>
      <c r="D170" t="str">
        <f>IF(tbl_Original[[#This Row],[Gender2]]="Female","Female",IF(tbl_Original[[#This Row],[Gender2]]="Male","Male","Other"))</f>
        <v>Male</v>
      </c>
      <c r="E170" t="s">
        <v>43</v>
      </c>
      <c r="F170" t="s">
        <v>44</v>
      </c>
      <c r="G170" t="s">
        <v>76</v>
      </c>
      <c r="H170" t="s">
        <v>45</v>
      </c>
      <c r="I170" t="s">
        <v>44</v>
      </c>
      <c r="J170" t="str">
        <f>PROPER(TRIM(CLEAN(tbl_Original[[#This Row],[Column1]])))</f>
        <v>Yeniky</v>
      </c>
      <c r="K170" t="s">
        <v>2156</v>
      </c>
      <c r="L170" t="s">
        <v>426</v>
      </c>
      <c r="M170" t="s">
        <v>71</v>
      </c>
      <c r="N170" s="1">
        <v>129.1</v>
      </c>
      <c r="O170">
        <v>12</v>
      </c>
      <c r="P170" t="s">
        <v>35</v>
      </c>
      <c r="Q170">
        <v>5</v>
      </c>
      <c r="R170">
        <v>3</v>
      </c>
      <c r="S170">
        <v>2</v>
      </c>
      <c r="T170" t="s">
        <v>59</v>
      </c>
      <c r="U170" t="s">
        <v>50</v>
      </c>
      <c r="V170">
        <v>0</v>
      </c>
      <c r="W170">
        <v>8</v>
      </c>
      <c r="X170" t="s">
        <v>44</v>
      </c>
      <c r="Y170" t="s">
        <v>79</v>
      </c>
      <c r="Z170" t="s">
        <v>39</v>
      </c>
      <c r="AA170" s="2">
        <v>45397</v>
      </c>
      <c r="AB170" t="b">
        <v>1</v>
      </c>
      <c r="AC170" t="b">
        <v>0</v>
      </c>
      <c r="AD170" t="s">
        <v>74</v>
      </c>
      <c r="AE170" t="s">
        <v>41</v>
      </c>
      <c r="AF170">
        <v>7</v>
      </c>
    </row>
    <row r="171" spans="1:32" x14ac:dyDescent="0.25">
      <c r="A171" t="s">
        <v>427</v>
      </c>
      <c r="B171">
        <v>169</v>
      </c>
      <c r="C171">
        <v>45</v>
      </c>
      <c r="D171" t="str">
        <f>IF(tbl_Original[[#This Row],[Gender2]]="Female","Female",IF(tbl_Original[[#This Row],[Gender2]]="Male","Male","Other"))</f>
        <v>Female</v>
      </c>
      <c r="E171" t="s">
        <v>29</v>
      </c>
      <c r="F171" t="s">
        <v>44</v>
      </c>
      <c r="G171" t="s">
        <v>31</v>
      </c>
      <c r="H171" t="s">
        <v>56</v>
      </c>
      <c r="I171" t="s">
        <v>44</v>
      </c>
      <c r="J171" t="str">
        <f>PROPER(TRIM(CLEAN(tbl_Original[[#This Row],[Column1]])))</f>
        <v>Peer</v>
      </c>
      <c r="K171" t="s">
        <v>428</v>
      </c>
      <c r="L171" t="s">
        <v>428</v>
      </c>
      <c r="M171" t="s">
        <v>123</v>
      </c>
      <c r="N171" s="1">
        <v>112.69</v>
      </c>
      <c r="O171">
        <v>10</v>
      </c>
      <c r="P171" t="s">
        <v>48</v>
      </c>
      <c r="Q171">
        <v>1</v>
      </c>
      <c r="R171">
        <v>4</v>
      </c>
      <c r="S171">
        <v>0</v>
      </c>
      <c r="T171" t="s">
        <v>44</v>
      </c>
      <c r="U171" t="s">
        <v>50</v>
      </c>
      <c r="V171">
        <v>0</v>
      </c>
      <c r="W171">
        <v>7</v>
      </c>
      <c r="X171" t="s">
        <v>49</v>
      </c>
      <c r="Y171" t="s">
        <v>60</v>
      </c>
      <c r="Z171" t="s">
        <v>61</v>
      </c>
      <c r="AA171" s="2">
        <v>45531</v>
      </c>
      <c r="AB171" t="b">
        <v>0</v>
      </c>
      <c r="AC171" t="b">
        <v>1</v>
      </c>
      <c r="AD171" t="s">
        <v>40</v>
      </c>
      <c r="AE171" t="s">
        <v>53</v>
      </c>
      <c r="AF171">
        <v>1</v>
      </c>
    </row>
    <row r="172" spans="1:32" x14ac:dyDescent="0.25">
      <c r="A172" t="s">
        <v>429</v>
      </c>
      <c r="B172">
        <v>170</v>
      </c>
      <c r="C172">
        <v>46</v>
      </c>
      <c r="D172" t="str">
        <f>IF(tbl_Original[[#This Row],[Gender2]]="Female","Female",IF(tbl_Original[[#This Row],[Gender2]]="Male","Male","Other"))</f>
        <v>Male</v>
      </c>
      <c r="E172" t="s">
        <v>43</v>
      </c>
      <c r="F172" t="s">
        <v>30</v>
      </c>
      <c r="G172" t="s">
        <v>69</v>
      </c>
      <c r="H172" t="s">
        <v>32</v>
      </c>
      <c r="I172" t="s">
        <v>44</v>
      </c>
      <c r="J172" t="str">
        <f>PROPER(TRIM(CLEAN(tbl_Original[[#This Row],[Column1]])))</f>
        <v>Belsovka</v>
      </c>
      <c r="K172" t="s">
        <v>2157</v>
      </c>
      <c r="L172" t="s">
        <v>430</v>
      </c>
      <c r="M172" t="s">
        <v>188</v>
      </c>
      <c r="N172" s="1">
        <v>267.85000000000002</v>
      </c>
      <c r="O172">
        <v>5</v>
      </c>
      <c r="P172" t="s">
        <v>78</v>
      </c>
      <c r="Q172">
        <v>5</v>
      </c>
      <c r="R172">
        <v>2</v>
      </c>
      <c r="S172">
        <v>2</v>
      </c>
      <c r="T172" t="s">
        <v>49</v>
      </c>
      <c r="U172" t="s">
        <v>37</v>
      </c>
      <c r="V172">
        <v>1</v>
      </c>
      <c r="W172">
        <v>5</v>
      </c>
      <c r="X172" t="s">
        <v>44</v>
      </c>
      <c r="Y172" t="s">
        <v>60</v>
      </c>
      <c r="Z172" t="s">
        <v>39</v>
      </c>
      <c r="AA172" s="2">
        <v>45371</v>
      </c>
      <c r="AB172" t="b">
        <v>0</v>
      </c>
      <c r="AC172" t="b">
        <v>1</v>
      </c>
      <c r="AD172" t="s">
        <v>40</v>
      </c>
      <c r="AE172" t="s">
        <v>53</v>
      </c>
      <c r="AF172">
        <v>7</v>
      </c>
    </row>
    <row r="173" spans="1:32" x14ac:dyDescent="0.25">
      <c r="A173" t="s">
        <v>431</v>
      </c>
      <c r="B173">
        <v>171</v>
      </c>
      <c r="C173">
        <v>24</v>
      </c>
      <c r="D173" t="str">
        <f>IF(tbl_Original[[#This Row],[Gender2]]="Female","Female",IF(tbl_Original[[#This Row],[Gender2]]="Male","Male","Other"))</f>
        <v>Male</v>
      </c>
      <c r="E173" t="s">
        <v>43</v>
      </c>
      <c r="F173" t="s">
        <v>30</v>
      </c>
      <c r="G173" t="s">
        <v>76</v>
      </c>
      <c r="H173" t="s">
        <v>45</v>
      </c>
      <c r="I173" t="s">
        <v>30</v>
      </c>
      <c r="J173" t="str">
        <f>PROPER(TRIM(CLEAN(tbl_Original[[#This Row],[Column1]])))</f>
        <v>Houston</v>
      </c>
      <c r="K173" t="s">
        <v>432</v>
      </c>
      <c r="L173" t="s">
        <v>432</v>
      </c>
      <c r="M173" t="s">
        <v>65</v>
      </c>
      <c r="N173" s="1">
        <v>205.36</v>
      </c>
      <c r="O173">
        <v>12</v>
      </c>
      <c r="P173" t="s">
        <v>78</v>
      </c>
      <c r="Q173">
        <v>1</v>
      </c>
      <c r="R173">
        <v>5</v>
      </c>
      <c r="S173">
        <v>2</v>
      </c>
      <c r="T173" t="s">
        <v>44</v>
      </c>
      <c r="U173" t="s">
        <v>85</v>
      </c>
      <c r="V173">
        <v>0</v>
      </c>
      <c r="W173">
        <v>1</v>
      </c>
      <c r="X173" t="s">
        <v>59</v>
      </c>
      <c r="Y173" t="s">
        <v>38</v>
      </c>
      <c r="Z173" t="s">
        <v>39</v>
      </c>
      <c r="AA173" s="2">
        <v>45409</v>
      </c>
      <c r="AB173" t="b">
        <v>0</v>
      </c>
      <c r="AC173" t="b">
        <v>0</v>
      </c>
      <c r="AD173" t="s">
        <v>62</v>
      </c>
      <c r="AE173" t="s">
        <v>67</v>
      </c>
      <c r="AF173">
        <v>5</v>
      </c>
    </row>
    <row r="174" spans="1:32" x14ac:dyDescent="0.25">
      <c r="A174" t="s">
        <v>433</v>
      </c>
      <c r="B174">
        <v>172</v>
      </c>
      <c r="C174">
        <v>48</v>
      </c>
      <c r="D174" t="str">
        <f>IF(tbl_Original[[#This Row],[Gender2]]="Female","Female",IF(tbl_Original[[#This Row],[Gender2]]="Male","Male","Other"))</f>
        <v>Other</v>
      </c>
      <c r="E174" t="s">
        <v>212</v>
      </c>
      <c r="F174" t="s">
        <v>44</v>
      </c>
      <c r="G174" t="s">
        <v>76</v>
      </c>
      <c r="H174" t="s">
        <v>56</v>
      </c>
      <c r="I174" t="s">
        <v>44</v>
      </c>
      <c r="J174" t="str">
        <f>PROPER(TRIM(CLEAN(tbl_Original[[#This Row],[Column1]])))</f>
        <v>Hengdian</v>
      </c>
      <c r="K174" t="s">
        <v>434</v>
      </c>
      <c r="L174" t="s">
        <v>434</v>
      </c>
      <c r="M174" t="s">
        <v>142</v>
      </c>
      <c r="N174" s="1">
        <v>79.099999999999994</v>
      </c>
      <c r="O174">
        <v>10</v>
      </c>
      <c r="P174" t="s">
        <v>48</v>
      </c>
      <c r="Q174">
        <v>5</v>
      </c>
      <c r="R174">
        <v>3</v>
      </c>
      <c r="S174">
        <v>1</v>
      </c>
      <c r="T174" t="s">
        <v>36</v>
      </c>
      <c r="U174" t="s">
        <v>50</v>
      </c>
      <c r="V174">
        <v>0</v>
      </c>
      <c r="W174">
        <v>9</v>
      </c>
      <c r="X174" t="s">
        <v>49</v>
      </c>
      <c r="Y174" t="s">
        <v>38</v>
      </c>
      <c r="Z174" t="s">
        <v>61</v>
      </c>
      <c r="AA174" s="2">
        <v>45417</v>
      </c>
      <c r="AB174" t="b">
        <v>1</v>
      </c>
      <c r="AC174" t="b">
        <v>0</v>
      </c>
      <c r="AD174" t="s">
        <v>40</v>
      </c>
      <c r="AE174" t="s">
        <v>67</v>
      </c>
      <c r="AF174">
        <v>4</v>
      </c>
    </row>
    <row r="175" spans="1:32" x14ac:dyDescent="0.25">
      <c r="A175" t="s">
        <v>435</v>
      </c>
      <c r="B175">
        <v>173</v>
      </c>
      <c r="C175">
        <v>35</v>
      </c>
      <c r="D175" t="str">
        <f>IF(tbl_Original[[#This Row],[Gender2]]="Female","Female",IF(tbl_Original[[#This Row],[Gender2]]="Male","Male","Other"))</f>
        <v>Male</v>
      </c>
      <c r="E175" t="s">
        <v>43</v>
      </c>
      <c r="F175" t="s">
        <v>44</v>
      </c>
      <c r="G175" t="s">
        <v>69</v>
      </c>
      <c r="H175" t="s">
        <v>45</v>
      </c>
      <c r="I175" t="s">
        <v>30</v>
      </c>
      <c r="J175" t="str">
        <f>PROPER(TRIM(CLEAN(tbl_Original[[#This Row],[Column1]])))</f>
        <v>Shuigou</v>
      </c>
      <c r="K175" t="s">
        <v>436</v>
      </c>
      <c r="L175" t="s">
        <v>436</v>
      </c>
      <c r="M175" t="s">
        <v>104</v>
      </c>
      <c r="N175" s="1">
        <v>256.63</v>
      </c>
      <c r="O175">
        <v>12</v>
      </c>
      <c r="P175" t="s">
        <v>48</v>
      </c>
      <c r="Q175">
        <v>1</v>
      </c>
      <c r="R175">
        <v>4</v>
      </c>
      <c r="S175">
        <v>0</v>
      </c>
      <c r="T175" t="s">
        <v>44</v>
      </c>
      <c r="U175" t="s">
        <v>37</v>
      </c>
      <c r="V175">
        <v>2</v>
      </c>
      <c r="W175">
        <v>2</v>
      </c>
      <c r="X175" t="s">
        <v>36</v>
      </c>
      <c r="Y175" t="s">
        <v>60</v>
      </c>
      <c r="Z175" t="s">
        <v>61</v>
      </c>
      <c r="AA175" s="2">
        <v>45459</v>
      </c>
      <c r="AB175" t="b">
        <v>1</v>
      </c>
      <c r="AC175" t="b">
        <v>1</v>
      </c>
      <c r="AD175" t="s">
        <v>62</v>
      </c>
      <c r="AE175" t="s">
        <v>53</v>
      </c>
      <c r="AF175">
        <v>10</v>
      </c>
    </row>
    <row r="176" spans="1:32" x14ac:dyDescent="0.25">
      <c r="A176" t="s">
        <v>437</v>
      </c>
      <c r="B176">
        <v>174</v>
      </c>
      <c r="C176">
        <v>50</v>
      </c>
      <c r="D176" t="str">
        <f>IF(tbl_Original[[#This Row],[Gender2]]="Female","Female",IF(tbl_Original[[#This Row],[Gender2]]="Male","Male","Other"))</f>
        <v>Female</v>
      </c>
      <c r="E176" t="s">
        <v>29</v>
      </c>
      <c r="F176" t="s">
        <v>44</v>
      </c>
      <c r="G176" t="s">
        <v>76</v>
      </c>
      <c r="H176" t="s">
        <v>45</v>
      </c>
      <c r="I176" t="s">
        <v>30</v>
      </c>
      <c r="J176" t="str">
        <f>PROPER(TRIM(CLEAN(tbl_Original[[#This Row],[Column1]])))</f>
        <v>Xingxi</v>
      </c>
      <c r="K176" t="s">
        <v>438</v>
      </c>
      <c r="L176" t="s">
        <v>438</v>
      </c>
      <c r="M176" t="s">
        <v>82</v>
      </c>
      <c r="N176" s="1">
        <v>409.98</v>
      </c>
      <c r="O176">
        <v>12</v>
      </c>
      <c r="P176" t="s">
        <v>35</v>
      </c>
      <c r="Q176">
        <v>5</v>
      </c>
      <c r="R176">
        <v>4</v>
      </c>
      <c r="S176">
        <v>0</v>
      </c>
      <c r="T176" t="s">
        <v>36</v>
      </c>
      <c r="U176" t="s">
        <v>50</v>
      </c>
      <c r="V176">
        <v>2</v>
      </c>
      <c r="W176">
        <v>1</v>
      </c>
      <c r="X176" t="s">
        <v>49</v>
      </c>
      <c r="Y176" t="s">
        <v>79</v>
      </c>
      <c r="Z176" t="s">
        <v>51</v>
      </c>
      <c r="AA176" s="2">
        <v>45580</v>
      </c>
      <c r="AB176" t="b">
        <v>1</v>
      </c>
      <c r="AC176" t="b">
        <v>0</v>
      </c>
      <c r="AD176" t="s">
        <v>52</v>
      </c>
      <c r="AE176" t="s">
        <v>67</v>
      </c>
      <c r="AF176">
        <v>8</v>
      </c>
    </row>
    <row r="177" spans="1:32" x14ac:dyDescent="0.25">
      <c r="A177" t="s">
        <v>439</v>
      </c>
      <c r="B177">
        <v>175</v>
      </c>
      <c r="C177">
        <v>34</v>
      </c>
      <c r="D177" t="str">
        <f>IF(tbl_Original[[#This Row],[Gender2]]="Female","Female",IF(tbl_Original[[#This Row],[Gender2]]="Male","Male","Other"))</f>
        <v>Male</v>
      </c>
      <c r="E177" t="s">
        <v>43</v>
      </c>
      <c r="F177" t="s">
        <v>30</v>
      </c>
      <c r="G177" t="s">
        <v>69</v>
      </c>
      <c r="H177" t="s">
        <v>45</v>
      </c>
      <c r="I177" t="s">
        <v>44</v>
      </c>
      <c r="J177" t="str">
        <f>PROPER(TRIM(CLEAN(tbl_Original[[#This Row],[Column1]])))</f>
        <v>Dhbn</v>
      </c>
      <c r="K177" t="s">
        <v>2158</v>
      </c>
      <c r="L177" t="s">
        <v>440</v>
      </c>
      <c r="M177" t="s">
        <v>90</v>
      </c>
      <c r="N177" s="1">
        <v>291.60000000000002</v>
      </c>
      <c r="O177">
        <v>2</v>
      </c>
      <c r="P177" t="s">
        <v>48</v>
      </c>
      <c r="Q177">
        <v>3</v>
      </c>
      <c r="R177">
        <v>3</v>
      </c>
      <c r="S177">
        <v>2</v>
      </c>
      <c r="T177" t="s">
        <v>44</v>
      </c>
      <c r="U177" t="s">
        <v>37</v>
      </c>
      <c r="V177">
        <v>0</v>
      </c>
      <c r="W177">
        <v>7</v>
      </c>
      <c r="X177" t="s">
        <v>36</v>
      </c>
      <c r="Y177" t="s">
        <v>79</v>
      </c>
      <c r="Z177" t="s">
        <v>86</v>
      </c>
      <c r="AA177" s="2">
        <v>45505</v>
      </c>
      <c r="AB177" t="b">
        <v>0</v>
      </c>
      <c r="AC177" t="b">
        <v>1</v>
      </c>
      <c r="AD177" t="s">
        <v>40</v>
      </c>
      <c r="AE177" t="s">
        <v>53</v>
      </c>
      <c r="AF177">
        <v>3</v>
      </c>
    </row>
    <row r="178" spans="1:32" x14ac:dyDescent="0.25">
      <c r="A178" t="s">
        <v>441</v>
      </c>
      <c r="B178">
        <v>176</v>
      </c>
      <c r="C178">
        <v>50</v>
      </c>
      <c r="D178" t="str">
        <f>IF(tbl_Original[[#This Row],[Gender2]]="Female","Female",IF(tbl_Original[[#This Row],[Gender2]]="Male","Male","Other"))</f>
        <v>Female</v>
      </c>
      <c r="E178" t="s">
        <v>29</v>
      </c>
      <c r="F178" t="s">
        <v>30</v>
      </c>
      <c r="G178" t="s">
        <v>55</v>
      </c>
      <c r="H178" t="s">
        <v>32</v>
      </c>
      <c r="I178" t="s">
        <v>30</v>
      </c>
      <c r="J178" t="str">
        <f>PROPER(TRIM(CLEAN(tbl_Original[[#This Row],[Column1]])))</f>
        <v>Chengguan</v>
      </c>
      <c r="K178" t="s">
        <v>442</v>
      </c>
      <c r="L178" t="s">
        <v>442</v>
      </c>
      <c r="M178" t="s">
        <v>65</v>
      </c>
      <c r="N178" s="1">
        <v>101.7</v>
      </c>
      <c r="O178">
        <v>7</v>
      </c>
      <c r="P178" t="s">
        <v>78</v>
      </c>
      <c r="Q178">
        <v>3</v>
      </c>
      <c r="R178">
        <v>4</v>
      </c>
      <c r="S178">
        <v>2</v>
      </c>
      <c r="T178" t="s">
        <v>49</v>
      </c>
      <c r="U178" t="s">
        <v>50</v>
      </c>
      <c r="V178">
        <v>2</v>
      </c>
      <c r="W178">
        <v>2</v>
      </c>
      <c r="X178" t="s">
        <v>36</v>
      </c>
      <c r="Y178" t="s">
        <v>38</v>
      </c>
      <c r="Z178" t="s">
        <v>61</v>
      </c>
      <c r="AA178" s="2">
        <v>45468</v>
      </c>
      <c r="AB178" t="b">
        <v>0</v>
      </c>
      <c r="AC178" t="b">
        <v>1</v>
      </c>
      <c r="AD178" t="s">
        <v>52</v>
      </c>
      <c r="AE178" t="s">
        <v>53</v>
      </c>
      <c r="AF178">
        <v>4</v>
      </c>
    </row>
    <row r="179" spans="1:32" x14ac:dyDescent="0.25">
      <c r="A179" t="s">
        <v>443</v>
      </c>
      <c r="B179">
        <v>177</v>
      </c>
      <c r="C179">
        <v>50</v>
      </c>
      <c r="D179" t="str">
        <f>IF(tbl_Original[[#This Row],[Gender2]]="Female","Female",IF(tbl_Original[[#This Row],[Gender2]]="Male","Male","Other"))</f>
        <v>Female</v>
      </c>
      <c r="E179" t="s">
        <v>29</v>
      </c>
      <c r="F179" t="s">
        <v>30</v>
      </c>
      <c r="G179" t="s">
        <v>55</v>
      </c>
      <c r="H179" t="s">
        <v>45</v>
      </c>
      <c r="I179" t="s">
        <v>30</v>
      </c>
      <c r="J179" t="str">
        <f>PROPER(TRIM(CLEAN(tbl_Original[[#This Row],[Column1]])))</f>
        <v>Paris 09</v>
      </c>
      <c r="K179" t="s">
        <v>444</v>
      </c>
      <c r="L179" t="s">
        <v>444</v>
      </c>
      <c r="M179" t="s">
        <v>104</v>
      </c>
      <c r="N179" s="1">
        <v>369.73</v>
      </c>
      <c r="O179">
        <v>2</v>
      </c>
      <c r="P179" t="s">
        <v>78</v>
      </c>
      <c r="Q179">
        <v>1</v>
      </c>
      <c r="R179">
        <v>2</v>
      </c>
      <c r="S179">
        <v>2</v>
      </c>
      <c r="T179" t="s">
        <v>36</v>
      </c>
      <c r="U179" t="s">
        <v>50</v>
      </c>
      <c r="V179">
        <v>0</v>
      </c>
      <c r="W179">
        <v>3</v>
      </c>
      <c r="X179" t="s">
        <v>36</v>
      </c>
      <c r="Y179" t="s">
        <v>38</v>
      </c>
      <c r="Z179" t="s">
        <v>61</v>
      </c>
      <c r="AA179" s="2">
        <v>45326</v>
      </c>
      <c r="AB179" t="b">
        <v>1</v>
      </c>
      <c r="AC179" t="b">
        <v>1</v>
      </c>
      <c r="AD179" t="s">
        <v>52</v>
      </c>
      <c r="AE179" t="s">
        <v>41</v>
      </c>
      <c r="AF179">
        <v>12</v>
      </c>
    </row>
    <row r="180" spans="1:32" x14ac:dyDescent="0.25">
      <c r="A180" t="s">
        <v>445</v>
      </c>
      <c r="B180">
        <v>178</v>
      </c>
      <c r="C180">
        <v>46</v>
      </c>
      <c r="D180" t="str">
        <f>IF(tbl_Original[[#This Row],[Gender2]]="Female","Female",IF(tbl_Original[[#This Row],[Gender2]]="Male","Male","Other"))</f>
        <v>Male</v>
      </c>
      <c r="E180" t="s">
        <v>43</v>
      </c>
      <c r="F180" t="s">
        <v>30</v>
      </c>
      <c r="G180" t="s">
        <v>55</v>
      </c>
      <c r="H180" t="s">
        <v>32</v>
      </c>
      <c r="I180" t="s">
        <v>44</v>
      </c>
      <c r="J180" t="str">
        <f>PROPER(TRIM(CLEAN(tbl_Original[[#This Row],[Column1]])))</f>
        <v>Rozhdestveno</v>
      </c>
      <c r="K180" t="s">
        <v>446</v>
      </c>
      <c r="L180" t="s">
        <v>446</v>
      </c>
      <c r="M180" t="s">
        <v>123</v>
      </c>
      <c r="N180" s="1">
        <v>71</v>
      </c>
      <c r="O180">
        <v>12</v>
      </c>
      <c r="P180" t="s">
        <v>78</v>
      </c>
      <c r="Q180">
        <v>1</v>
      </c>
      <c r="R180">
        <v>5</v>
      </c>
      <c r="S180">
        <v>2</v>
      </c>
      <c r="T180" t="s">
        <v>44</v>
      </c>
      <c r="U180" t="s">
        <v>50</v>
      </c>
      <c r="V180">
        <v>2</v>
      </c>
      <c r="W180">
        <v>9</v>
      </c>
      <c r="X180" t="s">
        <v>59</v>
      </c>
      <c r="Y180" t="s">
        <v>60</v>
      </c>
      <c r="Z180" t="s">
        <v>86</v>
      </c>
      <c r="AA180" s="2">
        <v>45469</v>
      </c>
      <c r="AB180" t="b">
        <v>0</v>
      </c>
      <c r="AC180" t="b">
        <v>0</v>
      </c>
      <c r="AD180" t="s">
        <v>52</v>
      </c>
      <c r="AE180" t="s">
        <v>41</v>
      </c>
      <c r="AF180">
        <v>13</v>
      </c>
    </row>
    <row r="181" spans="1:32" x14ac:dyDescent="0.25">
      <c r="A181" t="s">
        <v>447</v>
      </c>
      <c r="B181">
        <v>179</v>
      </c>
      <c r="C181">
        <v>47</v>
      </c>
      <c r="D181" t="str">
        <f>IF(tbl_Original[[#This Row],[Gender2]]="Female","Female",IF(tbl_Original[[#This Row],[Gender2]]="Male","Male","Other"))</f>
        <v>Male</v>
      </c>
      <c r="E181" t="s">
        <v>43</v>
      </c>
      <c r="F181" t="s">
        <v>30</v>
      </c>
      <c r="G181" t="s">
        <v>55</v>
      </c>
      <c r="H181" t="s">
        <v>56</v>
      </c>
      <c r="I181" t="s">
        <v>30</v>
      </c>
      <c r="J181" t="str">
        <f>PROPER(TRIM(CLEAN(tbl_Original[[#This Row],[Column1]])))</f>
        <v>Porangatu</v>
      </c>
      <c r="K181" t="s">
        <v>448</v>
      </c>
      <c r="L181" t="s">
        <v>448</v>
      </c>
      <c r="M181" t="s">
        <v>114</v>
      </c>
      <c r="N181" s="1">
        <v>280.05</v>
      </c>
      <c r="O181">
        <v>10</v>
      </c>
      <c r="P181" t="s">
        <v>48</v>
      </c>
      <c r="Q181">
        <v>4</v>
      </c>
      <c r="R181">
        <v>1</v>
      </c>
      <c r="S181">
        <v>2</v>
      </c>
      <c r="T181" t="s">
        <v>49</v>
      </c>
      <c r="U181" t="s">
        <v>85</v>
      </c>
      <c r="V181">
        <v>1</v>
      </c>
      <c r="W181">
        <v>2</v>
      </c>
      <c r="X181" t="s">
        <v>44</v>
      </c>
      <c r="Y181" t="s">
        <v>60</v>
      </c>
      <c r="Z181" t="s">
        <v>39</v>
      </c>
      <c r="AA181" s="2">
        <v>45479</v>
      </c>
      <c r="AB181" t="b">
        <v>1</v>
      </c>
      <c r="AC181" t="b">
        <v>0</v>
      </c>
      <c r="AD181" t="s">
        <v>52</v>
      </c>
      <c r="AE181" t="s">
        <v>41</v>
      </c>
      <c r="AF181">
        <v>11</v>
      </c>
    </row>
    <row r="182" spans="1:32" x14ac:dyDescent="0.25">
      <c r="A182" t="s">
        <v>449</v>
      </c>
      <c r="B182">
        <v>180</v>
      </c>
      <c r="C182">
        <v>35</v>
      </c>
      <c r="D182" t="str">
        <f>IF(tbl_Original[[#This Row],[Gender2]]="Female","Female",IF(tbl_Original[[#This Row],[Gender2]]="Male","Male","Other"))</f>
        <v>Male</v>
      </c>
      <c r="E182" t="s">
        <v>43</v>
      </c>
      <c r="F182" t="s">
        <v>44</v>
      </c>
      <c r="G182" t="s">
        <v>69</v>
      </c>
      <c r="H182" t="s">
        <v>56</v>
      </c>
      <c r="I182" t="s">
        <v>30</v>
      </c>
      <c r="J182" t="str">
        <f>PROPER(TRIM(CLEAN(tbl_Original[[#This Row],[Column1]])))</f>
        <v>Shalkar</v>
      </c>
      <c r="K182" t="s">
        <v>450</v>
      </c>
      <c r="L182" t="s">
        <v>450</v>
      </c>
      <c r="M182" t="s">
        <v>246</v>
      </c>
      <c r="N182" s="1">
        <v>54.71</v>
      </c>
      <c r="O182">
        <v>4</v>
      </c>
      <c r="P182" t="s">
        <v>35</v>
      </c>
      <c r="Q182">
        <v>5</v>
      </c>
      <c r="R182">
        <v>2</v>
      </c>
      <c r="S182">
        <v>1</v>
      </c>
      <c r="T182" t="s">
        <v>59</v>
      </c>
      <c r="U182" t="s">
        <v>85</v>
      </c>
      <c r="V182">
        <v>1</v>
      </c>
      <c r="W182">
        <v>3</v>
      </c>
      <c r="X182" t="s">
        <v>36</v>
      </c>
      <c r="Y182" t="s">
        <v>79</v>
      </c>
      <c r="Z182" t="s">
        <v>51</v>
      </c>
      <c r="AA182" s="2">
        <v>45591</v>
      </c>
      <c r="AB182" t="b">
        <v>1</v>
      </c>
      <c r="AC182" t="b">
        <v>1</v>
      </c>
      <c r="AD182" t="s">
        <v>40</v>
      </c>
      <c r="AE182" t="s">
        <v>67</v>
      </c>
      <c r="AF182">
        <v>3</v>
      </c>
    </row>
    <row r="183" spans="1:32" x14ac:dyDescent="0.25">
      <c r="A183" t="s">
        <v>451</v>
      </c>
      <c r="B183">
        <v>181</v>
      </c>
      <c r="C183">
        <v>27</v>
      </c>
      <c r="D183" t="str">
        <f>IF(tbl_Original[[#This Row],[Gender2]]="Female","Female",IF(tbl_Original[[#This Row],[Gender2]]="Male","Male","Other"))</f>
        <v>Male</v>
      </c>
      <c r="E183" t="s">
        <v>43</v>
      </c>
      <c r="F183" t="s">
        <v>44</v>
      </c>
      <c r="G183" t="s">
        <v>69</v>
      </c>
      <c r="H183" t="s">
        <v>32</v>
      </c>
      <c r="I183" t="s">
        <v>30</v>
      </c>
      <c r="J183" t="str">
        <f>PROPER(TRIM(CLEAN(tbl_Original[[#This Row],[Column1]])))</f>
        <v>Quimbaya</v>
      </c>
      <c r="K183" t="s">
        <v>452</v>
      </c>
      <c r="L183" t="s">
        <v>452</v>
      </c>
      <c r="M183" t="s">
        <v>114</v>
      </c>
      <c r="N183" s="1">
        <v>119.51</v>
      </c>
      <c r="O183">
        <v>11</v>
      </c>
      <c r="P183" t="s">
        <v>35</v>
      </c>
      <c r="Q183">
        <v>5</v>
      </c>
      <c r="R183">
        <v>5</v>
      </c>
      <c r="S183">
        <v>2</v>
      </c>
      <c r="T183" t="s">
        <v>59</v>
      </c>
      <c r="U183" t="s">
        <v>85</v>
      </c>
      <c r="V183">
        <v>2</v>
      </c>
      <c r="W183">
        <v>8</v>
      </c>
      <c r="X183" t="s">
        <v>59</v>
      </c>
      <c r="Y183" t="s">
        <v>79</v>
      </c>
      <c r="Z183" t="s">
        <v>51</v>
      </c>
      <c r="AA183" s="2">
        <v>45419</v>
      </c>
      <c r="AB183" t="b">
        <v>0</v>
      </c>
      <c r="AC183" t="b">
        <v>0</v>
      </c>
      <c r="AD183" t="s">
        <v>74</v>
      </c>
      <c r="AE183" t="s">
        <v>41</v>
      </c>
      <c r="AF183">
        <v>1</v>
      </c>
    </row>
    <row r="184" spans="1:32" x14ac:dyDescent="0.25">
      <c r="A184" t="s">
        <v>453</v>
      </c>
      <c r="B184">
        <v>182</v>
      </c>
      <c r="C184">
        <v>37</v>
      </c>
      <c r="D184" t="str">
        <f>IF(tbl_Original[[#This Row],[Gender2]]="Female","Female",IF(tbl_Original[[#This Row],[Gender2]]="Male","Male","Other"))</f>
        <v>Female</v>
      </c>
      <c r="E184" t="s">
        <v>29</v>
      </c>
      <c r="F184" t="s">
        <v>44</v>
      </c>
      <c r="G184" t="s">
        <v>55</v>
      </c>
      <c r="H184" t="s">
        <v>56</v>
      </c>
      <c r="I184" t="s">
        <v>44</v>
      </c>
      <c r="J184" t="str">
        <f>PROPER(TRIM(CLEAN(tbl_Original[[#This Row],[Column1]])))</f>
        <v>Narok</v>
      </c>
      <c r="K184" t="s">
        <v>454</v>
      </c>
      <c r="L184" t="s">
        <v>454</v>
      </c>
      <c r="M184" t="s">
        <v>135</v>
      </c>
      <c r="N184" s="1">
        <v>57.5</v>
      </c>
      <c r="O184">
        <v>12</v>
      </c>
      <c r="P184" t="s">
        <v>78</v>
      </c>
      <c r="Q184">
        <v>5</v>
      </c>
      <c r="R184">
        <v>1</v>
      </c>
      <c r="S184">
        <v>1</v>
      </c>
      <c r="T184" t="s">
        <v>36</v>
      </c>
      <c r="U184" t="s">
        <v>50</v>
      </c>
      <c r="V184">
        <v>0</v>
      </c>
      <c r="W184">
        <v>3</v>
      </c>
      <c r="X184" t="s">
        <v>36</v>
      </c>
      <c r="Y184" t="s">
        <v>79</v>
      </c>
      <c r="Z184" t="s">
        <v>86</v>
      </c>
      <c r="AA184" s="2">
        <v>45634</v>
      </c>
      <c r="AB184" t="b">
        <v>1</v>
      </c>
      <c r="AC184" t="b">
        <v>1</v>
      </c>
      <c r="AD184" t="s">
        <v>62</v>
      </c>
      <c r="AE184" t="s">
        <v>41</v>
      </c>
      <c r="AF184">
        <v>13</v>
      </c>
    </row>
    <row r="185" spans="1:32" x14ac:dyDescent="0.25">
      <c r="A185" t="s">
        <v>455</v>
      </c>
      <c r="B185">
        <v>183</v>
      </c>
      <c r="C185">
        <v>38</v>
      </c>
      <c r="D185" t="str">
        <f>IF(tbl_Original[[#This Row],[Gender2]]="Female","Female",IF(tbl_Original[[#This Row],[Gender2]]="Male","Male","Other"))</f>
        <v>Female</v>
      </c>
      <c r="E185" t="s">
        <v>29</v>
      </c>
      <c r="F185" t="s">
        <v>44</v>
      </c>
      <c r="G185" t="s">
        <v>31</v>
      </c>
      <c r="H185" t="s">
        <v>32</v>
      </c>
      <c r="I185" t="s">
        <v>44</v>
      </c>
      <c r="J185" t="str">
        <f>PROPER(TRIM(CLEAN(tbl_Original[[#This Row],[Column1]])))</f>
        <v>Gimcheon</v>
      </c>
      <c r="K185" t="s">
        <v>456</v>
      </c>
      <c r="L185" t="s">
        <v>456</v>
      </c>
      <c r="M185" t="s">
        <v>82</v>
      </c>
      <c r="N185" s="1">
        <v>225.05</v>
      </c>
      <c r="O185">
        <v>5</v>
      </c>
      <c r="P185" t="s">
        <v>35</v>
      </c>
      <c r="Q185">
        <v>2</v>
      </c>
      <c r="R185">
        <v>1</v>
      </c>
      <c r="S185">
        <v>1</v>
      </c>
      <c r="T185" t="s">
        <v>44</v>
      </c>
      <c r="U185" t="s">
        <v>37</v>
      </c>
      <c r="V185">
        <v>1</v>
      </c>
      <c r="W185">
        <v>1</v>
      </c>
      <c r="X185" t="s">
        <v>59</v>
      </c>
      <c r="Y185" t="s">
        <v>79</v>
      </c>
      <c r="Z185" t="s">
        <v>39</v>
      </c>
      <c r="AA185" s="2">
        <v>45470</v>
      </c>
      <c r="AB185" t="b">
        <v>0</v>
      </c>
      <c r="AC185" t="b">
        <v>0</v>
      </c>
      <c r="AD185" t="s">
        <v>40</v>
      </c>
      <c r="AE185" t="s">
        <v>41</v>
      </c>
      <c r="AF185">
        <v>10</v>
      </c>
    </row>
    <row r="186" spans="1:32" x14ac:dyDescent="0.25">
      <c r="A186" t="s">
        <v>457</v>
      </c>
      <c r="B186">
        <v>184</v>
      </c>
      <c r="C186">
        <v>41</v>
      </c>
      <c r="D186" t="str">
        <f>IF(tbl_Original[[#This Row],[Gender2]]="Female","Female",IF(tbl_Original[[#This Row],[Gender2]]="Male","Male","Other"))</f>
        <v>Female</v>
      </c>
      <c r="E186" t="s">
        <v>29</v>
      </c>
      <c r="F186" t="s">
        <v>44</v>
      </c>
      <c r="G186" t="s">
        <v>76</v>
      </c>
      <c r="H186" t="s">
        <v>45</v>
      </c>
      <c r="I186" t="s">
        <v>44</v>
      </c>
      <c r="J186" t="str">
        <f>PROPER(TRIM(CLEAN(tbl_Original[[#This Row],[Column1]])))</f>
        <v>Visaginas</v>
      </c>
      <c r="K186" t="s">
        <v>458</v>
      </c>
      <c r="L186" t="s">
        <v>458</v>
      </c>
      <c r="M186" t="s">
        <v>47</v>
      </c>
      <c r="N186" s="1">
        <v>441.15</v>
      </c>
      <c r="O186">
        <v>7</v>
      </c>
      <c r="P186" t="s">
        <v>78</v>
      </c>
      <c r="Q186">
        <v>3</v>
      </c>
      <c r="R186">
        <v>1</v>
      </c>
      <c r="S186">
        <v>1</v>
      </c>
      <c r="T186" t="s">
        <v>59</v>
      </c>
      <c r="U186" t="s">
        <v>37</v>
      </c>
      <c r="V186">
        <v>1</v>
      </c>
      <c r="W186">
        <v>1</v>
      </c>
      <c r="X186" t="s">
        <v>36</v>
      </c>
      <c r="Y186" t="s">
        <v>60</v>
      </c>
      <c r="Z186" t="s">
        <v>61</v>
      </c>
      <c r="AA186" s="2">
        <v>45535</v>
      </c>
      <c r="AB186" t="b">
        <v>0</v>
      </c>
      <c r="AC186" t="b">
        <v>0</v>
      </c>
      <c r="AD186" t="s">
        <v>40</v>
      </c>
      <c r="AE186" t="s">
        <v>41</v>
      </c>
      <c r="AF186">
        <v>8</v>
      </c>
    </row>
    <row r="187" spans="1:32" x14ac:dyDescent="0.25">
      <c r="A187" t="s">
        <v>459</v>
      </c>
      <c r="B187">
        <v>185</v>
      </c>
      <c r="C187">
        <v>48</v>
      </c>
      <c r="D187" t="str">
        <f>IF(tbl_Original[[#This Row],[Gender2]]="Female","Female",IF(tbl_Original[[#This Row],[Gender2]]="Male","Male","Other"))</f>
        <v>Male</v>
      </c>
      <c r="E187" t="s">
        <v>43</v>
      </c>
      <c r="F187" t="s">
        <v>30</v>
      </c>
      <c r="G187" t="s">
        <v>76</v>
      </c>
      <c r="H187" t="s">
        <v>45</v>
      </c>
      <c r="I187" t="s">
        <v>30</v>
      </c>
      <c r="J187" t="str">
        <f>PROPER(TRIM(CLEAN(tbl_Original[[#This Row],[Column1]])))</f>
        <v>Shostka</v>
      </c>
      <c r="K187" t="s">
        <v>460</v>
      </c>
      <c r="L187" t="s">
        <v>460</v>
      </c>
      <c r="M187" t="s">
        <v>101</v>
      </c>
      <c r="N187" s="1">
        <v>481.21</v>
      </c>
      <c r="O187">
        <v>3</v>
      </c>
      <c r="P187" t="s">
        <v>35</v>
      </c>
      <c r="Q187">
        <v>1</v>
      </c>
      <c r="R187">
        <v>2</v>
      </c>
      <c r="S187">
        <v>1</v>
      </c>
      <c r="T187" t="s">
        <v>44</v>
      </c>
      <c r="U187" t="s">
        <v>50</v>
      </c>
      <c r="V187">
        <v>0</v>
      </c>
      <c r="W187">
        <v>1</v>
      </c>
      <c r="X187" t="s">
        <v>36</v>
      </c>
      <c r="Y187" t="s">
        <v>79</v>
      </c>
      <c r="Z187" t="s">
        <v>39</v>
      </c>
      <c r="AA187" s="2">
        <v>45609</v>
      </c>
      <c r="AB187" t="b">
        <v>0</v>
      </c>
      <c r="AC187" t="b">
        <v>0</v>
      </c>
      <c r="AD187" t="s">
        <v>52</v>
      </c>
      <c r="AE187" t="s">
        <v>41</v>
      </c>
      <c r="AF187">
        <v>11</v>
      </c>
    </row>
    <row r="188" spans="1:32" x14ac:dyDescent="0.25">
      <c r="A188" t="s">
        <v>461</v>
      </c>
      <c r="B188">
        <v>186</v>
      </c>
      <c r="C188">
        <v>48</v>
      </c>
      <c r="D188" t="str">
        <f>IF(tbl_Original[[#This Row],[Gender2]]="Female","Female",IF(tbl_Original[[#This Row],[Gender2]]="Male","Male","Other"))</f>
        <v>Female</v>
      </c>
      <c r="E188" t="s">
        <v>29</v>
      </c>
      <c r="F188" t="s">
        <v>44</v>
      </c>
      <c r="G188" t="s">
        <v>31</v>
      </c>
      <c r="H188" t="s">
        <v>32</v>
      </c>
      <c r="I188" t="s">
        <v>30</v>
      </c>
      <c r="J188" t="str">
        <f>PROPER(TRIM(CLEAN(tbl_Original[[#This Row],[Column1]])))</f>
        <v>Pukekohe East</v>
      </c>
      <c r="K188" t="s">
        <v>462</v>
      </c>
      <c r="L188" t="s">
        <v>462</v>
      </c>
      <c r="M188" t="s">
        <v>135</v>
      </c>
      <c r="N188" s="1">
        <v>102.96</v>
      </c>
      <c r="O188">
        <v>3</v>
      </c>
      <c r="P188" t="s">
        <v>35</v>
      </c>
      <c r="Q188">
        <v>1</v>
      </c>
      <c r="R188">
        <v>1</v>
      </c>
      <c r="S188">
        <v>1</v>
      </c>
      <c r="T188" t="s">
        <v>59</v>
      </c>
      <c r="U188" t="s">
        <v>85</v>
      </c>
      <c r="V188">
        <v>0</v>
      </c>
      <c r="W188">
        <v>7</v>
      </c>
      <c r="X188" t="s">
        <v>59</v>
      </c>
      <c r="Y188" t="s">
        <v>79</v>
      </c>
      <c r="Z188" t="s">
        <v>51</v>
      </c>
      <c r="AA188" s="2">
        <v>45645</v>
      </c>
      <c r="AB188" t="b">
        <v>0</v>
      </c>
      <c r="AC188" t="b">
        <v>1</v>
      </c>
      <c r="AD188" t="s">
        <v>52</v>
      </c>
      <c r="AE188" t="s">
        <v>53</v>
      </c>
      <c r="AF188">
        <v>4</v>
      </c>
    </row>
    <row r="189" spans="1:32" x14ac:dyDescent="0.25">
      <c r="A189" t="s">
        <v>463</v>
      </c>
      <c r="B189">
        <v>187</v>
      </c>
      <c r="C189">
        <v>45</v>
      </c>
      <c r="D189" t="str">
        <f>IF(tbl_Original[[#This Row],[Gender2]]="Female","Female",IF(tbl_Original[[#This Row],[Gender2]]="Male","Male","Other"))</f>
        <v>Female</v>
      </c>
      <c r="E189" t="s">
        <v>29</v>
      </c>
      <c r="F189" t="s">
        <v>44</v>
      </c>
      <c r="G189" t="s">
        <v>76</v>
      </c>
      <c r="H189" t="s">
        <v>32</v>
      </c>
      <c r="I189" t="s">
        <v>44</v>
      </c>
      <c r="J189" t="str">
        <f>PROPER(TRIM(CLEAN(tbl_Original[[#This Row],[Column1]])))</f>
        <v>Blokdesa Situgede</v>
      </c>
      <c r="K189" t="s">
        <v>464</v>
      </c>
      <c r="L189" t="s">
        <v>464</v>
      </c>
      <c r="M189" t="s">
        <v>117</v>
      </c>
      <c r="N189" s="1">
        <v>331.57</v>
      </c>
      <c r="O189">
        <v>11</v>
      </c>
      <c r="P189" t="s">
        <v>35</v>
      </c>
      <c r="Q189">
        <v>3</v>
      </c>
      <c r="R189">
        <v>1</v>
      </c>
      <c r="S189">
        <v>0</v>
      </c>
      <c r="T189" t="s">
        <v>59</v>
      </c>
      <c r="U189" t="s">
        <v>37</v>
      </c>
      <c r="V189">
        <v>1</v>
      </c>
      <c r="W189">
        <v>6</v>
      </c>
      <c r="X189" t="s">
        <v>49</v>
      </c>
      <c r="Y189" t="s">
        <v>79</v>
      </c>
      <c r="Z189" t="s">
        <v>61</v>
      </c>
      <c r="AA189" s="2">
        <v>45418</v>
      </c>
      <c r="AB189" t="b">
        <v>0</v>
      </c>
      <c r="AC189" t="b">
        <v>0</v>
      </c>
      <c r="AD189" t="s">
        <v>62</v>
      </c>
      <c r="AE189" t="s">
        <v>67</v>
      </c>
      <c r="AF189">
        <v>14</v>
      </c>
    </row>
    <row r="190" spans="1:32" x14ac:dyDescent="0.25">
      <c r="A190" t="s">
        <v>465</v>
      </c>
      <c r="B190">
        <v>188</v>
      </c>
      <c r="C190">
        <v>26</v>
      </c>
      <c r="D190" t="str">
        <f>IF(tbl_Original[[#This Row],[Gender2]]="Female","Female",IF(tbl_Original[[#This Row],[Gender2]]="Male","Male","Other"))</f>
        <v>Other</v>
      </c>
      <c r="E190" t="s">
        <v>190</v>
      </c>
      <c r="F190" t="s">
        <v>30</v>
      </c>
      <c r="G190" t="s">
        <v>69</v>
      </c>
      <c r="H190" t="s">
        <v>45</v>
      </c>
      <c r="I190" t="s">
        <v>30</v>
      </c>
      <c r="J190" t="str">
        <f>PROPER(TRIM(CLEAN(tbl_Original[[#This Row],[Column1]])))</f>
        <v>Yueyang</v>
      </c>
      <c r="K190" t="s">
        <v>466</v>
      </c>
      <c r="L190" t="s">
        <v>466</v>
      </c>
      <c r="M190" t="s">
        <v>117</v>
      </c>
      <c r="N190" s="1">
        <v>101.29</v>
      </c>
      <c r="O190">
        <v>11</v>
      </c>
      <c r="P190" t="s">
        <v>48</v>
      </c>
      <c r="Q190">
        <v>1</v>
      </c>
      <c r="R190">
        <v>1</v>
      </c>
      <c r="S190">
        <v>2</v>
      </c>
      <c r="T190" t="s">
        <v>49</v>
      </c>
      <c r="U190" t="s">
        <v>50</v>
      </c>
      <c r="V190">
        <v>2</v>
      </c>
      <c r="W190">
        <v>7</v>
      </c>
      <c r="X190" t="s">
        <v>49</v>
      </c>
      <c r="Y190" t="s">
        <v>60</v>
      </c>
      <c r="Z190" t="s">
        <v>86</v>
      </c>
      <c r="AA190" s="2">
        <v>45595</v>
      </c>
      <c r="AB190" t="b">
        <v>0</v>
      </c>
      <c r="AC190" t="b">
        <v>1</v>
      </c>
      <c r="AD190" t="s">
        <v>40</v>
      </c>
      <c r="AE190" t="s">
        <v>41</v>
      </c>
      <c r="AF190">
        <v>4</v>
      </c>
    </row>
    <row r="191" spans="1:32" x14ac:dyDescent="0.25">
      <c r="A191" t="s">
        <v>467</v>
      </c>
      <c r="B191">
        <v>189</v>
      </c>
      <c r="C191">
        <v>50</v>
      </c>
      <c r="D191" t="str">
        <f>IF(tbl_Original[[#This Row],[Gender2]]="Female","Female",IF(tbl_Original[[#This Row],[Gender2]]="Male","Male","Other"))</f>
        <v>Female</v>
      </c>
      <c r="E191" t="s">
        <v>29</v>
      </c>
      <c r="F191" t="s">
        <v>30</v>
      </c>
      <c r="G191" t="s">
        <v>55</v>
      </c>
      <c r="H191" t="s">
        <v>56</v>
      </c>
      <c r="I191" t="s">
        <v>44</v>
      </c>
      <c r="J191" t="str">
        <f>PROPER(TRIM(CLEAN(tbl_Original[[#This Row],[Column1]])))</f>
        <v>Liutan</v>
      </c>
      <c r="K191" t="s">
        <v>468</v>
      </c>
      <c r="L191" t="s">
        <v>468</v>
      </c>
      <c r="M191" t="s">
        <v>114</v>
      </c>
      <c r="N191" s="1">
        <v>143.52000000000001</v>
      </c>
      <c r="O191">
        <v>9</v>
      </c>
      <c r="P191" t="s">
        <v>48</v>
      </c>
      <c r="Q191">
        <v>2</v>
      </c>
      <c r="R191">
        <v>5</v>
      </c>
      <c r="S191">
        <v>1</v>
      </c>
      <c r="T191" t="s">
        <v>49</v>
      </c>
      <c r="U191" t="s">
        <v>37</v>
      </c>
      <c r="V191">
        <v>2</v>
      </c>
      <c r="W191">
        <v>3</v>
      </c>
      <c r="X191" t="s">
        <v>36</v>
      </c>
      <c r="Y191" t="s">
        <v>38</v>
      </c>
      <c r="Z191" t="s">
        <v>39</v>
      </c>
      <c r="AA191" s="2">
        <v>45393</v>
      </c>
      <c r="AB191" t="b">
        <v>1</v>
      </c>
      <c r="AC191" t="b">
        <v>0</v>
      </c>
      <c r="AD191" t="s">
        <v>62</v>
      </c>
      <c r="AE191" t="s">
        <v>67</v>
      </c>
      <c r="AF191">
        <v>12</v>
      </c>
    </row>
    <row r="192" spans="1:32" x14ac:dyDescent="0.25">
      <c r="A192" t="s">
        <v>469</v>
      </c>
      <c r="B192">
        <v>190</v>
      </c>
      <c r="C192">
        <v>39</v>
      </c>
      <c r="D192" t="str">
        <f>IF(tbl_Original[[#This Row],[Gender2]]="Female","Female",IF(tbl_Original[[#This Row],[Gender2]]="Male","Male","Other"))</f>
        <v>Male</v>
      </c>
      <c r="E192" t="s">
        <v>43</v>
      </c>
      <c r="F192" t="s">
        <v>30</v>
      </c>
      <c r="G192" t="s">
        <v>69</v>
      </c>
      <c r="H192" t="s">
        <v>32</v>
      </c>
      <c r="I192" t="s">
        <v>30</v>
      </c>
      <c r="J192" t="str">
        <f>PROPER(TRIM(CLEAN(tbl_Original[[#This Row],[Column1]])))</f>
        <v>Huanggang</v>
      </c>
      <c r="K192" t="s">
        <v>470</v>
      </c>
      <c r="L192" t="s">
        <v>470</v>
      </c>
      <c r="M192" t="s">
        <v>90</v>
      </c>
      <c r="N192" s="1">
        <v>276.48</v>
      </c>
      <c r="O192">
        <v>3</v>
      </c>
      <c r="P192" t="s">
        <v>35</v>
      </c>
      <c r="Q192">
        <v>1</v>
      </c>
      <c r="R192">
        <v>2</v>
      </c>
      <c r="S192">
        <v>1</v>
      </c>
      <c r="T192" t="s">
        <v>36</v>
      </c>
      <c r="U192" t="s">
        <v>37</v>
      </c>
      <c r="V192">
        <v>0</v>
      </c>
      <c r="W192">
        <v>4</v>
      </c>
      <c r="X192" t="s">
        <v>59</v>
      </c>
      <c r="Y192" t="s">
        <v>79</v>
      </c>
      <c r="Z192" t="s">
        <v>86</v>
      </c>
      <c r="AA192" s="2">
        <v>45417</v>
      </c>
      <c r="AB192" t="b">
        <v>0</v>
      </c>
      <c r="AC192" t="b">
        <v>0</v>
      </c>
      <c r="AD192" t="s">
        <v>40</v>
      </c>
      <c r="AE192" t="s">
        <v>67</v>
      </c>
      <c r="AF192">
        <v>7</v>
      </c>
    </row>
    <row r="193" spans="1:32" x14ac:dyDescent="0.25">
      <c r="A193" t="s">
        <v>471</v>
      </c>
      <c r="B193">
        <v>191</v>
      </c>
      <c r="C193">
        <v>20</v>
      </c>
      <c r="D193" t="str">
        <f>IF(tbl_Original[[#This Row],[Gender2]]="Female","Female",IF(tbl_Original[[#This Row],[Gender2]]="Male","Male","Other"))</f>
        <v>Male</v>
      </c>
      <c r="E193" t="s">
        <v>43</v>
      </c>
      <c r="F193" t="s">
        <v>44</v>
      </c>
      <c r="G193" t="s">
        <v>69</v>
      </c>
      <c r="H193" t="s">
        <v>45</v>
      </c>
      <c r="I193" t="s">
        <v>44</v>
      </c>
      <c r="J193" t="str">
        <f>PROPER(TRIM(CLEAN(tbl_Original[[#This Row],[Column1]])))</f>
        <v>Baturit</v>
      </c>
      <c r="K193" t="s">
        <v>2159</v>
      </c>
      <c r="L193" t="s">
        <v>472</v>
      </c>
      <c r="M193" t="s">
        <v>126</v>
      </c>
      <c r="N193" s="1">
        <v>352.87</v>
      </c>
      <c r="O193">
        <v>11</v>
      </c>
      <c r="P193" t="s">
        <v>48</v>
      </c>
      <c r="Q193">
        <v>5</v>
      </c>
      <c r="R193">
        <v>3</v>
      </c>
      <c r="S193">
        <v>0</v>
      </c>
      <c r="T193" t="s">
        <v>44</v>
      </c>
      <c r="U193" t="s">
        <v>50</v>
      </c>
      <c r="V193">
        <v>0</v>
      </c>
      <c r="W193">
        <v>6</v>
      </c>
      <c r="X193" t="s">
        <v>44</v>
      </c>
      <c r="Y193" t="s">
        <v>38</v>
      </c>
      <c r="Z193" t="s">
        <v>51</v>
      </c>
      <c r="AA193" s="2">
        <v>45341</v>
      </c>
      <c r="AB193" t="b">
        <v>0</v>
      </c>
      <c r="AC193" t="b">
        <v>0</v>
      </c>
      <c r="AD193" t="s">
        <v>52</v>
      </c>
      <c r="AE193" t="s">
        <v>53</v>
      </c>
      <c r="AF193">
        <v>12</v>
      </c>
    </row>
    <row r="194" spans="1:32" x14ac:dyDescent="0.25">
      <c r="A194" t="s">
        <v>473</v>
      </c>
      <c r="B194">
        <v>192</v>
      </c>
      <c r="C194">
        <v>48</v>
      </c>
      <c r="D194" t="str">
        <f>IF(tbl_Original[[#This Row],[Gender2]]="Female","Female",IF(tbl_Original[[#This Row],[Gender2]]="Male","Male","Other"))</f>
        <v>Male</v>
      </c>
      <c r="E194" t="s">
        <v>43</v>
      </c>
      <c r="F194" t="s">
        <v>30</v>
      </c>
      <c r="G194" t="s">
        <v>31</v>
      </c>
      <c r="H194" t="s">
        <v>56</v>
      </c>
      <c r="I194" t="s">
        <v>30</v>
      </c>
      <c r="J194" t="str">
        <f>PROPER(TRIM(CLEAN(tbl_Original[[#This Row],[Column1]])))</f>
        <v>Miaersi</v>
      </c>
      <c r="K194" t="s">
        <v>2160</v>
      </c>
      <c r="L194" t="s">
        <v>474</v>
      </c>
      <c r="M194" t="s">
        <v>93</v>
      </c>
      <c r="N194" s="1">
        <v>228.68</v>
      </c>
      <c r="O194">
        <v>3</v>
      </c>
      <c r="P194" t="s">
        <v>35</v>
      </c>
      <c r="Q194">
        <v>2</v>
      </c>
      <c r="R194">
        <v>1</v>
      </c>
      <c r="S194">
        <v>2</v>
      </c>
      <c r="T194" t="s">
        <v>59</v>
      </c>
      <c r="U194" t="s">
        <v>85</v>
      </c>
      <c r="V194">
        <v>1</v>
      </c>
      <c r="W194">
        <v>4</v>
      </c>
      <c r="X194" t="s">
        <v>36</v>
      </c>
      <c r="Y194" t="s">
        <v>38</v>
      </c>
      <c r="Z194" t="s">
        <v>61</v>
      </c>
      <c r="AA194" s="2">
        <v>45574</v>
      </c>
      <c r="AB194" t="b">
        <v>1</v>
      </c>
      <c r="AC194" t="b">
        <v>0</v>
      </c>
      <c r="AD194" t="s">
        <v>74</v>
      </c>
      <c r="AE194" t="s">
        <v>53</v>
      </c>
      <c r="AF194">
        <v>4</v>
      </c>
    </row>
    <row r="195" spans="1:32" x14ac:dyDescent="0.25">
      <c r="A195" t="s">
        <v>475</v>
      </c>
      <c r="B195">
        <v>193</v>
      </c>
      <c r="C195">
        <v>31</v>
      </c>
      <c r="D195" t="str">
        <f>IF(tbl_Original[[#This Row],[Gender2]]="Female","Female",IF(tbl_Original[[#This Row],[Gender2]]="Male","Male","Other"))</f>
        <v>Female</v>
      </c>
      <c r="E195" t="s">
        <v>29</v>
      </c>
      <c r="F195" t="s">
        <v>30</v>
      </c>
      <c r="G195" t="s">
        <v>76</v>
      </c>
      <c r="H195" t="s">
        <v>56</v>
      </c>
      <c r="I195" t="s">
        <v>44</v>
      </c>
      <c r="J195" t="str">
        <f>PROPER(TRIM(CLEAN(tbl_Original[[#This Row],[Column1]])))</f>
        <v>Xuedian</v>
      </c>
      <c r="K195" t="s">
        <v>476</v>
      </c>
      <c r="L195" t="s">
        <v>476</v>
      </c>
      <c r="M195" t="s">
        <v>47</v>
      </c>
      <c r="N195" s="1">
        <v>301.39</v>
      </c>
      <c r="O195">
        <v>6</v>
      </c>
      <c r="P195" t="s">
        <v>78</v>
      </c>
      <c r="Q195">
        <v>2</v>
      </c>
      <c r="R195">
        <v>1</v>
      </c>
      <c r="S195">
        <v>0</v>
      </c>
      <c r="T195" t="s">
        <v>36</v>
      </c>
      <c r="U195" t="s">
        <v>85</v>
      </c>
      <c r="V195">
        <v>1</v>
      </c>
      <c r="W195">
        <v>4</v>
      </c>
      <c r="X195" t="s">
        <v>59</v>
      </c>
      <c r="Y195" t="s">
        <v>79</v>
      </c>
      <c r="Z195" t="s">
        <v>61</v>
      </c>
      <c r="AA195" s="2">
        <v>45403</v>
      </c>
      <c r="AB195" t="b">
        <v>0</v>
      </c>
      <c r="AC195" t="b">
        <v>0</v>
      </c>
      <c r="AD195" t="s">
        <v>40</v>
      </c>
      <c r="AE195" t="s">
        <v>41</v>
      </c>
      <c r="AF195">
        <v>11</v>
      </c>
    </row>
    <row r="196" spans="1:32" x14ac:dyDescent="0.25">
      <c r="A196" t="s">
        <v>477</v>
      </c>
      <c r="B196">
        <v>194</v>
      </c>
      <c r="C196">
        <v>25</v>
      </c>
      <c r="D196" t="str">
        <f>IF(tbl_Original[[#This Row],[Gender2]]="Female","Female",IF(tbl_Original[[#This Row],[Gender2]]="Male","Male","Other"))</f>
        <v>Female</v>
      </c>
      <c r="E196" t="s">
        <v>29</v>
      </c>
      <c r="F196" t="s">
        <v>30</v>
      </c>
      <c r="G196" t="s">
        <v>31</v>
      </c>
      <c r="H196" t="s">
        <v>32</v>
      </c>
      <c r="I196" t="s">
        <v>44</v>
      </c>
      <c r="J196" t="str">
        <f>PROPER(TRIM(CLEAN(tbl_Original[[#This Row],[Column1]])))</f>
        <v>Yuyapichis</v>
      </c>
      <c r="K196" t="s">
        <v>478</v>
      </c>
      <c r="L196" t="s">
        <v>478</v>
      </c>
      <c r="M196" t="s">
        <v>82</v>
      </c>
      <c r="N196" s="1">
        <v>473.5</v>
      </c>
      <c r="O196">
        <v>11</v>
      </c>
      <c r="P196" t="s">
        <v>35</v>
      </c>
      <c r="Q196">
        <v>2</v>
      </c>
      <c r="R196">
        <v>4</v>
      </c>
      <c r="S196">
        <v>1</v>
      </c>
      <c r="T196" t="s">
        <v>59</v>
      </c>
      <c r="U196" t="s">
        <v>37</v>
      </c>
      <c r="V196">
        <v>2</v>
      </c>
      <c r="W196">
        <v>3</v>
      </c>
      <c r="X196" t="s">
        <v>44</v>
      </c>
      <c r="Y196" t="s">
        <v>38</v>
      </c>
      <c r="Z196" t="s">
        <v>66</v>
      </c>
      <c r="AA196" s="2">
        <v>45497</v>
      </c>
      <c r="AB196" t="b">
        <v>0</v>
      </c>
      <c r="AC196" t="b">
        <v>1</v>
      </c>
      <c r="AD196" t="s">
        <v>62</v>
      </c>
      <c r="AE196" t="s">
        <v>67</v>
      </c>
      <c r="AF196">
        <v>10</v>
      </c>
    </row>
    <row r="197" spans="1:32" x14ac:dyDescent="0.25">
      <c r="A197" t="s">
        <v>479</v>
      </c>
      <c r="B197">
        <v>195</v>
      </c>
      <c r="C197">
        <v>18</v>
      </c>
      <c r="D197" t="str">
        <f>IF(tbl_Original[[#This Row],[Gender2]]="Female","Female",IF(tbl_Original[[#This Row],[Gender2]]="Male","Male","Other"))</f>
        <v>Other</v>
      </c>
      <c r="E197" t="s">
        <v>274</v>
      </c>
      <c r="F197" t="s">
        <v>30</v>
      </c>
      <c r="G197" t="s">
        <v>55</v>
      </c>
      <c r="H197" t="s">
        <v>32</v>
      </c>
      <c r="I197" t="s">
        <v>44</v>
      </c>
      <c r="J197" t="str">
        <f>PROPER(TRIM(CLEAN(tbl_Original[[#This Row],[Column1]])))</f>
        <v>Shiroishi</v>
      </c>
      <c r="K197" t="s">
        <v>480</v>
      </c>
      <c r="L197" t="s">
        <v>480</v>
      </c>
      <c r="M197" t="s">
        <v>65</v>
      </c>
      <c r="N197" s="1">
        <v>72.8</v>
      </c>
      <c r="O197">
        <v>11</v>
      </c>
      <c r="P197" t="s">
        <v>48</v>
      </c>
      <c r="Q197">
        <v>2</v>
      </c>
      <c r="R197">
        <v>4</v>
      </c>
      <c r="S197">
        <v>1</v>
      </c>
      <c r="T197" t="s">
        <v>44</v>
      </c>
      <c r="U197" t="s">
        <v>37</v>
      </c>
      <c r="V197">
        <v>2</v>
      </c>
      <c r="W197">
        <v>10</v>
      </c>
      <c r="X197" t="s">
        <v>44</v>
      </c>
      <c r="Y197" t="s">
        <v>79</v>
      </c>
      <c r="Z197" t="s">
        <v>51</v>
      </c>
      <c r="AA197" s="2">
        <v>45524</v>
      </c>
      <c r="AB197" t="b">
        <v>1</v>
      </c>
      <c r="AC197" t="b">
        <v>0</v>
      </c>
      <c r="AD197" t="s">
        <v>40</v>
      </c>
      <c r="AE197" t="s">
        <v>67</v>
      </c>
      <c r="AF197">
        <v>3</v>
      </c>
    </row>
    <row r="198" spans="1:32" x14ac:dyDescent="0.25">
      <c r="A198" t="s">
        <v>481</v>
      </c>
      <c r="B198">
        <v>196</v>
      </c>
      <c r="C198">
        <v>18</v>
      </c>
      <c r="D198" t="str">
        <f>IF(tbl_Original[[#This Row],[Gender2]]="Female","Female",IF(tbl_Original[[#This Row],[Gender2]]="Male","Male","Other"))</f>
        <v>Male</v>
      </c>
      <c r="E198" t="s">
        <v>43</v>
      </c>
      <c r="F198" t="s">
        <v>30</v>
      </c>
      <c r="G198" t="s">
        <v>76</v>
      </c>
      <c r="H198" t="s">
        <v>32</v>
      </c>
      <c r="I198" t="s">
        <v>44</v>
      </c>
      <c r="J198" t="str">
        <f>PROPER(TRIM(CLEAN(tbl_Original[[#This Row],[Column1]])))</f>
        <v>Kobe</v>
      </c>
      <c r="K198" t="s">
        <v>482</v>
      </c>
      <c r="L198" t="s">
        <v>482</v>
      </c>
      <c r="M198" t="s">
        <v>114</v>
      </c>
      <c r="N198" s="1">
        <v>171.72</v>
      </c>
      <c r="O198">
        <v>3</v>
      </c>
      <c r="P198" t="s">
        <v>78</v>
      </c>
      <c r="Q198">
        <v>5</v>
      </c>
      <c r="R198">
        <v>3</v>
      </c>
      <c r="S198">
        <v>1</v>
      </c>
      <c r="T198" t="s">
        <v>59</v>
      </c>
      <c r="U198" t="s">
        <v>85</v>
      </c>
      <c r="V198">
        <v>1</v>
      </c>
      <c r="W198">
        <v>2</v>
      </c>
      <c r="X198" t="s">
        <v>36</v>
      </c>
      <c r="Y198" t="s">
        <v>79</v>
      </c>
      <c r="Z198" t="s">
        <v>51</v>
      </c>
      <c r="AA198" s="2">
        <v>45375</v>
      </c>
      <c r="AB198" t="b">
        <v>0</v>
      </c>
      <c r="AC198" t="b">
        <v>1</v>
      </c>
      <c r="AD198" t="s">
        <v>62</v>
      </c>
      <c r="AE198" t="s">
        <v>53</v>
      </c>
      <c r="AF198">
        <v>12</v>
      </c>
    </row>
    <row r="199" spans="1:32" x14ac:dyDescent="0.25">
      <c r="A199" t="s">
        <v>483</v>
      </c>
      <c r="B199">
        <v>197</v>
      </c>
      <c r="C199">
        <v>31</v>
      </c>
      <c r="D199" t="str">
        <f>IF(tbl_Original[[#This Row],[Gender2]]="Female","Female",IF(tbl_Original[[#This Row],[Gender2]]="Male","Male","Other"))</f>
        <v>Male</v>
      </c>
      <c r="E199" t="s">
        <v>43</v>
      </c>
      <c r="F199" t="s">
        <v>30</v>
      </c>
      <c r="G199" t="s">
        <v>69</v>
      </c>
      <c r="H199" t="s">
        <v>45</v>
      </c>
      <c r="I199" t="s">
        <v>30</v>
      </c>
      <c r="J199" t="str">
        <f>PROPER(TRIM(CLEAN(tbl_Original[[#This Row],[Column1]])))</f>
        <v>Gulou</v>
      </c>
      <c r="K199" t="s">
        <v>484</v>
      </c>
      <c r="L199" t="s">
        <v>484</v>
      </c>
      <c r="M199" t="s">
        <v>120</v>
      </c>
      <c r="N199" s="1">
        <v>467.5</v>
      </c>
      <c r="O199">
        <v>6</v>
      </c>
      <c r="P199" t="s">
        <v>48</v>
      </c>
      <c r="Q199">
        <v>2</v>
      </c>
      <c r="R199">
        <v>1</v>
      </c>
      <c r="S199">
        <v>0</v>
      </c>
      <c r="T199" t="s">
        <v>36</v>
      </c>
      <c r="U199" t="s">
        <v>37</v>
      </c>
      <c r="V199">
        <v>1</v>
      </c>
      <c r="W199">
        <v>1</v>
      </c>
      <c r="X199" t="s">
        <v>44</v>
      </c>
      <c r="Y199" t="s">
        <v>79</v>
      </c>
      <c r="Z199" t="s">
        <v>51</v>
      </c>
      <c r="AA199" s="2">
        <v>45386</v>
      </c>
      <c r="AB199" t="b">
        <v>0</v>
      </c>
      <c r="AC199" t="b">
        <v>0</v>
      </c>
      <c r="AD199" t="s">
        <v>74</v>
      </c>
      <c r="AE199" t="s">
        <v>41</v>
      </c>
      <c r="AF199">
        <v>6</v>
      </c>
    </row>
    <row r="200" spans="1:32" x14ac:dyDescent="0.25">
      <c r="A200" t="s">
        <v>485</v>
      </c>
      <c r="B200">
        <v>198</v>
      </c>
      <c r="C200">
        <v>43</v>
      </c>
      <c r="D200" t="str">
        <f>IF(tbl_Original[[#This Row],[Gender2]]="Female","Female",IF(tbl_Original[[#This Row],[Gender2]]="Male","Male","Other"))</f>
        <v>Other</v>
      </c>
      <c r="E200" t="s">
        <v>352</v>
      </c>
      <c r="F200" t="s">
        <v>44</v>
      </c>
      <c r="G200" t="s">
        <v>31</v>
      </c>
      <c r="H200" t="s">
        <v>32</v>
      </c>
      <c r="I200" t="s">
        <v>44</v>
      </c>
      <c r="J200" t="str">
        <f>PROPER(TRIM(CLEAN(tbl_Original[[#This Row],[Column1]])))</f>
        <v>Jilin</v>
      </c>
      <c r="K200" t="s">
        <v>486</v>
      </c>
      <c r="L200" t="s">
        <v>486</v>
      </c>
      <c r="M200" t="s">
        <v>71</v>
      </c>
      <c r="N200" s="1">
        <v>209.79</v>
      </c>
      <c r="O200">
        <v>6</v>
      </c>
      <c r="P200" t="s">
        <v>35</v>
      </c>
      <c r="Q200">
        <v>5</v>
      </c>
      <c r="R200">
        <v>1</v>
      </c>
      <c r="S200">
        <v>2</v>
      </c>
      <c r="T200" t="s">
        <v>44</v>
      </c>
      <c r="U200" t="s">
        <v>50</v>
      </c>
      <c r="V200">
        <v>1</v>
      </c>
      <c r="W200">
        <v>9</v>
      </c>
      <c r="X200" t="s">
        <v>59</v>
      </c>
      <c r="Y200" t="s">
        <v>38</v>
      </c>
      <c r="Z200" t="s">
        <v>66</v>
      </c>
      <c r="AA200" s="2">
        <v>45548</v>
      </c>
      <c r="AB200" t="b">
        <v>1</v>
      </c>
      <c r="AC200" t="b">
        <v>1</v>
      </c>
      <c r="AD200" t="s">
        <v>40</v>
      </c>
      <c r="AE200" t="s">
        <v>53</v>
      </c>
      <c r="AF200">
        <v>10</v>
      </c>
    </row>
    <row r="201" spans="1:32" x14ac:dyDescent="0.25">
      <c r="A201" t="s">
        <v>487</v>
      </c>
      <c r="B201">
        <v>199</v>
      </c>
      <c r="C201">
        <v>23</v>
      </c>
      <c r="D201" t="str">
        <f>IF(tbl_Original[[#This Row],[Gender2]]="Female","Female",IF(tbl_Original[[#This Row],[Gender2]]="Male","Male","Other"))</f>
        <v>Male</v>
      </c>
      <c r="E201" t="s">
        <v>43</v>
      </c>
      <c r="F201" t="s">
        <v>30</v>
      </c>
      <c r="G201" t="s">
        <v>55</v>
      </c>
      <c r="H201" t="s">
        <v>45</v>
      </c>
      <c r="I201" t="s">
        <v>30</v>
      </c>
      <c r="J201" t="str">
        <f>PROPER(TRIM(CLEAN(tbl_Original[[#This Row],[Column1]])))</f>
        <v>Balboa</v>
      </c>
      <c r="K201" t="s">
        <v>488</v>
      </c>
      <c r="L201" t="s">
        <v>488</v>
      </c>
      <c r="M201" t="s">
        <v>58</v>
      </c>
      <c r="N201" s="1">
        <v>150.33000000000001</v>
      </c>
      <c r="O201">
        <v>9</v>
      </c>
      <c r="P201" t="s">
        <v>48</v>
      </c>
      <c r="Q201">
        <v>4</v>
      </c>
      <c r="R201">
        <v>4</v>
      </c>
      <c r="S201">
        <v>2</v>
      </c>
      <c r="T201" t="s">
        <v>36</v>
      </c>
      <c r="U201" t="s">
        <v>37</v>
      </c>
      <c r="V201">
        <v>2</v>
      </c>
      <c r="W201">
        <v>9</v>
      </c>
      <c r="X201" t="s">
        <v>49</v>
      </c>
      <c r="Y201" t="s">
        <v>79</v>
      </c>
      <c r="Z201" t="s">
        <v>61</v>
      </c>
      <c r="AA201" s="2">
        <v>45406</v>
      </c>
      <c r="AB201" t="b">
        <v>1</v>
      </c>
      <c r="AC201" t="b">
        <v>0</v>
      </c>
      <c r="AD201" t="s">
        <v>52</v>
      </c>
      <c r="AE201" t="s">
        <v>67</v>
      </c>
      <c r="AF201">
        <v>6</v>
      </c>
    </row>
    <row r="202" spans="1:32" x14ac:dyDescent="0.25">
      <c r="A202" t="s">
        <v>489</v>
      </c>
      <c r="B202">
        <v>200</v>
      </c>
      <c r="C202">
        <v>29</v>
      </c>
      <c r="D202" t="str">
        <f>IF(tbl_Original[[#This Row],[Gender2]]="Female","Female",IF(tbl_Original[[#This Row],[Gender2]]="Male","Male","Other"))</f>
        <v>Male</v>
      </c>
      <c r="E202" t="s">
        <v>43</v>
      </c>
      <c r="F202" t="s">
        <v>44</v>
      </c>
      <c r="G202" t="s">
        <v>31</v>
      </c>
      <c r="H202" t="s">
        <v>32</v>
      </c>
      <c r="I202" t="s">
        <v>44</v>
      </c>
      <c r="J202" t="str">
        <f>PROPER(TRIM(CLEAN(tbl_Original[[#This Row],[Column1]])))</f>
        <v>Cipari</v>
      </c>
      <c r="K202" t="s">
        <v>490</v>
      </c>
      <c r="L202" t="s">
        <v>490</v>
      </c>
      <c r="M202" t="s">
        <v>98</v>
      </c>
      <c r="N202" s="1">
        <v>98.63</v>
      </c>
      <c r="O202">
        <v>7</v>
      </c>
      <c r="P202" t="s">
        <v>78</v>
      </c>
      <c r="Q202">
        <v>4</v>
      </c>
      <c r="R202">
        <v>5</v>
      </c>
      <c r="S202">
        <v>2</v>
      </c>
      <c r="T202" t="s">
        <v>44</v>
      </c>
      <c r="U202" t="s">
        <v>37</v>
      </c>
      <c r="V202">
        <v>1</v>
      </c>
      <c r="W202">
        <v>3</v>
      </c>
      <c r="X202" t="s">
        <v>59</v>
      </c>
      <c r="Y202" t="s">
        <v>38</v>
      </c>
      <c r="Z202" t="s">
        <v>66</v>
      </c>
      <c r="AA202" s="2">
        <v>45300</v>
      </c>
      <c r="AB202" t="b">
        <v>0</v>
      </c>
      <c r="AC202" t="b">
        <v>1</v>
      </c>
      <c r="AD202" t="s">
        <v>74</v>
      </c>
      <c r="AE202" t="s">
        <v>53</v>
      </c>
      <c r="AF202">
        <v>6</v>
      </c>
    </row>
    <row r="203" spans="1:32" x14ac:dyDescent="0.25">
      <c r="A203" t="s">
        <v>491</v>
      </c>
      <c r="B203">
        <v>201</v>
      </c>
      <c r="C203">
        <v>21</v>
      </c>
      <c r="D203" t="str">
        <f>IF(tbl_Original[[#This Row],[Gender2]]="Female","Female",IF(tbl_Original[[#This Row],[Gender2]]="Male","Male","Other"))</f>
        <v>Female</v>
      </c>
      <c r="E203" t="s">
        <v>29</v>
      </c>
      <c r="F203" t="s">
        <v>30</v>
      </c>
      <c r="G203" t="s">
        <v>76</v>
      </c>
      <c r="H203" t="s">
        <v>56</v>
      </c>
      <c r="I203" t="s">
        <v>30</v>
      </c>
      <c r="J203" t="str">
        <f>PROPER(TRIM(CLEAN(tbl_Original[[#This Row],[Column1]])))</f>
        <v>Orlando</v>
      </c>
      <c r="K203" t="s">
        <v>492</v>
      </c>
      <c r="L203" t="s">
        <v>492</v>
      </c>
      <c r="M203" t="s">
        <v>188</v>
      </c>
      <c r="N203" s="1">
        <v>193.3</v>
      </c>
      <c r="O203">
        <v>11</v>
      </c>
      <c r="P203" t="s">
        <v>35</v>
      </c>
      <c r="Q203">
        <v>4</v>
      </c>
      <c r="R203">
        <v>2</v>
      </c>
      <c r="S203">
        <v>2</v>
      </c>
      <c r="T203" t="s">
        <v>36</v>
      </c>
      <c r="U203" t="s">
        <v>85</v>
      </c>
      <c r="V203">
        <v>2</v>
      </c>
      <c r="W203">
        <v>1</v>
      </c>
      <c r="X203" t="s">
        <v>49</v>
      </c>
      <c r="Y203" t="s">
        <v>38</v>
      </c>
      <c r="Z203" t="s">
        <v>66</v>
      </c>
      <c r="AA203" s="2">
        <v>45446</v>
      </c>
      <c r="AB203" t="b">
        <v>1</v>
      </c>
      <c r="AC203" t="b">
        <v>1</v>
      </c>
      <c r="AD203" t="s">
        <v>74</v>
      </c>
      <c r="AE203" t="s">
        <v>41</v>
      </c>
      <c r="AF203">
        <v>12</v>
      </c>
    </row>
    <row r="204" spans="1:32" x14ac:dyDescent="0.25">
      <c r="A204" t="s">
        <v>493</v>
      </c>
      <c r="B204">
        <v>202</v>
      </c>
      <c r="C204">
        <v>49</v>
      </c>
      <c r="D204" t="str">
        <f>IF(tbl_Original[[#This Row],[Gender2]]="Female","Female",IF(tbl_Original[[#This Row],[Gender2]]="Male","Male","Other"))</f>
        <v>Female</v>
      </c>
      <c r="E204" t="s">
        <v>29</v>
      </c>
      <c r="F204" t="s">
        <v>30</v>
      </c>
      <c r="G204" t="s">
        <v>55</v>
      </c>
      <c r="H204" t="s">
        <v>45</v>
      </c>
      <c r="I204" t="s">
        <v>30</v>
      </c>
      <c r="J204" t="str">
        <f>PROPER(TRIM(CLEAN(tbl_Original[[#This Row],[Column1]])))</f>
        <v>Torsby</v>
      </c>
      <c r="K204" t="s">
        <v>494</v>
      </c>
      <c r="L204" t="s">
        <v>494</v>
      </c>
      <c r="M204" t="s">
        <v>98</v>
      </c>
      <c r="N204" s="1">
        <v>145.02000000000001</v>
      </c>
      <c r="O204">
        <v>7</v>
      </c>
      <c r="P204" t="s">
        <v>48</v>
      </c>
      <c r="Q204">
        <v>3</v>
      </c>
      <c r="R204">
        <v>2</v>
      </c>
      <c r="S204">
        <v>0</v>
      </c>
      <c r="T204" t="s">
        <v>44</v>
      </c>
      <c r="U204" t="s">
        <v>85</v>
      </c>
      <c r="V204">
        <v>1</v>
      </c>
      <c r="W204">
        <v>1</v>
      </c>
      <c r="X204" t="s">
        <v>49</v>
      </c>
      <c r="Y204" t="s">
        <v>79</v>
      </c>
      <c r="Z204" t="s">
        <v>39</v>
      </c>
      <c r="AA204" s="2">
        <v>45466</v>
      </c>
      <c r="AB204" t="b">
        <v>1</v>
      </c>
      <c r="AC204" t="b">
        <v>1</v>
      </c>
      <c r="AD204" t="s">
        <v>52</v>
      </c>
      <c r="AE204" t="s">
        <v>67</v>
      </c>
      <c r="AF204">
        <v>9</v>
      </c>
    </row>
    <row r="205" spans="1:32" x14ac:dyDescent="0.25">
      <c r="A205" t="s">
        <v>495</v>
      </c>
      <c r="B205">
        <v>203</v>
      </c>
      <c r="C205">
        <v>30</v>
      </c>
      <c r="D205" t="str">
        <f>IF(tbl_Original[[#This Row],[Gender2]]="Female","Female",IF(tbl_Original[[#This Row],[Gender2]]="Male","Male","Other"))</f>
        <v>Female</v>
      </c>
      <c r="E205" t="s">
        <v>29</v>
      </c>
      <c r="F205" t="s">
        <v>30</v>
      </c>
      <c r="G205" t="s">
        <v>76</v>
      </c>
      <c r="H205" t="s">
        <v>56</v>
      </c>
      <c r="I205" t="s">
        <v>30</v>
      </c>
      <c r="J205" t="str">
        <f>PROPER(TRIM(CLEAN(tbl_Original[[#This Row],[Column1]])))</f>
        <v>San Pablo</v>
      </c>
      <c r="K205" t="s">
        <v>496</v>
      </c>
      <c r="L205" t="s">
        <v>496</v>
      </c>
      <c r="M205" t="s">
        <v>142</v>
      </c>
      <c r="N205" s="1">
        <v>294.99</v>
      </c>
      <c r="O205">
        <v>4</v>
      </c>
      <c r="P205" t="s">
        <v>78</v>
      </c>
      <c r="Q205">
        <v>3</v>
      </c>
      <c r="R205">
        <v>5</v>
      </c>
      <c r="S205">
        <v>2</v>
      </c>
      <c r="T205" t="s">
        <v>59</v>
      </c>
      <c r="U205" t="s">
        <v>37</v>
      </c>
      <c r="V205">
        <v>1</v>
      </c>
      <c r="W205">
        <v>4</v>
      </c>
      <c r="X205" t="s">
        <v>44</v>
      </c>
      <c r="Y205" t="s">
        <v>79</v>
      </c>
      <c r="Z205" t="s">
        <v>51</v>
      </c>
      <c r="AA205" s="2">
        <v>45626</v>
      </c>
      <c r="AB205" t="b">
        <v>0</v>
      </c>
      <c r="AC205" t="b">
        <v>0</v>
      </c>
      <c r="AD205" t="s">
        <v>40</v>
      </c>
      <c r="AE205" t="s">
        <v>53</v>
      </c>
      <c r="AF205">
        <v>5</v>
      </c>
    </row>
    <row r="206" spans="1:32" x14ac:dyDescent="0.25">
      <c r="A206" t="s">
        <v>497</v>
      </c>
      <c r="B206">
        <v>204</v>
      </c>
      <c r="C206">
        <v>31</v>
      </c>
      <c r="D206" t="str">
        <f>IF(tbl_Original[[#This Row],[Gender2]]="Female","Female",IF(tbl_Original[[#This Row],[Gender2]]="Male","Male","Other"))</f>
        <v>Other</v>
      </c>
      <c r="E206" t="s">
        <v>212</v>
      </c>
      <c r="F206" t="s">
        <v>30</v>
      </c>
      <c r="G206" t="s">
        <v>76</v>
      </c>
      <c r="H206" t="s">
        <v>45</v>
      </c>
      <c r="I206" t="s">
        <v>30</v>
      </c>
      <c r="J206" t="str">
        <f>PROPER(TRIM(CLEAN(tbl_Original[[#This Row],[Column1]])))</f>
        <v>Daszewice</v>
      </c>
      <c r="K206" t="s">
        <v>498</v>
      </c>
      <c r="L206" t="s">
        <v>498</v>
      </c>
      <c r="M206" t="s">
        <v>58</v>
      </c>
      <c r="N206" s="1">
        <v>305.45</v>
      </c>
      <c r="O206">
        <v>2</v>
      </c>
      <c r="P206" t="s">
        <v>35</v>
      </c>
      <c r="Q206">
        <v>5</v>
      </c>
      <c r="R206">
        <v>5</v>
      </c>
      <c r="S206">
        <v>1</v>
      </c>
      <c r="T206" t="s">
        <v>36</v>
      </c>
      <c r="U206" t="s">
        <v>85</v>
      </c>
      <c r="V206">
        <v>1</v>
      </c>
      <c r="W206">
        <v>1</v>
      </c>
      <c r="X206" t="s">
        <v>44</v>
      </c>
      <c r="Y206" t="s">
        <v>60</v>
      </c>
      <c r="Z206" t="s">
        <v>51</v>
      </c>
      <c r="AA206" s="2">
        <v>45589</v>
      </c>
      <c r="AB206" t="b">
        <v>0</v>
      </c>
      <c r="AC206" t="b">
        <v>1</v>
      </c>
      <c r="AD206" t="s">
        <v>62</v>
      </c>
      <c r="AE206" t="s">
        <v>67</v>
      </c>
      <c r="AF206">
        <v>9</v>
      </c>
    </row>
    <row r="207" spans="1:32" x14ac:dyDescent="0.25">
      <c r="A207" t="s">
        <v>499</v>
      </c>
      <c r="B207">
        <v>205</v>
      </c>
      <c r="C207">
        <v>50</v>
      </c>
      <c r="D207" t="str">
        <f>IF(tbl_Original[[#This Row],[Gender2]]="Female","Female",IF(tbl_Original[[#This Row],[Gender2]]="Male","Male","Other"))</f>
        <v>Female</v>
      </c>
      <c r="E207" t="s">
        <v>29</v>
      </c>
      <c r="F207" t="s">
        <v>30</v>
      </c>
      <c r="G207" t="s">
        <v>69</v>
      </c>
      <c r="H207" t="s">
        <v>45</v>
      </c>
      <c r="I207" t="s">
        <v>30</v>
      </c>
      <c r="J207" t="str">
        <f>PROPER(TRIM(CLEAN(tbl_Original[[#This Row],[Column1]])))</f>
        <v>Villa Concepcin Del To</v>
      </c>
      <c r="K207" t="s">
        <v>2161</v>
      </c>
      <c r="L207" t="s">
        <v>500</v>
      </c>
      <c r="M207" t="s">
        <v>126</v>
      </c>
      <c r="N207" s="1">
        <v>432.42</v>
      </c>
      <c r="O207">
        <v>2</v>
      </c>
      <c r="P207" t="s">
        <v>48</v>
      </c>
      <c r="Q207">
        <v>4</v>
      </c>
      <c r="R207">
        <v>4</v>
      </c>
      <c r="S207">
        <v>0</v>
      </c>
      <c r="T207" t="s">
        <v>49</v>
      </c>
      <c r="U207" t="s">
        <v>50</v>
      </c>
      <c r="V207">
        <v>0</v>
      </c>
      <c r="W207">
        <v>8</v>
      </c>
      <c r="X207" t="s">
        <v>36</v>
      </c>
      <c r="Y207" t="s">
        <v>38</v>
      </c>
      <c r="Z207" t="s">
        <v>51</v>
      </c>
      <c r="AA207" s="2">
        <v>45403</v>
      </c>
      <c r="AB207" t="b">
        <v>0</v>
      </c>
      <c r="AC207" t="b">
        <v>1</v>
      </c>
      <c r="AD207" t="s">
        <v>40</v>
      </c>
      <c r="AE207" t="s">
        <v>67</v>
      </c>
      <c r="AF207">
        <v>13</v>
      </c>
    </row>
    <row r="208" spans="1:32" x14ac:dyDescent="0.25">
      <c r="A208" t="s">
        <v>501</v>
      </c>
      <c r="B208">
        <v>206</v>
      </c>
      <c r="C208">
        <v>35</v>
      </c>
      <c r="D208" t="str">
        <f>IF(tbl_Original[[#This Row],[Gender2]]="Female","Female",IF(tbl_Original[[#This Row],[Gender2]]="Male","Male","Other"))</f>
        <v>Female</v>
      </c>
      <c r="E208" t="s">
        <v>29</v>
      </c>
      <c r="F208" t="s">
        <v>30</v>
      </c>
      <c r="G208" t="s">
        <v>55</v>
      </c>
      <c r="H208" t="s">
        <v>32</v>
      </c>
      <c r="I208" t="s">
        <v>44</v>
      </c>
      <c r="J208" t="str">
        <f>PROPER(TRIM(CLEAN(tbl_Original[[#This Row],[Column1]])))</f>
        <v>Hacienda La Calera</v>
      </c>
      <c r="K208" t="s">
        <v>502</v>
      </c>
      <c r="L208" t="s">
        <v>502</v>
      </c>
      <c r="M208" t="s">
        <v>34</v>
      </c>
      <c r="N208" s="1">
        <v>227.58</v>
      </c>
      <c r="O208">
        <v>11</v>
      </c>
      <c r="P208" t="s">
        <v>35</v>
      </c>
      <c r="Q208">
        <v>3</v>
      </c>
      <c r="R208">
        <v>1</v>
      </c>
      <c r="S208">
        <v>1</v>
      </c>
      <c r="T208" t="s">
        <v>36</v>
      </c>
      <c r="U208" t="s">
        <v>50</v>
      </c>
      <c r="V208">
        <v>1</v>
      </c>
      <c r="W208">
        <v>8</v>
      </c>
      <c r="X208" t="s">
        <v>44</v>
      </c>
      <c r="Y208" t="s">
        <v>60</v>
      </c>
      <c r="Z208" t="s">
        <v>39</v>
      </c>
      <c r="AA208" s="2">
        <v>45314</v>
      </c>
      <c r="AB208" t="b">
        <v>0</v>
      </c>
      <c r="AC208" t="b">
        <v>1</v>
      </c>
      <c r="AD208" t="s">
        <v>40</v>
      </c>
      <c r="AE208" t="s">
        <v>67</v>
      </c>
      <c r="AF208">
        <v>6</v>
      </c>
    </row>
    <row r="209" spans="1:32" x14ac:dyDescent="0.25">
      <c r="A209" t="s">
        <v>503</v>
      </c>
      <c r="B209">
        <v>207</v>
      </c>
      <c r="C209">
        <v>36</v>
      </c>
      <c r="D209" t="str">
        <f>IF(tbl_Original[[#This Row],[Gender2]]="Female","Female",IF(tbl_Original[[#This Row],[Gender2]]="Male","Male","Other"))</f>
        <v>Male</v>
      </c>
      <c r="E209" t="s">
        <v>43</v>
      </c>
      <c r="F209" t="s">
        <v>30</v>
      </c>
      <c r="G209" t="s">
        <v>55</v>
      </c>
      <c r="H209" t="s">
        <v>45</v>
      </c>
      <c r="I209" t="s">
        <v>44</v>
      </c>
      <c r="J209" t="str">
        <f>PROPER(TRIM(CLEAN(tbl_Original[[#This Row],[Column1]])))</f>
        <v>Oslo</v>
      </c>
      <c r="K209" t="s">
        <v>311</v>
      </c>
      <c r="L209" t="s">
        <v>311</v>
      </c>
      <c r="M209" t="s">
        <v>126</v>
      </c>
      <c r="N209" s="1">
        <v>160.88999999999999</v>
      </c>
      <c r="O209">
        <v>10</v>
      </c>
      <c r="P209" t="s">
        <v>78</v>
      </c>
      <c r="Q209">
        <v>5</v>
      </c>
      <c r="R209">
        <v>5</v>
      </c>
      <c r="S209">
        <v>2</v>
      </c>
      <c r="T209" t="s">
        <v>36</v>
      </c>
      <c r="U209" t="s">
        <v>37</v>
      </c>
      <c r="V209">
        <v>2</v>
      </c>
      <c r="W209">
        <v>6</v>
      </c>
      <c r="X209" t="s">
        <v>49</v>
      </c>
      <c r="Y209" t="s">
        <v>79</v>
      </c>
      <c r="Z209" t="s">
        <v>51</v>
      </c>
      <c r="AA209" s="2">
        <v>45466</v>
      </c>
      <c r="AB209" t="b">
        <v>1</v>
      </c>
      <c r="AC209" t="b">
        <v>1</v>
      </c>
      <c r="AD209" t="s">
        <v>74</v>
      </c>
      <c r="AE209" t="s">
        <v>41</v>
      </c>
      <c r="AF209">
        <v>13</v>
      </c>
    </row>
    <row r="210" spans="1:32" x14ac:dyDescent="0.25">
      <c r="A210" t="s">
        <v>504</v>
      </c>
      <c r="B210">
        <v>208</v>
      </c>
      <c r="C210">
        <v>24</v>
      </c>
      <c r="D210" t="str">
        <f>IF(tbl_Original[[#This Row],[Gender2]]="Female","Female",IF(tbl_Original[[#This Row],[Gender2]]="Male","Male","Other"))</f>
        <v>Female</v>
      </c>
      <c r="E210" t="s">
        <v>29</v>
      </c>
      <c r="F210" t="s">
        <v>30</v>
      </c>
      <c r="G210" t="s">
        <v>31</v>
      </c>
      <c r="H210" t="s">
        <v>56</v>
      </c>
      <c r="I210" t="s">
        <v>44</v>
      </c>
      <c r="J210" t="str">
        <f>PROPER(TRIM(CLEAN(tbl_Original[[#This Row],[Column1]])))</f>
        <v>Puerto Lpez</v>
      </c>
      <c r="K210" t="s">
        <v>2162</v>
      </c>
      <c r="L210" t="s">
        <v>505</v>
      </c>
      <c r="M210" t="s">
        <v>98</v>
      </c>
      <c r="N210" s="1">
        <v>139.1</v>
      </c>
      <c r="O210">
        <v>7</v>
      </c>
      <c r="P210" t="s">
        <v>78</v>
      </c>
      <c r="Q210">
        <v>2</v>
      </c>
      <c r="R210">
        <v>5</v>
      </c>
      <c r="S210">
        <v>0</v>
      </c>
      <c r="T210" t="s">
        <v>59</v>
      </c>
      <c r="U210" t="s">
        <v>37</v>
      </c>
      <c r="V210">
        <v>2</v>
      </c>
      <c r="W210">
        <v>3</v>
      </c>
      <c r="X210" t="s">
        <v>49</v>
      </c>
      <c r="Y210" t="s">
        <v>79</v>
      </c>
      <c r="Z210" t="s">
        <v>51</v>
      </c>
      <c r="AA210" s="2">
        <v>45371</v>
      </c>
      <c r="AB210" t="b">
        <v>0</v>
      </c>
      <c r="AC210" t="b">
        <v>0</v>
      </c>
      <c r="AD210" t="s">
        <v>62</v>
      </c>
      <c r="AE210" t="s">
        <v>41</v>
      </c>
      <c r="AF210">
        <v>8</v>
      </c>
    </row>
    <row r="211" spans="1:32" x14ac:dyDescent="0.25">
      <c r="A211" t="s">
        <v>506</v>
      </c>
      <c r="B211">
        <v>209</v>
      </c>
      <c r="C211">
        <v>36</v>
      </c>
      <c r="D211" t="str">
        <f>IF(tbl_Original[[#This Row],[Gender2]]="Female","Female",IF(tbl_Original[[#This Row],[Gender2]]="Male","Male","Other"))</f>
        <v>Other</v>
      </c>
      <c r="E211" t="s">
        <v>148</v>
      </c>
      <c r="F211" t="s">
        <v>44</v>
      </c>
      <c r="G211" t="s">
        <v>31</v>
      </c>
      <c r="H211" t="s">
        <v>56</v>
      </c>
      <c r="I211" t="s">
        <v>30</v>
      </c>
      <c r="J211" t="str">
        <f>PROPER(TRIM(CLEAN(tbl_Original[[#This Row],[Column1]])))</f>
        <v>Xinchengzi</v>
      </c>
      <c r="K211" t="s">
        <v>507</v>
      </c>
      <c r="L211" t="s">
        <v>507</v>
      </c>
      <c r="M211" t="s">
        <v>71</v>
      </c>
      <c r="N211" s="1">
        <v>268.27999999999997</v>
      </c>
      <c r="O211">
        <v>9</v>
      </c>
      <c r="P211" t="s">
        <v>35</v>
      </c>
      <c r="Q211">
        <v>5</v>
      </c>
      <c r="R211">
        <v>2</v>
      </c>
      <c r="S211">
        <v>2</v>
      </c>
      <c r="T211" t="s">
        <v>44</v>
      </c>
      <c r="U211" t="s">
        <v>85</v>
      </c>
      <c r="V211">
        <v>2</v>
      </c>
      <c r="W211">
        <v>2</v>
      </c>
      <c r="X211" t="s">
        <v>44</v>
      </c>
      <c r="Y211" t="s">
        <v>60</v>
      </c>
      <c r="Z211" t="s">
        <v>39</v>
      </c>
      <c r="AA211" s="2">
        <v>45391</v>
      </c>
      <c r="AB211" t="b">
        <v>0</v>
      </c>
      <c r="AC211" t="b">
        <v>1</v>
      </c>
      <c r="AD211" t="s">
        <v>40</v>
      </c>
      <c r="AE211" t="s">
        <v>53</v>
      </c>
      <c r="AF211">
        <v>8</v>
      </c>
    </row>
    <row r="212" spans="1:32" x14ac:dyDescent="0.25">
      <c r="A212" t="s">
        <v>508</v>
      </c>
      <c r="B212">
        <v>210</v>
      </c>
      <c r="C212">
        <v>45</v>
      </c>
      <c r="D212" t="str">
        <f>IF(tbl_Original[[#This Row],[Gender2]]="Female","Female",IF(tbl_Original[[#This Row],[Gender2]]="Male","Male","Other"))</f>
        <v>Female</v>
      </c>
      <c r="E212" t="s">
        <v>29</v>
      </c>
      <c r="F212" t="s">
        <v>30</v>
      </c>
      <c r="G212" t="s">
        <v>55</v>
      </c>
      <c r="H212" t="s">
        <v>56</v>
      </c>
      <c r="I212" t="s">
        <v>44</v>
      </c>
      <c r="J212" t="str">
        <f>PROPER(TRIM(CLEAN(tbl_Original[[#This Row],[Column1]])))</f>
        <v>Tecpn Guatemala</v>
      </c>
      <c r="K212" t="s">
        <v>2163</v>
      </c>
      <c r="L212" t="s">
        <v>509</v>
      </c>
      <c r="M212" t="s">
        <v>90</v>
      </c>
      <c r="N212" s="1">
        <v>64.489999999999995</v>
      </c>
      <c r="O212">
        <v>6</v>
      </c>
      <c r="P212" t="s">
        <v>78</v>
      </c>
      <c r="Q212">
        <v>2</v>
      </c>
      <c r="R212">
        <v>1</v>
      </c>
      <c r="S212">
        <v>0</v>
      </c>
      <c r="T212" t="s">
        <v>36</v>
      </c>
      <c r="U212" t="s">
        <v>85</v>
      </c>
      <c r="V212">
        <v>1</v>
      </c>
      <c r="W212">
        <v>10</v>
      </c>
      <c r="X212" t="s">
        <v>36</v>
      </c>
      <c r="Y212" t="s">
        <v>38</v>
      </c>
      <c r="Z212" t="s">
        <v>66</v>
      </c>
      <c r="AA212" s="2">
        <v>45584</v>
      </c>
      <c r="AB212" t="b">
        <v>0</v>
      </c>
      <c r="AC212" t="b">
        <v>0</v>
      </c>
      <c r="AD212" t="s">
        <v>74</v>
      </c>
      <c r="AE212" t="s">
        <v>67</v>
      </c>
      <c r="AF212">
        <v>7</v>
      </c>
    </row>
    <row r="213" spans="1:32" x14ac:dyDescent="0.25">
      <c r="A213" t="s">
        <v>510</v>
      </c>
      <c r="B213">
        <v>211</v>
      </c>
      <c r="C213">
        <v>44</v>
      </c>
      <c r="D213" t="str">
        <f>IF(tbl_Original[[#This Row],[Gender2]]="Female","Female",IF(tbl_Original[[#This Row],[Gender2]]="Male","Male","Other"))</f>
        <v>Male</v>
      </c>
      <c r="E213" t="s">
        <v>43</v>
      </c>
      <c r="F213" t="s">
        <v>30</v>
      </c>
      <c r="G213" t="s">
        <v>69</v>
      </c>
      <c r="H213" t="s">
        <v>45</v>
      </c>
      <c r="I213" t="s">
        <v>30</v>
      </c>
      <c r="J213" t="str">
        <f>PROPER(TRIM(CLEAN(tbl_Original[[#This Row],[Column1]])))</f>
        <v>Bronnitsy</v>
      </c>
      <c r="K213" t="s">
        <v>151</v>
      </c>
      <c r="L213" t="s">
        <v>151</v>
      </c>
      <c r="M213" t="s">
        <v>135</v>
      </c>
      <c r="N213" s="1">
        <v>80.17</v>
      </c>
      <c r="O213">
        <v>10</v>
      </c>
      <c r="P213" t="s">
        <v>78</v>
      </c>
      <c r="Q213">
        <v>1</v>
      </c>
      <c r="R213">
        <v>1</v>
      </c>
      <c r="S213">
        <v>1</v>
      </c>
      <c r="T213" t="s">
        <v>44</v>
      </c>
      <c r="U213" t="s">
        <v>50</v>
      </c>
      <c r="V213">
        <v>1</v>
      </c>
      <c r="W213">
        <v>8</v>
      </c>
      <c r="X213" t="s">
        <v>36</v>
      </c>
      <c r="Y213" t="s">
        <v>38</v>
      </c>
      <c r="Z213" t="s">
        <v>39</v>
      </c>
      <c r="AA213" s="2">
        <v>45422</v>
      </c>
      <c r="AB213" t="b">
        <v>1</v>
      </c>
      <c r="AC213" t="b">
        <v>1</v>
      </c>
      <c r="AD213" t="s">
        <v>74</v>
      </c>
      <c r="AE213" t="s">
        <v>41</v>
      </c>
      <c r="AF213">
        <v>6</v>
      </c>
    </row>
    <row r="214" spans="1:32" x14ac:dyDescent="0.25">
      <c r="A214" t="s">
        <v>511</v>
      </c>
      <c r="B214">
        <v>212</v>
      </c>
      <c r="C214">
        <v>28</v>
      </c>
      <c r="D214" t="str">
        <f>IF(tbl_Original[[#This Row],[Gender2]]="Female","Female",IF(tbl_Original[[#This Row],[Gender2]]="Male","Male","Other"))</f>
        <v>Male</v>
      </c>
      <c r="E214" t="s">
        <v>43</v>
      </c>
      <c r="F214" t="s">
        <v>44</v>
      </c>
      <c r="G214" t="s">
        <v>31</v>
      </c>
      <c r="H214" t="s">
        <v>56</v>
      </c>
      <c r="I214" t="s">
        <v>44</v>
      </c>
      <c r="J214" t="str">
        <f>PROPER(TRIM(CLEAN(tbl_Original[[#This Row],[Column1]])))</f>
        <v>Araci</v>
      </c>
      <c r="K214" t="s">
        <v>512</v>
      </c>
      <c r="L214" t="s">
        <v>512</v>
      </c>
      <c r="M214" t="s">
        <v>158</v>
      </c>
      <c r="N214" s="1">
        <v>277.52</v>
      </c>
      <c r="O214">
        <v>11</v>
      </c>
      <c r="P214" t="s">
        <v>48</v>
      </c>
      <c r="Q214">
        <v>4</v>
      </c>
      <c r="R214">
        <v>1</v>
      </c>
      <c r="S214">
        <v>0</v>
      </c>
      <c r="T214" t="s">
        <v>36</v>
      </c>
      <c r="U214" t="s">
        <v>50</v>
      </c>
      <c r="V214">
        <v>1</v>
      </c>
      <c r="W214">
        <v>7</v>
      </c>
      <c r="X214" t="s">
        <v>49</v>
      </c>
      <c r="Y214" t="s">
        <v>60</v>
      </c>
      <c r="Z214" t="s">
        <v>51</v>
      </c>
      <c r="AA214" s="2">
        <v>45426</v>
      </c>
      <c r="AB214" t="b">
        <v>1</v>
      </c>
      <c r="AC214" t="b">
        <v>0</v>
      </c>
      <c r="AD214" t="s">
        <v>40</v>
      </c>
      <c r="AE214" t="s">
        <v>53</v>
      </c>
      <c r="AF214">
        <v>11</v>
      </c>
    </row>
    <row r="215" spans="1:32" x14ac:dyDescent="0.25">
      <c r="A215" t="s">
        <v>513</v>
      </c>
      <c r="B215">
        <v>213</v>
      </c>
      <c r="C215">
        <v>40</v>
      </c>
      <c r="D215" t="str">
        <f>IF(tbl_Original[[#This Row],[Gender2]]="Female","Female",IF(tbl_Original[[#This Row],[Gender2]]="Male","Male","Other"))</f>
        <v>Male</v>
      </c>
      <c r="E215" t="s">
        <v>43</v>
      </c>
      <c r="F215" t="s">
        <v>44</v>
      </c>
      <c r="G215" t="s">
        <v>69</v>
      </c>
      <c r="H215" t="s">
        <v>56</v>
      </c>
      <c r="I215" t="s">
        <v>30</v>
      </c>
      <c r="J215" t="str">
        <f>PROPER(TRIM(CLEAN(tbl_Original[[#This Row],[Column1]])))</f>
        <v>Duyure</v>
      </c>
      <c r="K215" t="s">
        <v>514</v>
      </c>
      <c r="L215" t="s">
        <v>514</v>
      </c>
      <c r="M215" t="s">
        <v>142</v>
      </c>
      <c r="N215" s="1">
        <v>53.67</v>
      </c>
      <c r="O215">
        <v>7</v>
      </c>
      <c r="P215" t="s">
        <v>78</v>
      </c>
      <c r="Q215">
        <v>3</v>
      </c>
      <c r="R215">
        <v>5</v>
      </c>
      <c r="S215">
        <v>1</v>
      </c>
      <c r="T215" t="s">
        <v>44</v>
      </c>
      <c r="U215" t="s">
        <v>50</v>
      </c>
      <c r="V215">
        <v>0</v>
      </c>
      <c r="W215">
        <v>2</v>
      </c>
      <c r="X215" t="s">
        <v>44</v>
      </c>
      <c r="Y215" t="s">
        <v>79</v>
      </c>
      <c r="Z215" t="s">
        <v>51</v>
      </c>
      <c r="AA215" s="2">
        <v>45395</v>
      </c>
      <c r="AB215" t="b">
        <v>0</v>
      </c>
      <c r="AC215" t="b">
        <v>0</v>
      </c>
      <c r="AD215" t="s">
        <v>74</v>
      </c>
      <c r="AE215" t="s">
        <v>67</v>
      </c>
      <c r="AF215">
        <v>11</v>
      </c>
    </row>
    <row r="216" spans="1:32" x14ac:dyDescent="0.25">
      <c r="A216" t="s">
        <v>515</v>
      </c>
      <c r="B216">
        <v>214</v>
      </c>
      <c r="C216">
        <v>49</v>
      </c>
      <c r="D216" t="str">
        <f>IF(tbl_Original[[#This Row],[Gender2]]="Female","Female",IF(tbl_Original[[#This Row],[Gender2]]="Male","Male","Other"))</f>
        <v>Female</v>
      </c>
      <c r="E216" t="s">
        <v>29</v>
      </c>
      <c r="F216" t="s">
        <v>30</v>
      </c>
      <c r="G216" t="s">
        <v>69</v>
      </c>
      <c r="H216" t="s">
        <v>32</v>
      </c>
      <c r="I216" t="s">
        <v>44</v>
      </c>
      <c r="J216" t="str">
        <f>PROPER(TRIM(CLEAN(tbl_Original[[#This Row],[Column1]])))</f>
        <v>Huangni</v>
      </c>
      <c r="K216" t="s">
        <v>516</v>
      </c>
      <c r="L216" t="s">
        <v>516</v>
      </c>
      <c r="M216" t="s">
        <v>58</v>
      </c>
      <c r="N216" s="1">
        <v>323.39</v>
      </c>
      <c r="O216">
        <v>10</v>
      </c>
      <c r="P216" t="s">
        <v>48</v>
      </c>
      <c r="Q216">
        <v>2</v>
      </c>
      <c r="R216">
        <v>3</v>
      </c>
      <c r="S216">
        <v>2</v>
      </c>
      <c r="T216" t="s">
        <v>36</v>
      </c>
      <c r="U216" t="s">
        <v>85</v>
      </c>
      <c r="V216">
        <v>0</v>
      </c>
      <c r="W216">
        <v>7</v>
      </c>
      <c r="X216" t="s">
        <v>44</v>
      </c>
      <c r="Y216" t="s">
        <v>38</v>
      </c>
      <c r="Z216" t="s">
        <v>86</v>
      </c>
      <c r="AA216" s="2">
        <v>45295</v>
      </c>
      <c r="AB216" t="b">
        <v>1</v>
      </c>
      <c r="AC216" t="b">
        <v>1</v>
      </c>
      <c r="AD216" t="s">
        <v>40</v>
      </c>
      <c r="AE216" t="s">
        <v>41</v>
      </c>
      <c r="AF216">
        <v>11</v>
      </c>
    </row>
    <row r="217" spans="1:32" x14ac:dyDescent="0.25">
      <c r="A217" t="s">
        <v>517</v>
      </c>
      <c r="B217">
        <v>215</v>
      </c>
      <c r="C217">
        <v>50</v>
      </c>
      <c r="D217" t="str">
        <f>IF(tbl_Original[[#This Row],[Gender2]]="Female","Female",IF(tbl_Original[[#This Row],[Gender2]]="Male","Male","Other"))</f>
        <v>Female</v>
      </c>
      <c r="E217" t="s">
        <v>29</v>
      </c>
      <c r="F217" t="s">
        <v>44</v>
      </c>
      <c r="G217" t="s">
        <v>55</v>
      </c>
      <c r="H217" t="s">
        <v>32</v>
      </c>
      <c r="I217" t="s">
        <v>44</v>
      </c>
      <c r="J217" t="str">
        <f>PROPER(TRIM(CLEAN(tbl_Original[[#This Row],[Column1]])))</f>
        <v>Kuala Lumpur</v>
      </c>
      <c r="K217" t="s">
        <v>518</v>
      </c>
      <c r="L217" t="s">
        <v>518</v>
      </c>
      <c r="M217" t="s">
        <v>90</v>
      </c>
      <c r="N217" s="1">
        <v>98.02</v>
      </c>
      <c r="O217">
        <v>5</v>
      </c>
      <c r="P217" t="s">
        <v>48</v>
      </c>
      <c r="Q217">
        <v>3</v>
      </c>
      <c r="R217">
        <v>3</v>
      </c>
      <c r="S217">
        <v>1</v>
      </c>
      <c r="T217" t="s">
        <v>59</v>
      </c>
      <c r="U217" t="s">
        <v>50</v>
      </c>
      <c r="V217">
        <v>0</v>
      </c>
      <c r="W217">
        <v>3</v>
      </c>
      <c r="X217" t="s">
        <v>44</v>
      </c>
      <c r="Y217" t="s">
        <v>79</v>
      </c>
      <c r="Z217" t="s">
        <v>61</v>
      </c>
      <c r="AA217" s="2">
        <v>45473</v>
      </c>
      <c r="AB217" t="b">
        <v>1</v>
      </c>
      <c r="AC217" t="b">
        <v>0</v>
      </c>
      <c r="AD217" t="s">
        <v>74</v>
      </c>
      <c r="AE217" t="s">
        <v>41</v>
      </c>
      <c r="AF217">
        <v>10</v>
      </c>
    </row>
    <row r="218" spans="1:32" x14ac:dyDescent="0.25">
      <c r="A218" t="s">
        <v>519</v>
      </c>
      <c r="B218">
        <v>216</v>
      </c>
      <c r="C218">
        <v>24</v>
      </c>
      <c r="D218" t="str">
        <f>IF(tbl_Original[[#This Row],[Gender2]]="Female","Female",IF(tbl_Original[[#This Row],[Gender2]]="Male","Male","Other"))</f>
        <v>Male</v>
      </c>
      <c r="E218" t="s">
        <v>43</v>
      </c>
      <c r="F218" t="s">
        <v>44</v>
      </c>
      <c r="G218" t="s">
        <v>76</v>
      </c>
      <c r="H218" t="s">
        <v>32</v>
      </c>
      <c r="I218" t="s">
        <v>44</v>
      </c>
      <c r="J218" t="str">
        <f>PROPER(TRIM(CLEAN(tbl_Original[[#This Row],[Column1]])))</f>
        <v>Seleu</v>
      </c>
      <c r="K218" t="s">
        <v>2164</v>
      </c>
      <c r="L218" t="s">
        <v>520</v>
      </c>
      <c r="M218" t="s">
        <v>194</v>
      </c>
      <c r="N218" s="1">
        <v>231.26</v>
      </c>
      <c r="O218">
        <v>10</v>
      </c>
      <c r="P218" t="s">
        <v>48</v>
      </c>
      <c r="Q218">
        <v>5</v>
      </c>
      <c r="R218">
        <v>1</v>
      </c>
      <c r="S218">
        <v>2</v>
      </c>
      <c r="T218" t="s">
        <v>59</v>
      </c>
      <c r="U218" t="s">
        <v>85</v>
      </c>
      <c r="V218">
        <v>2</v>
      </c>
      <c r="W218">
        <v>5</v>
      </c>
      <c r="X218" t="s">
        <v>59</v>
      </c>
      <c r="Y218" t="s">
        <v>79</v>
      </c>
      <c r="Z218" t="s">
        <v>86</v>
      </c>
      <c r="AA218" s="2">
        <v>45412</v>
      </c>
      <c r="AB218" t="b">
        <v>0</v>
      </c>
      <c r="AC218" t="b">
        <v>1</v>
      </c>
      <c r="AD218" t="s">
        <v>62</v>
      </c>
      <c r="AE218" t="s">
        <v>41</v>
      </c>
      <c r="AF218">
        <v>10</v>
      </c>
    </row>
    <row r="219" spans="1:32" x14ac:dyDescent="0.25">
      <c r="A219" t="s">
        <v>521</v>
      </c>
      <c r="B219">
        <v>217</v>
      </c>
      <c r="C219">
        <v>26</v>
      </c>
      <c r="D219" t="str">
        <f>IF(tbl_Original[[#This Row],[Gender2]]="Female","Female",IF(tbl_Original[[#This Row],[Gender2]]="Male","Male","Other"))</f>
        <v>Male</v>
      </c>
      <c r="E219" t="s">
        <v>43</v>
      </c>
      <c r="F219" t="s">
        <v>44</v>
      </c>
      <c r="G219" t="s">
        <v>55</v>
      </c>
      <c r="H219" t="s">
        <v>56</v>
      </c>
      <c r="I219" t="s">
        <v>30</v>
      </c>
      <c r="J219" t="str">
        <f>PROPER(TRIM(CLEAN(tbl_Original[[#This Row],[Column1]])))</f>
        <v>Monrovia</v>
      </c>
      <c r="K219" t="s">
        <v>522</v>
      </c>
      <c r="L219" t="s">
        <v>522</v>
      </c>
      <c r="M219" t="s">
        <v>47</v>
      </c>
      <c r="N219" s="1">
        <v>382.49</v>
      </c>
      <c r="O219">
        <v>6</v>
      </c>
      <c r="P219" t="s">
        <v>48</v>
      </c>
      <c r="Q219">
        <v>4</v>
      </c>
      <c r="R219">
        <v>2</v>
      </c>
      <c r="S219">
        <v>2</v>
      </c>
      <c r="T219" t="s">
        <v>36</v>
      </c>
      <c r="U219" t="s">
        <v>85</v>
      </c>
      <c r="V219">
        <v>2</v>
      </c>
      <c r="W219">
        <v>3</v>
      </c>
      <c r="X219" t="s">
        <v>49</v>
      </c>
      <c r="Y219" t="s">
        <v>38</v>
      </c>
      <c r="Z219" t="s">
        <v>61</v>
      </c>
      <c r="AA219" s="2">
        <v>45323</v>
      </c>
      <c r="AB219" t="b">
        <v>1</v>
      </c>
      <c r="AC219" t="b">
        <v>0</v>
      </c>
      <c r="AD219" t="s">
        <v>62</v>
      </c>
      <c r="AE219" t="s">
        <v>41</v>
      </c>
      <c r="AF219">
        <v>1</v>
      </c>
    </row>
    <row r="220" spans="1:32" x14ac:dyDescent="0.25">
      <c r="A220" t="s">
        <v>523</v>
      </c>
      <c r="B220">
        <v>218</v>
      </c>
      <c r="C220">
        <v>28</v>
      </c>
      <c r="D220" t="str">
        <f>IF(tbl_Original[[#This Row],[Gender2]]="Female","Female",IF(tbl_Original[[#This Row],[Gender2]]="Male","Male","Other"))</f>
        <v>Male</v>
      </c>
      <c r="E220" t="s">
        <v>43</v>
      </c>
      <c r="F220" t="s">
        <v>30</v>
      </c>
      <c r="G220" t="s">
        <v>76</v>
      </c>
      <c r="H220" t="s">
        <v>56</v>
      </c>
      <c r="I220" t="s">
        <v>44</v>
      </c>
      <c r="J220" t="str">
        <f>PROPER(TRIM(CLEAN(tbl_Original[[#This Row],[Column1]])))</f>
        <v>Kristinehamn</v>
      </c>
      <c r="K220" t="s">
        <v>524</v>
      </c>
      <c r="L220" t="s">
        <v>524</v>
      </c>
      <c r="M220" t="s">
        <v>194</v>
      </c>
      <c r="N220" s="1">
        <v>255.42</v>
      </c>
      <c r="O220">
        <v>9</v>
      </c>
      <c r="P220" t="s">
        <v>35</v>
      </c>
      <c r="Q220">
        <v>5</v>
      </c>
      <c r="R220">
        <v>5</v>
      </c>
      <c r="S220">
        <v>2</v>
      </c>
      <c r="T220" t="s">
        <v>36</v>
      </c>
      <c r="U220" t="s">
        <v>37</v>
      </c>
      <c r="V220">
        <v>1</v>
      </c>
      <c r="W220">
        <v>9</v>
      </c>
      <c r="X220" t="s">
        <v>36</v>
      </c>
      <c r="Y220" t="s">
        <v>38</v>
      </c>
      <c r="Z220" t="s">
        <v>51</v>
      </c>
      <c r="AA220" s="2">
        <v>45474</v>
      </c>
      <c r="AB220" t="b">
        <v>1</v>
      </c>
      <c r="AC220" t="b">
        <v>1</v>
      </c>
      <c r="AD220" t="s">
        <v>62</v>
      </c>
      <c r="AE220" t="s">
        <v>53</v>
      </c>
      <c r="AF220">
        <v>11</v>
      </c>
    </row>
    <row r="221" spans="1:32" x14ac:dyDescent="0.25">
      <c r="A221" t="s">
        <v>525</v>
      </c>
      <c r="B221">
        <v>219</v>
      </c>
      <c r="C221">
        <v>48</v>
      </c>
      <c r="D221" t="str">
        <f>IF(tbl_Original[[#This Row],[Gender2]]="Female","Female",IF(tbl_Original[[#This Row],[Gender2]]="Male","Male","Other"))</f>
        <v>Female</v>
      </c>
      <c r="E221" t="s">
        <v>29</v>
      </c>
      <c r="F221" t="s">
        <v>30</v>
      </c>
      <c r="G221" t="s">
        <v>55</v>
      </c>
      <c r="H221" t="s">
        <v>45</v>
      </c>
      <c r="I221" t="s">
        <v>44</v>
      </c>
      <c r="J221" t="str">
        <f>PROPER(TRIM(CLEAN(tbl_Original[[#This Row],[Column1]])))</f>
        <v>Huancabamba</v>
      </c>
      <c r="K221" t="s">
        <v>526</v>
      </c>
      <c r="L221" t="s">
        <v>526</v>
      </c>
      <c r="M221" t="s">
        <v>126</v>
      </c>
      <c r="N221" s="1">
        <v>423.23</v>
      </c>
      <c r="O221">
        <v>12</v>
      </c>
      <c r="P221" t="s">
        <v>48</v>
      </c>
      <c r="Q221">
        <v>3</v>
      </c>
      <c r="R221">
        <v>3</v>
      </c>
      <c r="S221">
        <v>2</v>
      </c>
      <c r="T221" t="s">
        <v>44</v>
      </c>
      <c r="U221" t="s">
        <v>37</v>
      </c>
      <c r="V221">
        <v>0</v>
      </c>
      <c r="W221">
        <v>7</v>
      </c>
      <c r="X221" t="s">
        <v>59</v>
      </c>
      <c r="Y221" t="s">
        <v>38</v>
      </c>
      <c r="Z221" t="s">
        <v>61</v>
      </c>
      <c r="AA221" s="2">
        <v>45601</v>
      </c>
      <c r="AB221" t="b">
        <v>0</v>
      </c>
      <c r="AC221" t="b">
        <v>0</v>
      </c>
      <c r="AD221" t="s">
        <v>74</v>
      </c>
      <c r="AE221" t="s">
        <v>53</v>
      </c>
      <c r="AF221">
        <v>6</v>
      </c>
    </row>
    <row r="222" spans="1:32" x14ac:dyDescent="0.25">
      <c r="A222" t="s">
        <v>527</v>
      </c>
      <c r="B222">
        <v>220</v>
      </c>
      <c r="C222">
        <v>47</v>
      </c>
      <c r="D222" t="str">
        <f>IF(tbl_Original[[#This Row],[Gender2]]="Female","Female",IF(tbl_Original[[#This Row],[Gender2]]="Male","Male","Other"))</f>
        <v>Male</v>
      </c>
      <c r="E222" t="s">
        <v>43</v>
      </c>
      <c r="F222" t="s">
        <v>30</v>
      </c>
      <c r="G222" t="s">
        <v>55</v>
      </c>
      <c r="H222" t="s">
        <v>45</v>
      </c>
      <c r="I222" t="s">
        <v>44</v>
      </c>
      <c r="J222" t="str">
        <f>PROPER(TRIM(CLEAN(tbl_Original[[#This Row],[Column1]])))</f>
        <v>San Jos Acatempa</v>
      </c>
      <c r="K222" t="s">
        <v>2165</v>
      </c>
      <c r="L222" t="s">
        <v>528</v>
      </c>
      <c r="M222" t="s">
        <v>188</v>
      </c>
      <c r="N222" s="1">
        <v>276.08</v>
      </c>
      <c r="O222">
        <v>4</v>
      </c>
      <c r="P222" t="s">
        <v>35</v>
      </c>
      <c r="Q222">
        <v>4</v>
      </c>
      <c r="R222">
        <v>5</v>
      </c>
      <c r="S222">
        <v>0.3</v>
      </c>
      <c r="T222" t="s">
        <v>44</v>
      </c>
      <c r="U222" t="s">
        <v>37</v>
      </c>
      <c r="V222">
        <v>2</v>
      </c>
      <c r="W222">
        <v>10</v>
      </c>
      <c r="X222" t="s">
        <v>59</v>
      </c>
      <c r="Y222" t="s">
        <v>60</v>
      </c>
      <c r="Z222" t="s">
        <v>39</v>
      </c>
      <c r="AA222" s="2">
        <v>45320</v>
      </c>
      <c r="AB222" t="b">
        <v>0</v>
      </c>
      <c r="AC222" t="b">
        <v>1</v>
      </c>
      <c r="AD222" t="s">
        <v>40</v>
      </c>
      <c r="AE222" t="s">
        <v>41</v>
      </c>
      <c r="AF222">
        <v>10</v>
      </c>
    </row>
    <row r="223" spans="1:32" x14ac:dyDescent="0.25">
      <c r="A223" t="s">
        <v>529</v>
      </c>
      <c r="B223">
        <v>221</v>
      </c>
      <c r="C223">
        <v>25</v>
      </c>
      <c r="D223" t="str">
        <f>IF(tbl_Original[[#This Row],[Gender2]]="Female","Female",IF(tbl_Original[[#This Row],[Gender2]]="Male","Male","Other"))</f>
        <v>Male</v>
      </c>
      <c r="E223" t="s">
        <v>43</v>
      </c>
      <c r="F223" t="s">
        <v>30</v>
      </c>
      <c r="G223" t="s">
        <v>69</v>
      </c>
      <c r="H223" t="s">
        <v>32</v>
      </c>
      <c r="I223" t="s">
        <v>30</v>
      </c>
      <c r="J223" t="str">
        <f>PROPER(TRIM(CLEAN(tbl_Original[[#This Row],[Column1]])))</f>
        <v>Quebrada Canoa</v>
      </c>
      <c r="K223" t="s">
        <v>530</v>
      </c>
      <c r="L223" t="s">
        <v>530</v>
      </c>
      <c r="M223" t="s">
        <v>82</v>
      </c>
      <c r="N223" s="1">
        <v>333.56</v>
      </c>
      <c r="O223">
        <v>3</v>
      </c>
      <c r="P223" t="s">
        <v>35</v>
      </c>
      <c r="Q223">
        <v>4</v>
      </c>
      <c r="R223">
        <v>5</v>
      </c>
      <c r="S223">
        <v>1</v>
      </c>
      <c r="T223" t="s">
        <v>59</v>
      </c>
      <c r="U223" t="s">
        <v>50</v>
      </c>
      <c r="V223">
        <v>2</v>
      </c>
      <c r="W223">
        <v>2</v>
      </c>
      <c r="X223" t="s">
        <v>44</v>
      </c>
      <c r="Y223" t="s">
        <v>60</v>
      </c>
      <c r="Z223" t="s">
        <v>66</v>
      </c>
      <c r="AA223" s="2">
        <v>45590</v>
      </c>
      <c r="AB223" t="b">
        <v>1</v>
      </c>
      <c r="AC223" t="b">
        <v>1</v>
      </c>
      <c r="AD223" t="s">
        <v>62</v>
      </c>
      <c r="AE223" t="s">
        <v>41</v>
      </c>
      <c r="AF223">
        <v>14</v>
      </c>
    </row>
    <row r="224" spans="1:32" x14ac:dyDescent="0.25">
      <c r="A224" t="s">
        <v>531</v>
      </c>
      <c r="B224">
        <v>222</v>
      </c>
      <c r="C224">
        <v>39</v>
      </c>
      <c r="D224" t="str">
        <f>IF(tbl_Original[[#This Row],[Gender2]]="Female","Female",IF(tbl_Original[[#This Row],[Gender2]]="Male","Male","Other"))</f>
        <v>Male</v>
      </c>
      <c r="E224" t="s">
        <v>43</v>
      </c>
      <c r="F224" t="s">
        <v>44</v>
      </c>
      <c r="G224" t="s">
        <v>76</v>
      </c>
      <c r="H224" t="s">
        <v>32</v>
      </c>
      <c r="I224" t="s">
        <v>30</v>
      </c>
      <c r="J224" t="str">
        <f>PROPER(TRIM(CLEAN(tbl_Original[[#This Row],[Column1]])))</f>
        <v>Moate</v>
      </c>
      <c r="K224" t="s">
        <v>532</v>
      </c>
      <c r="L224" t="s">
        <v>532</v>
      </c>
      <c r="M224" t="s">
        <v>158</v>
      </c>
      <c r="N224" s="1">
        <v>129.82</v>
      </c>
      <c r="O224">
        <v>12</v>
      </c>
      <c r="P224" t="s">
        <v>35</v>
      </c>
      <c r="Q224">
        <v>1</v>
      </c>
      <c r="R224">
        <v>2</v>
      </c>
      <c r="S224">
        <v>0</v>
      </c>
      <c r="T224" t="s">
        <v>44</v>
      </c>
      <c r="U224" t="s">
        <v>50</v>
      </c>
      <c r="V224">
        <v>2</v>
      </c>
      <c r="W224">
        <v>1</v>
      </c>
      <c r="X224" t="s">
        <v>44</v>
      </c>
      <c r="Y224" t="s">
        <v>38</v>
      </c>
      <c r="Z224" t="s">
        <v>86</v>
      </c>
      <c r="AA224" s="2">
        <v>45446</v>
      </c>
      <c r="AB224" t="b">
        <v>0</v>
      </c>
      <c r="AC224" t="b">
        <v>0</v>
      </c>
      <c r="AD224" t="s">
        <v>62</v>
      </c>
      <c r="AE224" t="s">
        <v>53</v>
      </c>
      <c r="AF224">
        <v>8</v>
      </c>
    </row>
    <row r="225" spans="1:32" x14ac:dyDescent="0.25">
      <c r="A225" t="s">
        <v>533</v>
      </c>
      <c r="B225">
        <v>223</v>
      </c>
      <c r="C225">
        <v>41</v>
      </c>
      <c r="D225" t="str">
        <f>IF(tbl_Original[[#This Row],[Gender2]]="Female","Female",IF(tbl_Original[[#This Row],[Gender2]]="Male","Male","Other"))</f>
        <v>Female</v>
      </c>
      <c r="E225" t="s">
        <v>29</v>
      </c>
      <c r="F225" t="s">
        <v>44</v>
      </c>
      <c r="G225" t="s">
        <v>69</v>
      </c>
      <c r="H225" t="s">
        <v>45</v>
      </c>
      <c r="I225" t="s">
        <v>44</v>
      </c>
      <c r="J225" t="str">
        <f>PROPER(TRIM(CLEAN(tbl_Original[[#This Row],[Column1]])))</f>
        <v>Kubangwaru</v>
      </c>
      <c r="K225" t="s">
        <v>534</v>
      </c>
      <c r="L225" t="s">
        <v>534</v>
      </c>
      <c r="M225" t="s">
        <v>183</v>
      </c>
      <c r="N225" s="1">
        <v>278.77999999999997</v>
      </c>
      <c r="O225">
        <v>3</v>
      </c>
      <c r="P225" t="s">
        <v>35</v>
      </c>
      <c r="Q225">
        <v>5</v>
      </c>
      <c r="R225">
        <v>2</v>
      </c>
      <c r="S225">
        <v>0</v>
      </c>
      <c r="T225" t="s">
        <v>49</v>
      </c>
      <c r="U225" t="s">
        <v>50</v>
      </c>
      <c r="V225">
        <v>0</v>
      </c>
      <c r="W225">
        <v>1</v>
      </c>
      <c r="X225" t="s">
        <v>59</v>
      </c>
      <c r="Y225" t="s">
        <v>79</v>
      </c>
      <c r="Z225" t="s">
        <v>39</v>
      </c>
      <c r="AA225" s="2">
        <v>45457</v>
      </c>
      <c r="AB225" t="b">
        <v>1</v>
      </c>
      <c r="AC225" t="b">
        <v>0</v>
      </c>
      <c r="AD225" t="s">
        <v>52</v>
      </c>
      <c r="AE225" t="s">
        <v>53</v>
      </c>
      <c r="AF225">
        <v>2</v>
      </c>
    </row>
    <row r="226" spans="1:32" x14ac:dyDescent="0.25">
      <c r="A226" t="s">
        <v>535</v>
      </c>
      <c r="B226">
        <v>224</v>
      </c>
      <c r="C226">
        <v>37</v>
      </c>
      <c r="D226" t="str">
        <f>IF(tbl_Original[[#This Row],[Gender2]]="Female","Female",IF(tbl_Original[[#This Row],[Gender2]]="Male","Male","Other"))</f>
        <v>Male</v>
      </c>
      <c r="E226" t="s">
        <v>43</v>
      </c>
      <c r="F226" t="s">
        <v>30</v>
      </c>
      <c r="G226" t="s">
        <v>31</v>
      </c>
      <c r="H226" t="s">
        <v>32</v>
      </c>
      <c r="I226" t="s">
        <v>44</v>
      </c>
      <c r="J226" t="str">
        <f>PROPER(TRIM(CLEAN(tbl_Original[[#This Row],[Column1]])))</f>
        <v>Oe</v>
      </c>
      <c r="K226" t="s">
        <v>2281</v>
      </c>
      <c r="L226" t="s">
        <v>536</v>
      </c>
      <c r="M226" t="s">
        <v>34</v>
      </c>
      <c r="N226" s="1">
        <v>112.55</v>
      </c>
      <c r="O226">
        <v>5</v>
      </c>
      <c r="P226" t="s">
        <v>48</v>
      </c>
      <c r="Q226">
        <v>1</v>
      </c>
      <c r="R226">
        <v>4</v>
      </c>
      <c r="S226">
        <v>2</v>
      </c>
      <c r="T226" t="s">
        <v>36</v>
      </c>
      <c r="U226" t="s">
        <v>85</v>
      </c>
      <c r="V226">
        <v>2</v>
      </c>
      <c r="W226">
        <v>1</v>
      </c>
      <c r="X226" t="s">
        <v>59</v>
      </c>
      <c r="Y226" t="s">
        <v>79</v>
      </c>
      <c r="Z226" t="s">
        <v>39</v>
      </c>
      <c r="AA226" s="2">
        <v>45587</v>
      </c>
      <c r="AB226" t="b">
        <v>1</v>
      </c>
      <c r="AC226" t="b">
        <v>0</v>
      </c>
      <c r="AD226" t="s">
        <v>74</v>
      </c>
      <c r="AE226" t="s">
        <v>53</v>
      </c>
      <c r="AF226">
        <v>2</v>
      </c>
    </row>
    <row r="227" spans="1:32" x14ac:dyDescent="0.25">
      <c r="A227" t="s">
        <v>537</v>
      </c>
      <c r="B227">
        <v>225</v>
      </c>
      <c r="C227">
        <v>50</v>
      </c>
      <c r="D227" t="str">
        <f>IF(tbl_Original[[#This Row],[Gender2]]="Female","Female",IF(tbl_Original[[#This Row],[Gender2]]="Male","Male","Other"))</f>
        <v>Female</v>
      </c>
      <c r="E227" t="s">
        <v>29</v>
      </c>
      <c r="F227" t="s">
        <v>30</v>
      </c>
      <c r="G227" t="s">
        <v>76</v>
      </c>
      <c r="H227" t="s">
        <v>32</v>
      </c>
      <c r="I227" t="s">
        <v>44</v>
      </c>
      <c r="J227" t="str">
        <f>PROPER(TRIM(CLEAN(tbl_Original[[#This Row],[Column1]])))</f>
        <v>Xinquan</v>
      </c>
      <c r="K227" t="s">
        <v>538</v>
      </c>
      <c r="L227" t="s">
        <v>538</v>
      </c>
      <c r="M227" t="s">
        <v>126</v>
      </c>
      <c r="N227" s="1">
        <v>142.02000000000001</v>
      </c>
      <c r="O227">
        <v>7</v>
      </c>
      <c r="P227" t="s">
        <v>48</v>
      </c>
      <c r="Q227">
        <v>1</v>
      </c>
      <c r="R227">
        <v>5</v>
      </c>
      <c r="S227">
        <v>0</v>
      </c>
      <c r="T227" t="s">
        <v>59</v>
      </c>
      <c r="U227" t="s">
        <v>85</v>
      </c>
      <c r="V227">
        <v>1</v>
      </c>
      <c r="W227">
        <v>9</v>
      </c>
      <c r="X227" t="s">
        <v>49</v>
      </c>
      <c r="Y227" t="s">
        <v>79</v>
      </c>
      <c r="Z227" t="s">
        <v>86</v>
      </c>
      <c r="AA227" s="2">
        <v>45482</v>
      </c>
      <c r="AB227" t="b">
        <v>1</v>
      </c>
      <c r="AC227" t="b">
        <v>0</v>
      </c>
      <c r="AD227" t="s">
        <v>62</v>
      </c>
      <c r="AE227" t="s">
        <v>53</v>
      </c>
      <c r="AF227">
        <v>3</v>
      </c>
    </row>
    <row r="228" spans="1:32" x14ac:dyDescent="0.25">
      <c r="A228" t="s">
        <v>539</v>
      </c>
      <c r="B228">
        <v>226</v>
      </c>
      <c r="C228">
        <v>33</v>
      </c>
      <c r="D228" t="str">
        <f>IF(tbl_Original[[#This Row],[Gender2]]="Female","Female",IF(tbl_Original[[#This Row],[Gender2]]="Male","Male","Other"))</f>
        <v>Female</v>
      </c>
      <c r="E228" t="s">
        <v>29</v>
      </c>
      <c r="F228" t="s">
        <v>44</v>
      </c>
      <c r="G228" t="s">
        <v>69</v>
      </c>
      <c r="H228" t="s">
        <v>45</v>
      </c>
      <c r="I228" t="s">
        <v>44</v>
      </c>
      <c r="J228" t="str">
        <f>PROPER(TRIM(CLEAN(tbl_Original[[#This Row],[Column1]])))</f>
        <v>Providence</v>
      </c>
      <c r="K228" t="s">
        <v>540</v>
      </c>
      <c r="L228" t="s">
        <v>540</v>
      </c>
      <c r="M228" t="s">
        <v>114</v>
      </c>
      <c r="N228" s="1">
        <v>481.84</v>
      </c>
      <c r="O228">
        <v>10</v>
      </c>
      <c r="P228" t="s">
        <v>48</v>
      </c>
      <c r="Q228">
        <v>1</v>
      </c>
      <c r="R228">
        <v>4</v>
      </c>
      <c r="S228">
        <v>2</v>
      </c>
      <c r="T228" t="s">
        <v>44</v>
      </c>
      <c r="U228" t="s">
        <v>37</v>
      </c>
      <c r="V228">
        <v>1</v>
      </c>
      <c r="W228">
        <v>1</v>
      </c>
      <c r="X228" t="s">
        <v>49</v>
      </c>
      <c r="Y228" t="s">
        <v>38</v>
      </c>
      <c r="Z228" t="s">
        <v>86</v>
      </c>
      <c r="AA228" s="2">
        <v>45518</v>
      </c>
      <c r="AB228" t="b">
        <v>0</v>
      </c>
      <c r="AC228" t="b">
        <v>0</v>
      </c>
      <c r="AD228" t="s">
        <v>52</v>
      </c>
      <c r="AE228" t="s">
        <v>67</v>
      </c>
      <c r="AF228">
        <v>9</v>
      </c>
    </row>
    <row r="229" spans="1:32" x14ac:dyDescent="0.25">
      <c r="A229" t="s">
        <v>541</v>
      </c>
      <c r="B229">
        <v>227</v>
      </c>
      <c r="C229">
        <v>50</v>
      </c>
      <c r="D229" t="str">
        <f>IF(tbl_Original[[#This Row],[Gender2]]="Female","Female",IF(tbl_Original[[#This Row],[Gender2]]="Male","Male","Other"))</f>
        <v>Other</v>
      </c>
      <c r="E229" t="s">
        <v>274</v>
      </c>
      <c r="F229" t="s">
        <v>44</v>
      </c>
      <c r="G229" t="s">
        <v>76</v>
      </c>
      <c r="H229" t="s">
        <v>56</v>
      </c>
      <c r="I229" t="s">
        <v>30</v>
      </c>
      <c r="J229" t="str">
        <f>PROPER(TRIM(CLEAN(tbl_Original[[#This Row],[Column1]])))</f>
        <v>Autun</v>
      </c>
      <c r="K229" t="s">
        <v>542</v>
      </c>
      <c r="L229" t="s">
        <v>542</v>
      </c>
      <c r="M229" t="s">
        <v>114</v>
      </c>
      <c r="N229" s="1">
        <v>165.01</v>
      </c>
      <c r="O229">
        <v>10</v>
      </c>
      <c r="P229" t="s">
        <v>35</v>
      </c>
      <c r="Q229">
        <v>1</v>
      </c>
      <c r="R229">
        <v>2</v>
      </c>
      <c r="S229">
        <v>1</v>
      </c>
      <c r="T229" t="s">
        <v>49</v>
      </c>
      <c r="U229" t="s">
        <v>37</v>
      </c>
      <c r="V229">
        <v>1</v>
      </c>
      <c r="W229">
        <v>5</v>
      </c>
      <c r="X229" t="s">
        <v>49</v>
      </c>
      <c r="Y229" t="s">
        <v>79</v>
      </c>
      <c r="Z229" t="s">
        <v>51</v>
      </c>
      <c r="AA229" s="2">
        <v>45399</v>
      </c>
      <c r="AB229" t="b">
        <v>1</v>
      </c>
      <c r="AC229" t="b">
        <v>0</v>
      </c>
      <c r="AD229" t="s">
        <v>62</v>
      </c>
      <c r="AE229" t="s">
        <v>41</v>
      </c>
      <c r="AF229">
        <v>10</v>
      </c>
    </row>
    <row r="230" spans="1:32" x14ac:dyDescent="0.25">
      <c r="A230" t="s">
        <v>543</v>
      </c>
      <c r="B230">
        <v>228</v>
      </c>
      <c r="C230">
        <v>25</v>
      </c>
      <c r="D230" t="str">
        <f>IF(tbl_Original[[#This Row],[Gender2]]="Female","Female",IF(tbl_Original[[#This Row],[Gender2]]="Male","Male","Other"))</f>
        <v>Male</v>
      </c>
      <c r="E230" t="s">
        <v>43</v>
      </c>
      <c r="F230" t="s">
        <v>30</v>
      </c>
      <c r="G230" t="s">
        <v>76</v>
      </c>
      <c r="H230" t="s">
        <v>45</v>
      </c>
      <c r="I230" t="s">
        <v>30</v>
      </c>
      <c r="J230" t="str">
        <f>PROPER(TRIM(CLEAN(tbl_Original[[#This Row],[Column1]])))</f>
        <v>Shilin</v>
      </c>
      <c r="K230" t="s">
        <v>544</v>
      </c>
      <c r="L230" t="s">
        <v>544</v>
      </c>
      <c r="M230" t="s">
        <v>123</v>
      </c>
      <c r="N230" s="1">
        <v>56.85</v>
      </c>
      <c r="O230">
        <v>5</v>
      </c>
      <c r="P230" t="s">
        <v>78</v>
      </c>
      <c r="Q230">
        <v>2</v>
      </c>
      <c r="R230">
        <v>1</v>
      </c>
      <c r="S230">
        <v>2</v>
      </c>
      <c r="T230" t="s">
        <v>36</v>
      </c>
      <c r="U230" t="s">
        <v>85</v>
      </c>
      <c r="V230">
        <v>0</v>
      </c>
      <c r="W230">
        <v>1</v>
      </c>
      <c r="X230" t="s">
        <v>44</v>
      </c>
      <c r="Y230" t="s">
        <v>60</v>
      </c>
      <c r="Z230" t="s">
        <v>86</v>
      </c>
      <c r="AA230" s="2">
        <v>45612</v>
      </c>
      <c r="AB230" t="b">
        <v>1</v>
      </c>
      <c r="AC230" t="b">
        <v>0</v>
      </c>
      <c r="AD230" t="s">
        <v>52</v>
      </c>
      <c r="AE230" t="s">
        <v>53</v>
      </c>
      <c r="AF230">
        <v>14</v>
      </c>
    </row>
    <row r="231" spans="1:32" x14ac:dyDescent="0.25">
      <c r="A231" t="s">
        <v>545</v>
      </c>
      <c r="B231">
        <v>229</v>
      </c>
      <c r="C231">
        <v>34</v>
      </c>
      <c r="D231" t="str">
        <f>IF(tbl_Original[[#This Row],[Gender2]]="Female","Female",IF(tbl_Original[[#This Row],[Gender2]]="Male","Male","Other"))</f>
        <v>Other</v>
      </c>
      <c r="E231" t="s">
        <v>274</v>
      </c>
      <c r="F231" t="s">
        <v>44</v>
      </c>
      <c r="G231" t="s">
        <v>55</v>
      </c>
      <c r="H231" t="s">
        <v>32</v>
      </c>
      <c r="I231" t="s">
        <v>44</v>
      </c>
      <c r="J231" t="str">
        <f>PROPER(TRIM(CLEAN(tbl_Original[[#This Row],[Column1]])))</f>
        <v>Paris 17</v>
      </c>
      <c r="K231" t="s">
        <v>546</v>
      </c>
      <c r="L231" t="s">
        <v>546</v>
      </c>
      <c r="M231" t="s">
        <v>107</v>
      </c>
      <c r="N231" s="1">
        <v>182.89</v>
      </c>
      <c r="O231">
        <v>2</v>
      </c>
      <c r="P231" t="s">
        <v>35</v>
      </c>
      <c r="Q231">
        <v>5</v>
      </c>
      <c r="R231">
        <v>3</v>
      </c>
      <c r="S231">
        <v>1</v>
      </c>
      <c r="T231" t="s">
        <v>59</v>
      </c>
      <c r="U231" t="s">
        <v>50</v>
      </c>
      <c r="V231">
        <v>1</v>
      </c>
      <c r="W231">
        <v>9</v>
      </c>
      <c r="X231" t="s">
        <v>59</v>
      </c>
      <c r="Y231" t="s">
        <v>60</v>
      </c>
      <c r="Z231" t="s">
        <v>51</v>
      </c>
      <c r="AA231" s="2">
        <v>45516</v>
      </c>
      <c r="AB231" t="b">
        <v>0</v>
      </c>
      <c r="AC231" t="b">
        <v>0</v>
      </c>
      <c r="AD231" t="s">
        <v>52</v>
      </c>
      <c r="AE231" t="s">
        <v>67</v>
      </c>
      <c r="AF231">
        <v>5</v>
      </c>
    </row>
    <row r="232" spans="1:32" x14ac:dyDescent="0.25">
      <c r="A232" t="s">
        <v>547</v>
      </c>
      <c r="B232">
        <v>230</v>
      </c>
      <c r="C232">
        <v>39</v>
      </c>
      <c r="D232" t="str">
        <f>IF(tbl_Original[[#This Row],[Gender2]]="Female","Female",IF(tbl_Original[[#This Row],[Gender2]]="Male","Male","Other"))</f>
        <v>Male</v>
      </c>
      <c r="E232" t="s">
        <v>43</v>
      </c>
      <c r="F232" t="s">
        <v>44</v>
      </c>
      <c r="G232" t="s">
        <v>69</v>
      </c>
      <c r="H232" t="s">
        <v>45</v>
      </c>
      <c r="I232" t="s">
        <v>44</v>
      </c>
      <c r="J232" t="str">
        <f>PROPER(TRIM(CLEAN(tbl_Original[[#This Row],[Column1]])))</f>
        <v>Stoczek Ukowski</v>
      </c>
      <c r="K232" t="s">
        <v>2166</v>
      </c>
      <c r="L232" t="s">
        <v>548</v>
      </c>
      <c r="M232" t="s">
        <v>82</v>
      </c>
      <c r="N232" s="1">
        <v>373.01</v>
      </c>
      <c r="O232">
        <v>5</v>
      </c>
      <c r="P232" t="s">
        <v>48</v>
      </c>
      <c r="Q232">
        <v>5</v>
      </c>
      <c r="R232">
        <v>5</v>
      </c>
      <c r="S232">
        <v>1</v>
      </c>
      <c r="T232" t="s">
        <v>59</v>
      </c>
      <c r="U232" t="s">
        <v>37</v>
      </c>
      <c r="V232">
        <v>1</v>
      </c>
      <c r="W232">
        <v>4</v>
      </c>
      <c r="X232" t="s">
        <v>49</v>
      </c>
      <c r="Y232" t="s">
        <v>60</v>
      </c>
      <c r="Z232" t="s">
        <v>51</v>
      </c>
      <c r="AA232" s="2">
        <v>45500</v>
      </c>
      <c r="AB232" t="b">
        <v>0</v>
      </c>
      <c r="AC232" t="b">
        <v>1</v>
      </c>
      <c r="AD232" t="s">
        <v>62</v>
      </c>
      <c r="AE232" t="s">
        <v>67</v>
      </c>
      <c r="AF232">
        <v>8</v>
      </c>
    </row>
    <row r="233" spans="1:32" x14ac:dyDescent="0.25">
      <c r="A233" t="s">
        <v>549</v>
      </c>
      <c r="B233">
        <v>231</v>
      </c>
      <c r="C233">
        <v>41</v>
      </c>
      <c r="D233" t="str">
        <f>IF(tbl_Original[[#This Row],[Gender2]]="Female","Female",IF(tbl_Original[[#This Row],[Gender2]]="Male","Male","Other"))</f>
        <v>Male</v>
      </c>
      <c r="E233" t="s">
        <v>43</v>
      </c>
      <c r="F233" t="s">
        <v>30</v>
      </c>
      <c r="G233" t="s">
        <v>55</v>
      </c>
      <c r="H233" t="s">
        <v>56</v>
      </c>
      <c r="I233" t="s">
        <v>30</v>
      </c>
      <c r="J233" t="str">
        <f>PROPER(TRIM(CLEAN(tbl_Original[[#This Row],[Column1]])))</f>
        <v>Ormstown</v>
      </c>
      <c r="K233" t="s">
        <v>550</v>
      </c>
      <c r="L233" t="s">
        <v>550</v>
      </c>
      <c r="M233" t="s">
        <v>65</v>
      </c>
      <c r="N233" s="1">
        <v>220.77</v>
      </c>
      <c r="O233">
        <v>7</v>
      </c>
      <c r="P233" t="s">
        <v>78</v>
      </c>
      <c r="Q233">
        <v>4</v>
      </c>
      <c r="R233">
        <v>2</v>
      </c>
      <c r="S233">
        <v>2</v>
      </c>
      <c r="T233" t="s">
        <v>59</v>
      </c>
      <c r="U233" t="s">
        <v>50</v>
      </c>
      <c r="V233">
        <v>2</v>
      </c>
      <c r="W233">
        <v>1</v>
      </c>
      <c r="X233" t="s">
        <v>36</v>
      </c>
      <c r="Y233" t="s">
        <v>60</v>
      </c>
      <c r="Z233" t="s">
        <v>61</v>
      </c>
      <c r="AA233" s="2">
        <v>45397</v>
      </c>
      <c r="AB233" t="b">
        <v>1</v>
      </c>
      <c r="AC233" t="b">
        <v>1</v>
      </c>
      <c r="AD233" t="s">
        <v>40</v>
      </c>
      <c r="AE233" t="s">
        <v>53</v>
      </c>
      <c r="AF233">
        <v>11</v>
      </c>
    </row>
    <row r="234" spans="1:32" x14ac:dyDescent="0.25">
      <c r="A234" t="s">
        <v>551</v>
      </c>
      <c r="B234">
        <v>232</v>
      </c>
      <c r="C234">
        <v>27</v>
      </c>
      <c r="D234" t="str">
        <f>IF(tbl_Original[[#This Row],[Gender2]]="Female","Female",IF(tbl_Original[[#This Row],[Gender2]]="Male","Male","Other"))</f>
        <v>Male</v>
      </c>
      <c r="E234" t="s">
        <v>43</v>
      </c>
      <c r="F234" t="s">
        <v>30</v>
      </c>
      <c r="G234" t="s">
        <v>31</v>
      </c>
      <c r="H234" t="s">
        <v>56</v>
      </c>
      <c r="I234" t="s">
        <v>44</v>
      </c>
      <c r="J234" t="str">
        <f>PROPER(TRIM(CLEAN(tbl_Original[[#This Row],[Column1]])))</f>
        <v>Ponte</v>
      </c>
      <c r="K234" t="s">
        <v>552</v>
      </c>
      <c r="L234" t="s">
        <v>552</v>
      </c>
      <c r="M234" t="s">
        <v>107</v>
      </c>
      <c r="N234" s="1">
        <v>291.08999999999997</v>
      </c>
      <c r="O234">
        <v>11</v>
      </c>
      <c r="P234" t="s">
        <v>78</v>
      </c>
      <c r="Q234">
        <v>2</v>
      </c>
      <c r="R234">
        <v>2</v>
      </c>
      <c r="S234">
        <v>2</v>
      </c>
      <c r="T234" t="s">
        <v>36</v>
      </c>
      <c r="U234" t="s">
        <v>37</v>
      </c>
      <c r="V234">
        <v>0</v>
      </c>
      <c r="W234">
        <v>9</v>
      </c>
      <c r="X234" t="s">
        <v>44</v>
      </c>
      <c r="Y234" t="s">
        <v>60</v>
      </c>
      <c r="Z234" t="s">
        <v>51</v>
      </c>
      <c r="AA234" s="2">
        <v>45571</v>
      </c>
      <c r="AB234" t="b">
        <v>1</v>
      </c>
      <c r="AC234" t="b">
        <v>0</v>
      </c>
      <c r="AD234" t="s">
        <v>40</v>
      </c>
      <c r="AE234" t="s">
        <v>41</v>
      </c>
      <c r="AF234">
        <v>1</v>
      </c>
    </row>
    <row r="235" spans="1:32" x14ac:dyDescent="0.25">
      <c r="A235" t="s">
        <v>553</v>
      </c>
      <c r="B235">
        <v>233</v>
      </c>
      <c r="C235">
        <v>23</v>
      </c>
      <c r="D235" t="str">
        <f>IF(tbl_Original[[#This Row],[Gender2]]="Female","Female",IF(tbl_Original[[#This Row],[Gender2]]="Male","Male","Other"))</f>
        <v>Other</v>
      </c>
      <c r="E235" t="s">
        <v>274</v>
      </c>
      <c r="F235" t="s">
        <v>44</v>
      </c>
      <c r="G235" t="s">
        <v>31</v>
      </c>
      <c r="H235" t="s">
        <v>32</v>
      </c>
      <c r="I235" t="s">
        <v>30</v>
      </c>
      <c r="J235" t="str">
        <f>PROPER(TRIM(CLEAN(tbl_Original[[#This Row],[Column1]])))</f>
        <v>Boshkengash</v>
      </c>
      <c r="K235" t="s">
        <v>554</v>
      </c>
      <c r="L235" t="s">
        <v>554</v>
      </c>
      <c r="M235" t="s">
        <v>120</v>
      </c>
      <c r="N235" s="1">
        <v>414.06</v>
      </c>
      <c r="O235">
        <v>9</v>
      </c>
      <c r="P235" t="s">
        <v>35</v>
      </c>
      <c r="Q235">
        <v>1</v>
      </c>
      <c r="R235">
        <v>4</v>
      </c>
      <c r="S235">
        <v>2</v>
      </c>
      <c r="T235" t="s">
        <v>49</v>
      </c>
      <c r="U235" t="s">
        <v>37</v>
      </c>
      <c r="V235">
        <v>2</v>
      </c>
      <c r="W235">
        <v>4</v>
      </c>
      <c r="X235" t="s">
        <v>44</v>
      </c>
      <c r="Y235" t="s">
        <v>79</v>
      </c>
      <c r="Z235" t="s">
        <v>51</v>
      </c>
      <c r="AA235" s="2">
        <v>45622</v>
      </c>
      <c r="AB235" t="b">
        <v>1</v>
      </c>
      <c r="AC235" t="b">
        <v>0</v>
      </c>
      <c r="AD235" t="s">
        <v>74</v>
      </c>
      <c r="AE235" t="s">
        <v>67</v>
      </c>
      <c r="AF235">
        <v>2</v>
      </c>
    </row>
    <row r="236" spans="1:32" x14ac:dyDescent="0.25">
      <c r="A236" t="s">
        <v>555</v>
      </c>
      <c r="B236">
        <v>234</v>
      </c>
      <c r="C236">
        <v>37</v>
      </c>
      <c r="D236" t="str">
        <f>IF(tbl_Original[[#This Row],[Gender2]]="Female","Female",IF(tbl_Original[[#This Row],[Gender2]]="Male","Male","Other"))</f>
        <v>Male</v>
      </c>
      <c r="E236" t="s">
        <v>43</v>
      </c>
      <c r="F236" t="s">
        <v>30</v>
      </c>
      <c r="G236" t="s">
        <v>69</v>
      </c>
      <c r="H236" t="s">
        <v>32</v>
      </c>
      <c r="I236" t="s">
        <v>30</v>
      </c>
      <c r="J236" t="str">
        <f>PROPER(TRIM(CLEAN(tbl_Original[[#This Row],[Column1]])))</f>
        <v>Th</v>
      </c>
      <c r="K236" t="s">
        <v>2282</v>
      </c>
      <c r="L236" t="s">
        <v>556</v>
      </c>
      <c r="M236" t="s">
        <v>101</v>
      </c>
      <c r="N236" s="1">
        <v>408.51</v>
      </c>
      <c r="O236">
        <v>9</v>
      </c>
      <c r="P236" t="s">
        <v>78</v>
      </c>
      <c r="Q236">
        <v>2</v>
      </c>
      <c r="R236">
        <v>1</v>
      </c>
      <c r="S236">
        <v>2</v>
      </c>
      <c r="T236" t="s">
        <v>44</v>
      </c>
      <c r="U236" t="s">
        <v>85</v>
      </c>
      <c r="V236">
        <v>0</v>
      </c>
      <c r="W236">
        <v>7</v>
      </c>
      <c r="X236" t="s">
        <v>49</v>
      </c>
      <c r="Y236" t="s">
        <v>60</v>
      </c>
      <c r="Z236" t="s">
        <v>39</v>
      </c>
      <c r="AA236" s="2">
        <v>45438</v>
      </c>
      <c r="AB236" t="b">
        <v>1</v>
      </c>
      <c r="AC236" t="b">
        <v>0</v>
      </c>
      <c r="AD236" t="s">
        <v>52</v>
      </c>
      <c r="AE236" t="s">
        <v>67</v>
      </c>
      <c r="AF236">
        <v>1</v>
      </c>
    </row>
    <row r="237" spans="1:32" x14ac:dyDescent="0.25">
      <c r="A237" t="s">
        <v>557</v>
      </c>
      <c r="B237">
        <v>235</v>
      </c>
      <c r="C237">
        <v>21</v>
      </c>
      <c r="D237" t="str">
        <f>IF(tbl_Original[[#This Row],[Gender2]]="Female","Female",IF(tbl_Original[[#This Row],[Gender2]]="Male","Male","Other"))</f>
        <v>Male</v>
      </c>
      <c r="E237" t="s">
        <v>43</v>
      </c>
      <c r="F237" t="s">
        <v>30</v>
      </c>
      <c r="G237" t="s">
        <v>31</v>
      </c>
      <c r="H237" t="s">
        <v>45</v>
      </c>
      <c r="I237" t="s">
        <v>44</v>
      </c>
      <c r="J237" t="str">
        <f>PROPER(TRIM(CLEAN(tbl_Original[[#This Row],[Column1]])))</f>
        <v>Rada</v>
      </c>
      <c r="K237" t="s">
        <v>2167</v>
      </c>
      <c r="L237" t="s">
        <v>558</v>
      </c>
      <c r="M237" t="s">
        <v>71</v>
      </c>
      <c r="N237" s="1">
        <v>103.4</v>
      </c>
      <c r="O237">
        <v>9</v>
      </c>
      <c r="P237" t="s">
        <v>48</v>
      </c>
      <c r="Q237">
        <v>4</v>
      </c>
      <c r="R237">
        <v>1</v>
      </c>
      <c r="S237">
        <v>2</v>
      </c>
      <c r="T237" t="s">
        <v>44</v>
      </c>
      <c r="U237" t="s">
        <v>50</v>
      </c>
      <c r="V237">
        <v>1</v>
      </c>
      <c r="W237">
        <v>9</v>
      </c>
      <c r="X237" t="s">
        <v>49</v>
      </c>
      <c r="Y237" t="s">
        <v>60</v>
      </c>
      <c r="Z237" t="s">
        <v>61</v>
      </c>
      <c r="AA237" s="2">
        <v>45600</v>
      </c>
      <c r="AB237" t="b">
        <v>1</v>
      </c>
      <c r="AC237" t="b">
        <v>0</v>
      </c>
      <c r="AD237" t="s">
        <v>74</v>
      </c>
      <c r="AE237" t="s">
        <v>53</v>
      </c>
      <c r="AF237">
        <v>9</v>
      </c>
    </row>
    <row r="238" spans="1:32" x14ac:dyDescent="0.25">
      <c r="A238" t="s">
        <v>559</v>
      </c>
      <c r="B238">
        <v>236</v>
      </c>
      <c r="C238">
        <v>47</v>
      </c>
      <c r="D238" t="str">
        <f>IF(tbl_Original[[#This Row],[Gender2]]="Female","Female",IF(tbl_Original[[#This Row],[Gender2]]="Male","Male","Other"))</f>
        <v>Male</v>
      </c>
      <c r="E238" t="s">
        <v>43</v>
      </c>
      <c r="F238" t="s">
        <v>30</v>
      </c>
      <c r="G238" t="s">
        <v>55</v>
      </c>
      <c r="H238" t="s">
        <v>45</v>
      </c>
      <c r="I238" t="s">
        <v>44</v>
      </c>
      <c r="J238" t="str">
        <f>PROPER(TRIM(CLEAN(tbl_Original[[#This Row],[Column1]])))</f>
        <v>Sinarwangi</v>
      </c>
      <c r="K238" t="s">
        <v>560</v>
      </c>
      <c r="L238" t="s">
        <v>560</v>
      </c>
      <c r="M238" t="s">
        <v>71</v>
      </c>
      <c r="N238" s="1">
        <v>67.92</v>
      </c>
      <c r="O238">
        <v>3</v>
      </c>
      <c r="P238" t="s">
        <v>48</v>
      </c>
      <c r="Q238">
        <v>1</v>
      </c>
      <c r="R238">
        <v>3</v>
      </c>
      <c r="S238">
        <v>0</v>
      </c>
      <c r="T238" t="s">
        <v>59</v>
      </c>
      <c r="U238" t="s">
        <v>50</v>
      </c>
      <c r="V238">
        <v>1</v>
      </c>
      <c r="W238">
        <v>8</v>
      </c>
      <c r="X238" t="s">
        <v>59</v>
      </c>
      <c r="Y238" t="s">
        <v>38</v>
      </c>
      <c r="Z238" t="s">
        <v>86</v>
      </c>
      <c r="AA238" s="2">
        <v>45583</v>
      </c>
      <c r="AB238" t="b">
        <v>0</v>
      </c>
      <c r="AC238" t="b">
        <v>1</v>
      </c>
      <c r="AD238" t="s">
        <v>62</v>
      </c>
      <c r="AE238" t="s">
        <v>67</v>
      </c>
      <c r="AF238">
        <v>10</v>
      </c>
    </row>
    <row r="239" spans="1:32" x14ac:dyDescent="0.25">
      <c r="A239" t="s">
        <v>561</v>
      </c>
      <c r="B239">
        <v>237</v>
      </c>
      <c r="C239">
        <v>42</v>
      </c>
      <c r="D239" t="str">
        <f>IF(tbl_Original[[#This Row],[Gender2]]="Female","Female",IF(tbl_Original[[#This Row],[Gender2]]="Male","Male","Other"))</f>
        <v>Other</v>
      </c>
      <c r="E239" t="s">
        <v>274</v>
      </c>
      <c r="F239" t="s">
        <v>30</v>
      </c>
      <c r="G239" t="s">
        <v>55</v>
      </c>
      <c r="H239" t="s">
        <v>45</v>
      </c>
      <c r="I239" t="s">
        <v>30</v>
      </c>
      <c r="J239" t="str">
        <f>PROPER(TRIM(CLEAN(tbl_Original[[#This Row],[Column1]])))</f>
        <v>Dagup</v>
      </c>
      <c r="K239" t="s">
        <v>562</v>
      </c>
      <c r="L239" t="s">
        <v>562</v>
      </c>
      <c r="M239" t="s">
        <v>142</v>
      </c>
      <c r="N239" s="1">
        <v>354.16</v>
      </c>
      <c r="O239">
        <v>8</v>
      </c>
      <c r="P239" t="s">
        <v>48</v>
      </c>
      <c r="Q239">
        <v>1</v>
      </c>
      <c r="R239">
        <v>1</v>
      </c>
      <c r="S239">
        <v>1</v>
      </c>
      <c r="T239" t="s">
        <v>59</v>
      </c>
      <c r="U239" t="s">
        <v>50</v>
      </c>
      <c r="V239">
        <v>2</v>
      </c>
      <c r="W239">
        <v>3</v>
      </c>
      <c r="X239" t="s">
        <v>59</v>
      </c>
      <c r="Y239" t="s">
        <v>79</v>
      </c>
      <c r="Z239" t="s">
        <v>39</v>
      </c>
      <c r="AA239" s="2">
        <v>45456</v>
      </c>
      <c r="AB239" t="b">
        <v>1</v>
      </c>
      <c r="AC239" t="b">
        <v>0</v>
      </c>
      <c r="AD239" t="s">
        <v>74</v>
      </c>
      <c r="AE239" t="s">
        <v>67</v>
      </c>
      <c r="AF239">
        <v>5</v>
      </c>
    </row>
    <row r="240" spans="1:32" x14ac:dyDescent="0.25">
      <c r="A240" t="s">
        <v>563</v>
      </c>
      <c r="B240">
        <v>238</v>
      </c>
      <c r="C240">
        <v>30</v>
      </c>
      <c r="D240" t="str">
        <f>IF(tbl_Original[[#This Row],[Gender2]]="Female","Female",IF(tbl_Original[[#This Row],[Gender2]]="Male","Male","Other"))</f>
        <v>Male</v>
      </c>
      <c r="E240" t="s">
        <v>43</v>
      </c>
      <c r="F240" t="s">
        <v>30</v>
      </c>
      <c r="G240" t="s">
        <v>69</v>
      </c>
      <c r="H240" t="s">
        <v>32</v>
      </c>
      <c r="I240" t="s">
        <v>30</v>
      </c>
      <c r="J240" t="str">
        <f>PROPER(TRIM(CLEAN(tbl_Original[[#This Row],[Column1]])))</f>
        <v>Ek</v>
      </c>
      <c r="K240" t="s">
        <v>2168</v>
      </c>
      <c r="L240" t="s">
        <v>564</v>
      </c>
      <c r="M240" t="s">
        <v>82</v>
      </c>
      <c r="N240" s="1">
        <v>276.77</v>
      </c>
      <c r="O240">
        <v>2</v>
      </c>
      <c r="P240" t="s">
        <v>35</v>
      </c>
      <c r="Q240">
        <v>1</v>
      </c>
      <c r="R240">
        <v>1</v>
      </c>
      <c r="S240">
        <v>2</v>
      </c>
      <c r="T240" t="s">
        <v>59</v>
      </c>
      <c r="U240" t="s">
        <v>85</v>
      </c>
      <c r="V240">
        <v>1</v>
      </c>
      <c r="W240">
        <v>2</v>
      </c>
      <c r="X240" t="s">
        <v>44</v>
      </c>
      <c r="Y240" t="s">
        <v>60</v>
      </c>
      <c r="Z240" t="s">
        <v>86</v>
      </c>
      <c r="AA240" s="2">
        <v>45354</v>
      </c>
      <c r="AB240" t="b">
        <v>1</v>
      </c>
      <c r="AC240" t="b">
        <v>1</v>
      </c>
      <c r="AD240" t="s">
        <v>52</v>
      </c>
      <c r="AE240" t="s">
        <v>41</v>
      </c>
      <c r="AF240">
        <v>4</v>
      </c>
    </row>
    <row r="241" spans="1:32" x14ac:dyDescent="0.25">
      <c r="A241" t="s">
        <v>565</v>
      </c>
      <c r="B241">
        <v>239</v>
      </c>
      <c r="C241">
        <v>49</v>
      </c>
      <c r="D241" t="str">
        <f>IF(tbl_Original[[#This Row],[Gender2]]="Female","Female",IF(tbl_Original[[#This Row],[Gender2]]="Male","Male","Other"))</f>
        <v>Male</v>
      </c>
      <c r="E241" t="s">
        <v>43</v>
      </c>
      <c r="F241" t="s">
        <v>30</v>
      </c>
      <c r="G241" t="s">
        <v>55</v>
      </c>
      <c r="H241" t="s">
        <v>45</v>
      </c>
      <c r="I241" t="s">
        <v>30</v>
      </c>
      <c r="J241" t="str">
        <f>PROPER(TRIM(CLEAN(tbl_Original[[#This Row],[Column1]])))</f>
        <v>Moju</v>
      </c>
      <c r="K241" t="s">
        <v>566</v>
      </c>
      <c r="L241" t="s">
        <v>566</v>
      </c>
      <c r="M241" t="s">
        <v>104</v>
      </c>
      <c r="N241" s="1">
        <v>190.25</v>
      </c>
      <c r="O241">
        <v>6</v>
      </c>
      <c r="P241" t="s">
        <v>35</v>
      </c>
      <c r="Q241">
        <v>4</v>
      </c>
      <c r="R241">
        <v>2</v>
      </c>
      <c r="S241">
        <v>2</v>
      </c>
      <c r="T241" t="s">
        <v>36</v>
      </c>
      <c r="U241" t="s">
        <v>85</v>
      </c>
      <c r="V241">
        <v>2</v>
      </c>
      <c r="W241">
        <v>9</v>
      </c>
      <c r="X241" t="s">
        <v>36</v>
      </c>
      <c r="Y241" t="s">
        <v>38</v>
      </c>
      <c r="Z241" t="s">
        <v>51</v>
      </c>
      <c r="AA241" s="2">
        <v>45446</v>
      </c>
      <c r="AB241" t="b">
        <v>0</v>
      </c>
      <c r="AC241" t="b">
        <v>0</v>
      </c>
      <c r="AD241" t="s">
        <v>74</v>
      </c>
      <c r="AE241" t="s">
        <v>67</v>
      </c>
      <c r="AF241">
        <v>13</v>
      </c>
    </row>
    <row r="242" spans="1:32" x14ac:dyDescent="0.25">
      <c r="A242" t="s">
        <v>567</v>
      </c>
      <c r="B242">
        <v>240</v>
      </c>
      <c r="C242">
        <v>28</v>
      </c>
      <c r="D242" t="str">
        <f>IF(tbl_Original[[#This Row],[Gender2]]="Female","Female",IF(tbl_Original[[#This Row],[Gender2]]="Male","Male","Other"))</f>
        <v>Female</v>
      </c>
      <c r="E242" t="s">
        <v>29</v>
      </c>
      <c r="F242" t="s">
        <v>30</v>
      </c>
      <c r="G242" t="s">
        <v>31</v>
      </c>
      <c r="H242" t="s">
        <v>56</v>
      </c>
      <c r="I242" t="s">
        <v>30</v>
      </c>
      <c r="J242" t="str">
        <f>PROPER(TRIM(CLEAN(tbl_Original[[#This Row],[Column1]])))</f>
        <v>Vأ­Lia</v>
      </c>
      <c r="K242" t="s">
        <v>568</v>
      </c>
      <c r="L242" t="s">
        <v>568</v>
      </c>
      <c r="M242" t="s">
        <v>101</v>
      </c>
      <c r="N242" s="1">
        <v>203.49</v>
      </c>
      <c r="O242">
        <v>7</v>
      </c>
      <c r="P242" t="s">
        <v>48</v>
      </c>
      <c r="Q242">
        <v>4</v>
      </c>
      <c r="R242">
        <v>1</v>
      </c>
      <c r="S242">
        <v>2</v>
      </c>
      <c r="T242" t="s">
        <v>49</v>
      </c>
      <c r="U242" t="s">
        <v>50</v>
      </c>
      <c r="V242">
        <v>1</v>
      </c>
      <c r="W242">
        <v>8</v>
      </c>
      <c r="X242" t="s">
        <v>44</v>
      </c>
      <c r="Y242" t="s">
        <v>38</v>
      </c>
      <c r="Z242" t="s">
        <v>86</v>
      </c>
      <c r="AA242" s="2">
        <v>45514</v>
      </c>
      <c r="AB242" t="b">
        <v>0</v>
      </c>
      <c r="AC242" t="b">
        <v>1</v>
      </c>
      <c r="AD242" t="s">
        <v>40</v>
      </c>
      <c r="AE242" t="s">
        <v>67</v>
      </c>
      <c r="AF242">
        <v>11</v>
      </c>
    </row>
    <row r="243" spans="1:32" x14ac:dyDescent="0.25">
      <c r="A243" t="s">
        <v>569</v>
      </c>
      <c r="B243">
        <v>241</v>
      </c>
      <c r="C243">
        <v>24</v>
      </c>
      <c r="D243" t="str">
        <f>IF(tbl_Original[[#This Row],[Gender2]]="Female","Female",IF(tbl_Original[[#This Row],[Gender2]]="Male","Male","Other"))</f>
        <v>Male</v>
      </c>
      <c r="E243" t="s">
        <v>43</v>
      </c>
      <c r="F243" t="s">
        <v>30</v>
      </c>
      <c r="G243" t="s">
        <v>55</v>
      </c>
      <c r="H243" t="s">
        <v>45</v>
      </c>
      <c r="I243" t="s">
        <v>44</v>
      </c>
      <c r="J243" t="str">
        <f>PROPER(TRIM(CLEAN(tbl_Original[[#This Row],[Column1]])))</f>
        <v>Prince Rupert</v>
      </c>
      <c r="K243" t="s">
        <v>570</v>
      </c>
      <c r="L243" t="s">
        <v>570</v>
      </c>
      <c r="M243" t="s">
        <v>142</v>
      </c>
      <c r="N243" s="1">
        <v>263.5</v>
      </c>
      <c r="O243">
        <v>6</v>
      </c>
      <c r="P243" t="s">
        <v>35</v>
      </c>
      <c r="Q243">
        <v>3</v>
      </c>
      <c r="R243">
        <v>2</v>
      </c>
      <c r="S243">
        <v>2</v>
      </c>
      <c r="T243" t="s">
        <v>36</v>
      </c>
      <c r="U243" t="s">
        <v>50</v>
      </c>
      <c r="V243">
        <v>0</v>
      </c>
      <c r="W243">
        <v>8</v>
      </c>
      <c r="X243" t="s">
        <v>59</v>
      </c>
      <c r="Y243" t="s">
        <v>38</v>
      </c>
      <c r="Z243" t="s">
        <v>61</v>
      </c>
      <c r="AA243" s="2">
        <v>45614</v>
      </c>
      <c r="AB243" t="b">
        <v>0</v>
      </c>
      <c r="AC243" t="b">
        <v>0</v>
      </c>
      <c r="AD243" t="s">
        <v>74</v>
      </c>
      <c r="AE243" t="s">
        <v>53</v>
      </c>
      <c r="AF243">
        <v>1</v>
      </c>
    </row>
    <row r="244" spans="1:32" x14ac:dyDescent="0.25">
      <c r="A244" t="s">
        <v>571</v>
      </c>
      <c r="B244">
        <v>242</v>
      </c>
      <c r="C244">
        <v>40</v>
      </c>
      <c r="D244" t="str">
        <f>IF(tbl_Original[[#This Row],[Gender2]]="Female","Female",IF(tbl_Original[[#This Row],[Gender2]]="Male","Male","Other"))</f>
        <v>Female</v>
      </c>
      <c r="E244" t="s">
        <v>29</v>
      </c>
      <c r="F244" t="s">
        <v>44</v>
      </c>
      <c r="G244" t="s">
        <v>76</v>
      </c>
      <c r="H244" t="s">
        <v>32</v>
      </c>
      <c r="I244" t="s">
        <v>30</v>
      </c>
      <c r="J244" t="str">
        <f>PROPER(TRIM(CLEAN(tbl_Original[[#This Row],[Column1]])))</f>
        <v>Jiangmen</v>
      </c>
      <c r="K244" t="s">
        <v>572</v>
      </c>
      <c r="L244" t="s">
        <v>572</v>
      </c>
      <c r="M244" t="s">
        <v>135</v>
      </c>
      <c r="N244" s="1">
        <v>247.3</v>
      </c>
      <c r="O244">
        <v>2</v>
      </c>
      <c r="P244" t="s">
        <v>48</v>
      </c>
      <c r="Q244">
        <v>4</v>
      </c>
      <c r="R244">
        <v>4</v>
      </c>
      <c r="S244">
        <v>2</v>
      </c>
      <c r="T244" t="s">
        <v>59</v>
      </c>
      <c r="U244" t="s">
        <v>85</v>
      </c>
      <c r="V244">
        <v>0</v>
      </c>
      <c r="W244">
        <v>1</v>
      </c>
      <c r="X244" t="s">
        <v>49</v>
      </c>
      <c r="Y244" t="s">
        <v>79</v>
      </c>
      <c r="Z244" t="s">
        <v>39</v>
      </c>
      <c r="AA244" s="2">
        <v>45330</v>
      </c>
      <c r="AB244" t="b">
        <v>1</v>
      </c>
      <c r="AC244" t="b">
        <v>1</v>
      </c>
      <c r="AD244" t="s">
        <v>52</v>
      </c>
      <c r="AE244" t="s">
        <v>41</v>
      </c>
      <c r="AF244">
        <v>11</v>
      </c>
    </row>
    <row r="245" spans="1:32" x14ac:dyDescent="0.25">
      <c r="A245" t="s">
        <v>573</v>
      </c>
      <c r="B245">
        <v>243</v>
      </c>
      <c r="C245">
        <v>18</v>
      </c>
      <c r="D245" t="str">
        <f>IF(tbl_Original[[#This Row],[Gender2]]="Female","Female",IF(tbl_Original[[#This Row],[Gender2]]="Male","Male","Other"))</f>
        <v>Male</v>
      </c>
      <c r="E245" t="s">
        <v>43</v>
      </c>
      <c r="F245" t="s">
        <v>44</v>
      </c>
      <c r="G245" t="s">
        <v>31</v>
      </c>
      <c r="H245" t="s">
        <v>32</v>
      </c>
      <c r="I245" t="s">
        <v>30</v>
      </c>
      <c r="J245" t="str">
        <f>PROPER(TRIM(CLEAN(tbl_Original[[#This Row],[Column1]])))</f>
        <v>Alung</v>
      </c>
      <c r="K245" t="s">
        <v>574</v>
      </c>
      <c r="L245" t="s">
        <v>574</v>
      </c>
      <c r="M245" t="s">
        <v>126</v>
      </c>
      <c r="N245" s="1">
        <v>50.71</v>
      </c>
      <c r="O245">
        <v>12</v>
      </c>
      <c r="P245" t="s">
        <v>78</v>
      </c>
      <c r="Q245">
        <v>4</v>
      </c>
      <c r="R245">
        <v>3</v>
      </c>
      <c r="S245">
        <v>0.3</v>
      </c>
      <c r="T245" t="s">
        <v>36</v>
      </c>
      <c r="U245" t="s">
        <v>50</v>
      </c>
      <c r="V245">
        <v>0</v>
      </c>
      <c r="W245">
        <v>9</v>
      </c>
      <c r="X245" t="s">
        <v>49</v>
      </c>
      <c r="Y245" t="s">
        <v>60</v>
      </c>
      <c r="Z245" t="s">
        <v>61</v>
      </c>
      <c r="AA245" s="2">
        <v>45368</v>
      </c>
      <c r="AB245" t="b">
        <v>1</v>
      </c>
      <c r="AC245" t="b">
        <v>1</v>
      </c>
      <c r="AD245" t="s">
        <v>52</v>
      </c>
      <c r="AE245" t="s">
        <v>41</v>
      </c>
      <c r="AF245">
        <v>8</v>
      </c>
    </row>
    <row r="246" spans="1:32" x14ac:dyDescent="0.25">
      <c r="A246" t="s">
        <v>575</v>
      </c>
      <c r="B246">
        <v>244</v>
      </c>
      <c r="C246">
        <v>42</v>
      </c>
      <c r="D246" t="str">
        <f>IF(tbl_Original[[#This Row],[Gender2]]="Female","Female",IF(tbl_Original[[#This Row],[Gender2]]="Male","Male","Other"))</f>
        <v>Male</v>
      </c>
      <c r="E246" t="s">
        <v>43</v>
      </c>
      <c r="F246" t="s">
        <v>44</v>
      </c>
      <c r="G246" t="s">
        <v>31</v>
      </c>
      <c r="H246" t="s">
        <v>45</v>
      </c>
      <c r="I246" t="s">
        <v>30</v>
      </c>
      <c r="J246" t="str">
        <f>PROPER(TRIM(CLEAN(tbl_Original[[#This Row],[Column1]])))</f>
        <v>Osorno</v>
      </c>
      <c r="K246" t="s">
        <v>576</v>
      </c>
      <c r="L246" t="s">
        <v>576</v>
      </c>
      <c r="M246" t="s">
        <v>58</v>
      </c>
      <c r="N246" s="1">
        <v>131.85</v>
      </c>
      <c r="O246">
        <v>4</v>
      </c>
      <c r="P246" t="s">
        <v>35</v>
      </c>
      <c r="Q246">
        <v>5</v>
      </c>
      <c r="R246">
        <v>4</v>
      </c>
      <c r="S246">
        <v>2</v>
      </c>
      <c r="T246" t="s">
        <v>59</v>
      </c>
      <c r="U246" t="s">
        <v>37</v>
      </c>
      <c r="V246">
        <v>1</v>
      </c>
      <c r="W246">
        <v>5</v>
      </c>
      <c r="X246" t="s">
        <v>49</v>
      </c>
      <c r="Y246" t="s">
        <v>60</v>
      </c>
      <c r="Z246" t="s">
        <v>61</v>
      </c>
      <c r="AA246" s="2">
        <v>45295</v>
      </c>
      <c r="AB246" t="b">
        <v>1</v>
      </c>
      <c r="AC246" t="b">
        <v>0</v>
      </c>
      <c r="AD246" t="s">
        <v>40</v>
      </c>
      <c r="AE246" t="s">
        <v>41</v>
      </c>
      <c r="AF246">
        <v>6</v>
      </c>
    </row>
    <row r="247" spans="1:32" x14ac:dyDescent="0.25">
      <c r="A247" t="s">
        <v>577</v>
      </c>
      <c r="B247">
        <v>245</v>
      </c>
      <c r="C247">
        <v>19</v>
      </c>
      <c r="D247" t="str">
        <f>IF(tbl_Original[[#This Row],[Gender2]]="Female","Female",IF(tbl_Original[[#This Row],[Gender2]]="Male","Male","Other"))</f>
        <v>Male</v>
      </c>
      <c r="E247" t="s">
        <v>43</v>
      </c>
      <c r="F247" t="s">
        <v>44</v>
      </c>
      <c r="G247" t="s">
        <v>31</v>
      </c>
      <c r="H247" t="s">
        <v>56</v>
      </c>
      <c r="I247" t="s">
        <v>44</v>
      </c>
      <c r="J247" t="str">
        <f>PROPER(TRIM(CLEAN(tbl_Original[[#This Row],[Column1]])))</f>
        <v>Labo</v>
      </c>
      <c r="K247" t="s">
        <v>578</v>
      </c>
      <c r="L247" t="s">
        <v>578</v>
      </c>
      <c r="M247" t="s">
        <v>188</v>
      </c>
      <c r="N247" s="1">
        <v>459.39</v>
      </c>
      <c r="O247">
        <v>6</v>
      </c>
      <c r="P247" t="s">
        <v>35</v>
      </c>
      <c r="Q247">
        <v>2</v>
      </c>
      <c r="R247">
        <v>2</v>
      </c>
      <c r="S247">
        <v>0.3</v>
      </c>
      <c r="T247" t="s">
        <v>59</v>
      </c>
      <c r="U247" t="s">
        <v>85</v>
      </c>
      <c r="V247">
        <v>2</v>
      </c>
      <c r="W247">
        <v>4</v>
      </c>
      <c r="X247" t="s">
        <v>44</v>
      </c>
      <c r="Y247" t="s">
        <v>38</v>
      </c>
      <c r="Z247" t="s">
        <v>39</v>
      </c>
      <c r="AA247" s="2">
        <v>45564</v>
      </c>
      <c r="AB247" t="b">
        <v>0</v>
      </c>
      <c r="AC247" t="b">
        <v>0</v>
      </c>
      <c r="AD247" t="s">
        <v>74</v>
      </c>
      <c r="AE247" t="s">
        <v>41</v>
      </c>
      <c r="AF247">
        <v>14</v>
      </c>
    </row>
    <row r="248" spans="1:32" x14ac:dyDescent="0.25">
      <c r="A248" t="s">
        <v>579</v>
      </c>
      <c r="B248">
        <v>246</v>
      </c>
      <c r="C248">
        <v>36</v>
      </c>
      <c r="D248" t="str">
        <f>IF(tbl_Original[[#This Row],[Gender2]]="Female","Female",IF(tbl_Original[[#This Row],[Gender2]]="Male","Male","Other"))</f>
        <v>Female</v>
      </c>
      <c r="E248" t="s">
        <v>29</v>
      </c>
      <c r="F248" t="s">
        <v>44</v>
      </c>
      <c r="G248" t="s">
        <v>76</v>
      </c>
      <c r="H248" t="s">
        <v>45</v>
      </c>
      <c r="I248" t="s">
        <v>30</v>
      </c>
      <c r="J248" t="str">
        <f>PROPER(TRIM(CLEAN(tbl_Original[[#This Row],[Column1]])))</f>
        <v>Dakingari</v>
      </c>
      <c r="K248" t="s">
        <v>580</v>
      </c>
      <c r="L248" t="s">
        <v>580</v>
      </c>
      <c r="M248" t="s">
        <v>58</v>
      </c>
      <c r="N248" s="1">
        <v>383.33</v>
      </c>
      <c r="O248">
        <v>6</v>
      </c>
      <c r="P248" t="s">
        <v>78</v>
      </c>
      <c r="Q248">
        <v>3</v>
      </c>
      <c r="R248">
        <v>4</v>
      </c>
      <c r="S248">
        <v>2</v>
      </c>
      <c r="T248" t="s">
        <v>49</v>
      </c>
      <c r="U248" t="s">
        <v>85</v>
      </c>
      <c r="V248">
        <v>1</v>
      </c>
      <c r="W248">
        <v>3</v>
      </c>
      <c r="X248" t="s">
        <v>36</v>
      </c>
      <c r="Y248" t="s">
        <v>60</v>
      </c>
      <c r="Z248" t="s">
        <v>39</v>
      </c>
      <c r="AA248" s="2">
        <v>45509</v>
      </c>
      <c r="AB248" t="b">
        <v>0</v>
      </c>
      <c r="AC248" t="b">
        <v>0</v>
      </c>
      <c r="AD248" t="s">
        <v>74</v>
      </c>
      <c r="AE248" t="s">
        <v>53</v>
      </c>
      <c r="AF248">
        <v>12</v>
      </c>
    </row>
    <row r="249" spans="1:32" x14ac:dyDescent="0.25">
      <c r="A249" t="s">
        <v>581</v>
      </c>
      <c r="B249">
        <v>247</v>
      </c>
      <c r="C249">
        <v>26</v>
      </c>
      <c r="D249" t="str">
        <f>IF(tbl_Original[[#This Row],[Gender2]]="Female","Female",IF(tbl_Original[[#This Row],[Gender2]]="Male","Male","Other"))</f>
        <v>Female</v>
      </c>
      <c r="E249" t="s">
        <v>29</v>
      </c>
      <c r="F249" t="s">
        <v>44</v>
      </c>
      <c r="G249" t="s">
        <v>69</v>
      </c>
      <c r="H249" t="s">
        <v>32</v>
      </c>
      <c r="I249" t="s">
        <v>44</v>
      </c>
      <c r="J249" t="str">
        <f>PROPER(TRIM(CLEAN(tbl_Original[[#This Row],[Column1]])))</f>
        <v>Selasari</v>
      </c>
      <c r="K249" t="s">
        <v>582</v>
      </c>
      <c r="L249" t="s">
        <v>582</v>
      </c>
      <c r="M249" t="s">
        <v>126</v>
      </c>
      <c r="N249" s="1">
        <v>212.08</v>
      </c>
      <c r="O249">
        <v>8</v>
      </c>
      <c r="P249" t="s">
        <v>48</v>
      </c>
      <c r="Q249">
        <v>5</v>
      </c>
      <c r="R249">
        <v>5</v>
      </c>
      <c r="S249">
        <v>2</v>
      </c>
      <c r="T249" t="s">
        <v>59</v>
      </c>
      <c r="U249" t="s">
        <v>85</v>
      </c>
      <c r="V249">
        <v>1</v>
      </c>
      <c r="W249">
        <v>9</v>
      </c>
      <c r="X249" t="s">
        <v>36</v>
      </c>
      <c r="Y249" t="s">
        <v>38</v>
      </c>
      <c r="Z249" t="s">
        <v>39</v>
      </c>
      <c r="AA249" s="2">
        <v>45419</v>
      </c>
      <c r="AB249" t="b">
        <v>0</v>
      </c>
      <c r="AC249" t="b">
        <v>0</v>
      </c>
      <c r="AD249" t="s">
        <v>40</v>
      </c>
      <c r="AE249" t="s">
        <v>53</v>
      </c>
      <c r="AF249">
        <v>13</v>
      </c>
    </row>
    <row r="250" spans="1:32" x14ac:dyDescent="0.25">
      <c r="A250" t="s">
        <v>583</v>
      </c>
      <c r="B250">
        <v>248</v>
      </c>
      <c r="C250">
        <v>35</v>
      </c>
      <c r="D250" t="str">
        <f>IF(tbl_Original[[#This Row],[Gender2]]="Female","Female",IF(tbl_Original[[#This Row],[Gender2]]="Male","Male","Other"))</f>
        <v>Female</v>
      </c>
      <c r="E250" t="s">
        <v>29</v>
      </c>
      <c r="F250" t="s">
        <v>44</v>
      </c>
      <c r="G250" t="s">
        <v>31</v>
      </c>
      <c r="H250" t="s">
        <v>56</v>
      </c>
      <c r="I250" t="s">
        <v>44</v>
      </c>
      <c r="J250" t="str">
        <f>PROPER(TRIM(CLEAN(tbl_Original[[#This Row],[Column1]])))</f>
        <v>Besko</v>
      </c>
      <c r="K250" t="s">
        <v>584</v>
      </c>
      <c r="L250" t="s">
        <v>584</v>
      </c>
      <c r="M250" t="s">
        <v>135</v>
      </c>
      <c r="N250" s="1">
        <v>370.73</v>
      </c>
      <c r="O250">
        <v>7</v>
      </c>
      <c r="P250" t="s">
        <v>78</v>
      </c>
      <c r="Q250">
        <v>3</v>
      </c>
      <c r="R250">
        <v>2</v>
      </c>
      <c r="S250">
        <v>1</v>
      </c>
      <c r="T250" t="s">
        <v>44</v>
      </c>
      <c r="U250" t="s">
        <v>50</v>
      </c>
      <c r="V250">
        <v>0</v>
      </c>
      <c r="W250">
        <v>9</v>
      </c>
      <c r="X250" t="s">
        <v>44</v>
      </c>
      <c r="Y250" t="s">
        <v>60</v>
      </c>
      <c r="Z250" t="s">
        <v>61</v>
      </c>
      <c r="AA250" s="2">
        <v>45522</v>
      </c>
      <c r="AB250" t="b">
        <v>0</v>
      </c>
      <c r="AC250" t="b">
        <v>1</v>
      </c>
      <c r="AD250" t="s">
        <v>40</v>
      </c>
      <c r="AE250" t="s">
        <v>41</v>
      </c>
      <c r="AF250">
        <v>7</v>
      </c>
    </row>
    <row r="251" spans="1:32" x14ac:dyDescent="0.25">
      <c r="A251" t="s">
        <v>585</v>
      </c>
      <c r="B251">
        <v>249</v>
      </c>
      <c r="C251">
        <v>39</v>
      </c>
      <c r="D251" t="str">
        <f>IF(tbl_Original[[#This Row],[Gender2]]="Female","Female",IF(tbl_Original[[#This Row],[Gender2]]="Male","Male","Other"))</f>
        <v>Male</v>
      </c>
      <c r="E251" t="s">
        <v>43</v>
      </c>
      <c r="F251" t="s">
        <v>44</v>
      </c>
      <c r="G251" t="s">
        <v>76</v>
      </c>
      <c r="H251" t="s">
        <v>56</v>
      </c>
      <c r="I251" t="s">
        <v>30</v>
      </c>
      <c r="J251" t="str">
        <f>PROPER(TRIM(CLEAN(tbl_Original[[#This Row],[Column1]])))</f>
        <v>Aubergenville</v>
      </c>
      <c r="K251" t="s">
        <v>586</v>
      </c>
      <c r="L251" t="s">
        <v>586</v>
      </c>
      <c r="M251" t="s">
        <v>183</v>
      </c>
      <c r="N251" s="1">
        <v>319.66000000000003</v>
      </c>
      <c r="O251">
        <v>7</v>
      </c>
      <c r="P251" t="s">
        <v>35</v>
      </c>
      <c r="Q251">
        <v>4</v>
      </c>
      <c r="R251">
        <v>2</v>
      </c>
      <c r="S251">
        <v>1</v>
      </c>
      <c r="T251" t="s">
        <v>44</v>
      </c>
      <c r="U251" t="s">
        <v>50</v>
      </c>
      <c r="V251">
        <v>1</v>
      </c>
      <c r="W251">
        <v>10</v>
      </c>
      <c r="X251" t="s">
        <v>36</v>
      </c>
      <c r="Y251" t="s">
        <v>79</v>
      </c>
      <c r="Z251" t="s">
        <v>61</v>
      </c>
      <c r="AA251" s="2">
        <v>45340</v>
      </c>
      <c r="AB251" t="b">
        <v>0</v>
      </c>
      <c r="AC251" t="b">
        <v>0</v>
      </c>
      <c r="AD251" t="s">
        <v>52</v>
      </c>
      <c r="AE251" t="s">
        <v>67</v>
      </c>
      <c r="AF251">
        <v>3</v>
      </c>
    </row>
    <row r="252" spans="1:32" x14ac:dyDescent="0.25">
      <c r="A252" t="s">
        <v>587</v>
      </c>
      <c r="B252">
        <v>250</v>
      </c>
      <c r="C252">
        <v>44</v>
      </c>
      <c r="D252" t="str">
        <f>IF(tbl_Original[[#This Row],[Gender2]]="Female","Female",IF(tbl_Original[[#This Row],[Gender2]]="Male","Male","Other"))</f>
        <v>Female</v>
      </c>
      <c r="E252" t="s">
        <v>29</v>
      </c>
      <c r="F252" t="s">
        <v>30</v>
      </c>
      <c r="G252" t="s">
        <v>69</v>
      </c>
      <c r="H252" t="s">
        <v>32</v>
      </c>
      <c r="I252" t="s">
        <v>44</v>
      </c>
      <c r="J252" t="str">
        <f>PROPER(TRIM(CLEAN(tbl_Original[[#This Row],[Column1]])))</f>
        <v>Sula</v>
      </c>
      <c r="K252" t="s">
        <v>588</v>
      </c>
      <c r="L252" t="s">
        <v>588</v>
      </c>
      <c r="M252" t="s">
        <v>246</v>
      </c>
      <c r="N252" s="1">
        <v>373.05</v>
      </c>
      <c r="O252">
        <v>3</v>
      </c>
      <c r="P252" t="s">
        <v>48</v>
      </c>
      <c r="Q252">
        <v>3</v>
      </c>
      <c r="R252">
        <v>4</v>
      </c>
      <c r="S252">
        <v>0.3</v>
      </c>
      <c r="T252" t="s">
        <v>59</v>
      </c>
      <c r="U252" t="s">
        <v>50</v>
      </c>
      <c r="V252">
        <v>1</v>
      </c>
      <c r="W252">
        <v>10</v>
      </c>
      <c r="X252" t="s">
        <v>49</v>
      </c>
      <c r="Y252" t="s">
        <v>38</v>
      </c>
      <c r="Z252" t="s">
        <v>86</v>
      </c>
      <c r="AA252" s="2">
        <v>45365</v>
      </c>
      <c r="AB252" t="b">
        <v>0</v>
      </c>
      <c r="AC252" t="b">
        <v>1</v>
      </c>
      <c r="AD252" t="s">
        <v>74</v>
      </c>
      <c r="AE252" t="s">
        <v>53</v>
      </c>
      <c r="AF252">
        <v>7</v>
      </c>
    </row>
    <row r="253" spans="1:32" x14ac:dyDescent="0.25">
      <c r="A253" t="s">
        <v>589</v>
      </c>
      <c r="B253">
        <v>251</v>
      </c>
      <c r="C253">
        <v>19</v>
      </c>
      <c r="D253" t="str">
        <f>IF(tbl_Original[[#This Row],[Gender2]]="Female","Female",IF(tbl_Original[[#This Row],[Gender2]]="Male","Male","Other"))</f>
        <v>Female</v>
      </c>
      <c r="E253" t="s">
        <v>29</v>
      </c>
      <c r="F253" t="s">
        <v>44</v>
      </c>
      <c r="G253" t="s">
        <v>31</v>
      </c>
      <c r="H253" t="s">
        <v>32</v>
      </c>
      <c r="I253" t="s">
        <v>44</v>
      </c>
      <c r="J253" t="str">
        <f>PROPER(TRIM(CLEAN(tbl_Original[[#This Row],[Column1]])))</f>
        <v>Valongo</v>
      </c>
      <c r="K253" t="s">
        <v>590</v>
      </c>
      <c r="L253" t="s">
        <v>590</v>
      </c>
      <c r="M253" t="s">
        <v>90</v>
      </c>
      <c r="N253" s="1">
        <v>393.78</v>
      </c>
      <c r="O253">
        <v>6</v>
      </c>
      <c r="P253" t="s">
        <v>78</v>
      </c>
      <c r="Q253">
        <v>3</v>
      </c>
      <c r="R253">
        <v>4</v>
      </c>
      <c r="S253">
        <v>1</v>
      </c>
      <c r="T253" t="s">
        <v>49</v>
      </c>
      <c r="U253" t="s">
        <v>85</v>
      </c>
      <c r="V253">
        <v>0</v>
      </c>
      <c r="W253">
        <v>5</v>
      </c>
      <c r="X253" t="s">
        <v>59</v>
      </c>
      <c r="Y253" t="s">
        <v>38</v>
      </c>
      <c r="Z253" t="s">
        <v>66</v>
      </c>
      <c r="AA253" s="2">
        <v>45376</v>
      </c>
      <c r="AB253" t="b">
        <v>1</v>
      </c>
      <c r="AC253" t="b">
        <v>0</v>
      </c>
      <c r="AD253" t="s">
        <v>40</v>
      </c>
      <c r="AE253" t="s">
        <v>41</v>
      </c>
      <c r="AF253">
        <v>14</v>
      </c>
    </row>
    <row r="254" spans="1:32" x14ac:dyDescent="0.25">
      <c r="A254" t="s">
        <v>591</v>
      </c>
      <c r="B254">
        <v>252</v>
      </c>
      <c r="C254">
        <v>27</v>
      </c>
      <c r="D254" t="str">
        <f>IF(tbl_Original[[#This Row],[Gender2]]="Female","Female",IF(tbl_Original[[#This Row],[Gender2]]="Male","Male","Other"))</f>
        <v>Female</v>
      </c>
      <c r="E254" t="s">
        <v>29</v>
      </c>
      <c r="F254" t="s">
        <v>44</v>
      </c>
      <c r="G254" t="s">
        <v>69</v>
      </c>
      <c r="H254" t="s">
        <v>56</v>
      </c>
      <c r="I254" t="s">
        <v>44</v>
      </c>
      <c r="J254" t="str">
        <f>PROPER(TRIM(CLEAN(tbl_Original[[#This Row],[Column1]])))</f>
        <v>Al Khnkah</v>
      </c>
      <c r="K254" t="s">
        <v>2137</v>
      </c>
      <c r="L254" t="s">
        <v>592</v>
      </c>
      <c r="M254" t="s">
        <v>183</v>
      </c>
      <c r="N254" s="1">
        <v>245.04</v>
      </c>
      <c r="O254">
        <v>4</v>
      </c>
      <c r="P254" t="s">
        <v>78</v>
      </c>
      <c r="Q254">
        <v>3</v>
      </c>
      <c r="R254">
        <v>2</v>
      </c>
      <c r="S254">
        <v>0</v>
      </c>
      <c r="T254" t="s">
        <v>44</v>
      </c>
      <c r="U254" t="s">
        <v>50</v>
      </c>
      <c r="V254">
        <v>2</v>
      </c>
      <c r="W254">
        <v>6</v>
      </c>
      <c r="X254" t="s">
        <v>44</v>
      </c>
      <c r="Y254" t="s">
        <v>38</v>
      </c>
      <c r="Z254" t="s">
        <v>66</v>
      </c>
      <c r="AA254" s="2">
        <v>45629</v>
      </c>
      <c r="AB254" t="b">
        <v>1</v>
      </c>
      <c r="AC254" t="b">
        <v>1</v>
      </c>
      <c r="AD254" t="s">
        <v>40</v>
      </c>
      <c r="AE254" t="s">
        <v>53</v>
      </c>
      <c r="AF254">
        <v>10</v>
      </c>
    </row>
    <row r="255" spans="1:32" x14ac:dyDescent="0.25">
      <c r="A255" t="s">
        <v>593</v>
      </c>
      <c r="B255">
        <v>253</v>
      </c>
      <c r="C255">
        <v>26</v>
      </c>
      <c r="D255" t="str">
        <f>IF(tbl_Original[[#This Row],[Gender2]]="Female","Female",IF(tbl_Original[[#This Row],[Gender2]]="Male","Male","Other"))</f>
        <v>Female</v>
      </c>
      <c r="E255" t="s">
        <v>29</v>
      </c>
      <c r="F255" t="s">
        <v>44</v>
      </c>
      <c r="G255" t="s">
        <v>76</v>
      </c>
      <c r="H255" t="s">
        <v>56</v>
      </c>
      <c r="I255" t="s">
        <v>30</v>
      </c>
      <c r="J255" t="str">
        <f>PROPER(TRIM(CLEAN(tbl_Original[[#This Row],[Column1]])))</f>
        <v>Mrtola</v>
      </c>
      <c r="K255" t="s">
        <v>2169</v>
      </c>
      <c r="L255" t="s">
        <v>594</v>
      </c>
      <c r="M255" t="s">
        <v>188</v>
      </c>
      <c r="N255" s="1">
        <v>111.27</v>
      </c>
      <c r="O255">
        <v>3</v>
      </c>
      <c r="P255" t="s">
        <v>78</v>
      </c>
      <c r="Q255">
        <v>1</v>
      </c>
      <c r="R255">
        <v>3</v>
      </c>
      <c r="S255">
        <v>1</v>
      </c>
      <c r="T255" t="s">
        <v>44</v>
      </c>
      <c r="U255" t="s">
        <v>85</v>
      </c>
      <c r="V255">
        <v>2</v>
      </c>
      <c r="W255">
        <v>10</v>
      </c>
      <c r="X255" t="s">
        <v>36</v>
      </c>
      <c r="Y255" t="s">
        <v>60</v>
      </c>
      <c r="Z255" t="s">
        <v>51</v>
      </c>
      <c r="AA255" s="2">
        <v>45425</v>
      </c>
      <c r="AB255" t="b">
        <v>0</v>
      </c>
      <c r="AC255" t="b">
        <v>0</v>
      </c>
      <c r="AD255" t="s">
        <v>62</v>
      </c>
      <c r="AE255" t="s">
        <v>41</v>
      </c>
      <c r="AF255">
        <v>12</v>
      </c>
    </row>
    <row r="256" spans="1:32" x14ac:dyDescent="0.25">
      <c r="A256" t="s">
        <v>595</v>
      </c>
      <c r="B256">
        <v>254</v>
      </c>
      <c r="C256">
        <v>26</v>
      </c>
      <c r="D256" t="str">
        <f>IF(tbl_Original[[#This Row],[Gender2]]="Female","Female",IF(tbl_Original[[#This Row],[Gender2]]="Male","Male","Other"))</f>
        <v>Female</v>
      </c>
      <c r="E256" t="s">
        <v>29</v>
      </c>
      <c r="F256" t="s">
        <v>44</v>
      </c>
      <c r="G256" t="s">
        <v>55</v>
      </c>
      <c r="H256" t="s">
        <v>32</v>
      </c>
      <c r="I256" t="s">
        <v>30</v>
      </c>
      <c r="J256" t="str">
        <f>PROPER(TRIM(CLEAN(tbl_Original[[#This Row],[Column1]])))</f>
        <v>Rates</v>
      </c>
      <c r="K256" t="s">
        <v>596</v>
      </c>
      <c r="L256" t="s">
        <v>596</v>
      </c>
      <c r="M256" t="s">
        <v>123</v>
      </c>
      <c r="N256" s="1">
        <v>93.29</v>
      </c>
      <c r="O256">
        <v>11</v>
      </c>
      <c r="P256" t="s">
        <v>78</v>
      </c>
      <c r="Q256">
        <v>2</v>
      </c>
      <c r="R256">
        <v>2</v>
      </c>
      <c r="S256">
        <v>0</v>
      </c>
      <c r="T256" t="s">
        <v>44</v>
      </c>
      <c r="U256" t="s">
        <v>85</v>
      </c>
      <c r="V256">
        <v>0</v>
      </c>
      <c r="W256">
        <v>7</v>
      </c>
      <c r="X256" t="s">
        <v>59</v>
      </c>
      <c r="Y256" t="s">
        <v>38</v>
      </c>
      <c r="Z256" t="s">
        <v>66</v>
      </c>
      <c r="AA256" s="2">
        <v>45498</v>
      </c>
      <c r="AB256" t="b">
        <v>1</v>
      </c>
      <c r="AC256" t="b">
        <v>0</v>
      </c>
      <c r="AD256" t="s">
        <v>62</v>
      </c>
      <c r="AE256" t="s">
        <v>41</v>
      </c>
      <c r="AF256">
        <v>9</v>
      </c>
    </row>
    <row r="257" spans="1:32" x14ac:dyDescent="0.25">
      <c r="A257" t="s">
        <v>597</v>
      </c>
      <c r="B257">
        <v>255</v>
      </c>
      <c r="C257">
        <v>27</v>
      </c>
      <c r="D257" t="str">
        <f>IF(tbl_Original[[#This Row],[Gender2]]="Female","Female",IF(tbl_Original[[#This Row],[Gender2]]="Male","Male","Other"))</f>
        <v>Female</v>
      </c>
      <c r="E257" t="s">
        <v>29</v>
      </c>
      <c r="F257" t="s">
        <v>44</v>
      </c>
      <c r="G257" t="s">
        <v>31</v>
      </c>
      <c r="H257" t="s">
        <v>45</v>
      </c>
      <c r="I257" t="s">
        <v>30</v>
      </c>
      <c r="J257" t="str">
        <f>PROPER(TRIM(CLEAN(tbl_Original[[#This Row],[Column1]])))</f>
        <v>Anyang</v>
      </c>
      <c r="K257" t="s">
        <v>598</v>
      </c>
      <c r="L257" t="s">
        <v>598</v>
      </c>
      <c r="M257" t="s">
        <v>107</v>
      </c>
      <c r="N257" s="1">
        <v>156.5</v>
      </c>
      <c r="O257">
        <v>5</v>
      </c>
      <c r="P257" t="s">
        <v>35</v>
      </c>
      <c r="Q257">
        <v>1</v>
      </c>
      <c r="R257">
        <v>1</v>
      </c>
      <c r="S257">
        <v>1</v>
      </c>
      <c r="T257" t="s">
        <v>44</v>
      </c>
      <c r="U257" t="s">
        <v>85</v>
      </c>
      <c r="V257">
        <v>0</v>
      </c>
      <c r="W257">
        <v>3</v>
      </c>
      <c r="X257" t="s">
        <v>44</v>
      </c>
      <c r="Y257" t="s">
        <v>79</v>
      </c>
      <c r="Z257" t="s">
        <v>66</v>
      </c>
      <c r="AA257" s="2">
        <v>45301</v>
      </c>
      <c r="AB257" t="b">
        <v>1</v>
      </c>
      <c r="AC257" t="b">
        <v>0</v>
      </c>
      <c r="AD257" t="s">
        <v>52</v>
      </c>
      <c r="AE257" t="s">
        <v>53</v>
      </c>
      <c r="AF257">
        <v>14</v>
      </c>
    </row>
    <row r="258" spans="1:32" x14ac:dyDescent="0.25">
      <c r="A258" t="s">
        <v>599</v>
      </c>
      <c r="B258">
        <v>256</v>
      </c>
      <c r="C258">
        <v>37</v>
      </c>
      <c r="D258" t="str">
        <f>IF(tbl_Original[[#This Row],[Gender2]]="Female","Female",IF(tbl_Original[[#This Row],[Gender2]]="Male","Male","Other"))</f>
        <v>Male</v>
      </c>
      <c r="E258" t="s">
        <v>43</v>
      </c>
      <c r="F258" t="s">
        <v>30</v>
      </c>
      <c r="G258" t="s">
        <v>55</v>
      </c>
      <c r="H258" t="s">
        <v>56</v>
      </c>
      <c r="I258" t="s">
        <v>30</v>
      </c>
      <c r="J258" t="str">
        <f>PROPER(TRIM(CLEAN(tbl_Original[[#This Row],[Column1]])))</f>
        <v>Nymburk</v>
      </c>
      <c r="K258" t="s">
        <v>600</v>
      </c>
      <c r="L258" t="s">
        <v>600</v>
      </c>
      <c r="M258" t="s">
        <v>114</v>
      </c>
      <c r="N258" s="1">
        <v>290.11</v>
      </c>
      <c r="O258">
        <v>8</v>
      </c>
      <c r="P258" t="s">
        <v>35</v>
      </c>
      <c r="Q258">
        <v>4</v>
      </c>
      <c r="R258">
        <v>4</v>
      </c>
      <c r="S258">
        <v>1</v>
      </c>
      <c r="T258" t="s">
        <v>49</v>
      </c>
      <c r="U258" t="s">
        <v>85</v>
      </c>
      <c r="V258">
        <v>1</v>
      </c>
      <c r="W258">
        <v>4</v>
      </c>
      <c r="X258" t="s">
        <v>49</v>
      </c>
      <c r="Y258" t="s">
        <v>60</v>
      </c>
      <c r="Z258" t="s">
        <v>51</v>
      </c>
      <c r="AA258" s="2">
        <v>45595</v>
      </c>
      <c r="AB258" t="b">
        <v>0</v>
      </c>
      <c r="AC258" t="b">
        <v>0</v>
      </c>
      <c r="AD258" t="s">
        <v>62</v>
      </c>
      <c r="AE258" t="s">
        <v>41</v>
      </c>
      <c r="AF258">
        <v>14</v>
      </c>
    </row>
    <row r="259" spans="1:32" x14ac:dyDescent="0.25">
      <c r="A259" t="s">
        <v>601</v>
      </c>
      <c r="B259">
        <v>257</v>
      </c>
      <c r="C259">
        <v>23</v>
      </c>
      <c r="D259" t="str">
        <f>IF(tbl_Original[[#This Row],[Gender2]]="Female","Female",IF(tbl_Original[[#This Row],[Gender2]]="Male","Male","Other"))</f>
        <v>Female</v>
      </c>
      <c r="E259" t="s">
        <v>29</v>
      </c>
      <c r="F259" t="s">
        <v>30</v>
      </c>
      <c r="G259" t="s">
        <v>55</v>
      </c>
      <c r="H259" t="s">
        <v>32</v>
      </c>
      <c r="I259" t="s">
        <v>30</v>
      </c>
      <c r="J259" t="str">
        <f>PROPER(TRIM(CLEAN(tbl_Original[[#This Row],[Column1]])))</f>
        <v>Jiangcun</v>
      </c>
      <c r="K259" t="s">
        <v>289</v>
      </c>
      <c r="L259" t="s">
        <v>289</v>
      </c>
      <c r="M259" t="s">
        <v>120</v>
      </c>
      <c r="N259" s="1">
        <v>355.28</v>
      </c>
      <c r="O259">
        <v>3</v>
      </c>
      <c r="P259" t="s">
        <v>35</v>
      </c>
      <c r="Q259">
        <v>5</v>
      </c>
      <c r="R259">
        <v>5</v>
      </c>
      <c r="S259">
        <v>0</v>
      </c>
      <c r="T259" t="s">
        <v>59</v>
      </c>
      <c r="U259" t="s">
        <v>85</v>
      </c>
      <c r="V259">
        <v>1</v>
      </c>
      <c r="W259">
        <v>4</v>
      </c>
      <c r="X259" t="s">
        <v>59</v>
      </c>
      <c r="Y259" t="s">
        <v>60</v>
      </c>
      <c r="Z259" t="s">
        <v>39</v>
      </c>
      <c r="AA259" s="2">
        <v>45552</v>
      </c>
      <c r="AB259" t="b">
        <v>1</v>
      </c>
      <c r="AC259" t="b">
        <v>1</v>
      </c>
      <c r="AD259" t="s">
        <v>74</v>
      </c>
      <c r="AE259" t="s">
        <v>41</v>
      </c>
      <c r="AF259">
        <v>5</v>
      </c>
    </row>
    <row r="260" spans="1:32" x14ac:dyDescent="0.25">
      <c r="A260" t="s">
        <v>602</v>
      </c>
      <c r="B260">
        <v>258</v>
      </c>
      <c r="C260">
        <v>31</v>
      </c>
      <c r="D260" t="str">
        <f>IF(tbl_Original[[#This Row],[Gender2]]="Female","Female",IF(tbl_Original[[#This Row],[Gender2]]="Male","Male","Other"))</f>
        <v>Other</v>
      </c>
      <c r="E260" t="s">
        <v>88</v>
      </c>
      <c r="F260" t="s">
        <v>30</v>
      </c>
      <c r="G260" t="s">
        <v>55</v>
      </c>
      <c r="H260" t="s">
        <v>32</v>
      </c>
      <c r="I260" t="s">
        <v>44</v>
      </c>
      <c r="J260" t="str">
        <f>PROPER(TRIM(CLEAN(tbl_Original[[#This Row],[Column1]])))</f>
        <v>Tafo</v>
      </c>
      <c r="K260" t="s">
        <v>603</v>
      </c>
      <c r="L260" t="s">
        <v>603</v>
      </c>
      <c r="M260" t="s">
        <v>34</v>
      </c>
      <c r="N260" s="1">
        <v>73.739999999999995</v>
      </c>
      <c r="O260">
        <v>7</v>
      </c>
      <c r="P260" t="s">
        <v>78</v>
      </c>
      <c r="Q260">
        <v>4</v>
      </c>
      <c r="R260">
        <v>2</v>
      </c>
      <c r="S260">
        <v>0.3</v>
      </c>
      <c r="T260" t="s">
        <v>44</v>
      </c>
      <c r="U260" t="s">
        <v>50</v>
      </c>
      <c r="V260">
        <v>1</v>
      </c>
      <c r="W260">
        <v>3</v>
      </c>
      <c r="X260" t="s">
        <v>49</v>
      </c>
      <c r="Y260" t="s">
        <v>60</v>
      </c>
      <c r="Z260" t="s">
        <v>66</v>
      </c>
      <c r="AA260" s="2">
        <v>45521</v>
      </c>
      <c r="AB260" t="b">
        <v>0</v>
      </c>
      <c r="AC260" t="b">
        <v>0</v>
      </c>
      <c r="AD260" t="s">
        <v>52</v>
      </c>
      <c r="AE260" t="s">
        <v>53</v>
      </c>
      <c r="AF260">
        <v>13</v>
      </c>
    </row>
    <row r="261" spans="1:32" x14ac:dyDescent="0.25">
      <c r="A261" t="s">
        <v>604</v>
      </c>
      <c r="B261">
        <v>259</v>
      </c>
      <c r="C261">
        <v>21</v>
      </c>
      <c r="D261" t="str">
        <f>IF(tbl_Original[[#This Row],[Gender2]]="Female","Female",IF(tbl_Original[[#This Row],[Gender2]]="Male","Male","Other"))</f>
        <v>Female</v>
      </c>
      <c r="E261" t="s">
        <v>29</v>
      </c>
      <c r="F261" t="s">
        <v>30</v>
      </c>
      <c r="G261" t="s">
        <v>69</v>
      </c>
      <c r="H261" t="s">
        <v>56</v>
      </c>
      <c r="I261" t="s">
        <v>30</v>
      </c>
      <c r="J261" t="str">
        <f>PROPER(TRIM(CLEAN(tbl_Original[[#This Row],[Column1]])))</f>
        <v>Cibaregbeg</v>
      </c>
      <c r="K261" t="s">
        <v>605</v>
      </c>
      <c r="L261" t="s">
        <v>605</v>
      </c>
      <c r="M261" t="s">
        <v>90</v>
      </c>
      <c r="N261" s="1">
        <v>170.35</v>
      </c>
      <c r="O261">
        <v>10</v>
      </c>
      <c r="P261" t="s">
        <v>48</v>
      </c>
      <c r="Q261">
        <v>2</v>
      </c>
      <c r="R261">
        <v>1</v>
      </c>
      <c r="S261">
        <v>1</v>
      </c>
      <c r="T261" t="s">
        <v>49</v>
      </c>
      <c r="U261" t="s">
        <v>85</v>
      </c>
      <c r="V261">
        <v>1</v>
      </c>
      <c r="W261">
        <v>10</v>
      </c>
      <c r="X261" t="s">
        <v>59</v>
      </c>
      <c r="Y261" t="s">
        <v>79</v>
      </c>
      <c r="Z261" t="s">
        <v>86</v>
      </c>
      <c r="AA261" s="2">
        <v>45446</v>
      </c>
      <c r="AB261" t="b">
        <v>1</v>
      </c>
      <c r="AC261" t="b">
        <v>1</v>
      </c>
      <c r="AD261" t="s">
        <v>40</v>
      </c>
      <c r="AE261" t="s">
        <v>53</v>
      </c>
      <c r="AF261">
        <v>1</v>
      </c>
    </row>
    <row r="262" spans="1:32" x14ac:dyDescent="0.25">
      <c r="A262" t="s">
        <v>606</v>
      </c>
      <c r="B262">
        <v>260</v>
      </c>
      <c r="C262">
        <v>36</v>
      </c>
      <c r="D262" t="str">
        <f>IF(tbl_Original[[#This Row],[Gender2]]="Female","Female",IF(tbl_Original[[#This Row],[Gender2]]="Male","Male","Other"))</f>
        <v>Female</v>
      </c>
      <c r="E262" t="s">
        <v>29</v>
      </c>
      <c r="F262" t="s">
        <v>44</v>
      </c>
      <c r="G262" t="s">
        <v>55</v>
      </c>
      <c r="H262" t="s">
        <v>56</v>
      </c>
      <c r="I262" t="s">
        <v>30</v>
      </c>
      <c r="J262" t="str">
        <f>PROPER(TRIM(CLEAN(tbl_Original[[#This Row],[Column1]])))</f>
        <v>Wang Yang</v>
      </c>
      <c r="K262" t="s">
        <v>607</v>
      </c>
      <c r="L262" t="s">
        <v>607</v>
      </c>
      <c r="M262" t="s">
        <v>65</v>
      </c>
      <c r="N262" s="1">
        <v>123.7</v>
      </c>
      <c r="O262">
        <v>6</v>
      </c>
      <c r="P262" t="s">
        <v>78</v>
      </c>
      <c r="Q262">
        <v>2</v>
      </c>
      <c r="R262">
        <v>5</v>
      </c>
      <c r="S262">
        <v>0</v>
      </c>
      <c r="T262" t="s">
        <v>44</v>
      </c>
      <c r="U262" t="s">
        <v>85</v>
      </c>
      <c r="V262">
        <v>1</v>
      </c>
      <c r="W262">
        <v>5</v>
      </c>
      <c r="X262" t="s">
        <v>36</v>
      </c>
      <c r="Y262" t="s">
        <v>60</v>
      </c>
      <c r="Z262" t="s">
        <v>66</v>
      </c>
      <c r="AA262" s="2">
        <v>45501</v>
      </c>
      <c r="AB262" t="b">
        <v>0</v>
      </c>
      <c r="AC262" t="b">
        <v>0</v>
      </c>
      <c r="AD262" t="s">
        <v>62</v>
      </c>
      <c r="AE262" t="s">
        <v>67</v>
      </c>
      <c r="AF262">
        <v>2</v>
      </c>
    </row>
    <row r="263" spans="1:32" x14ac:dyDescent="0.25">
      <c r="A263" t="s">
        <v>608</v>
      </c>
      <c r="B263">
        <v>261</v>
      </c>
      <c r="C263">
        <v>21</v>
      </c>
      <c r="D263" t="str">
        <f>IF(tbl_Original[[#This Row],[Gender2]]="Female","Female",IF(tbl_Original[[#This Row],[Gender2]]="Male","Male","Other"))</f>
        <v>Female</v>
      </c>
      <c r="E263" t="s">
        <v>29</v>
      </c>
      <c r="F263" t="s">
        <v>30</v>
      </c>
      <c r="G263" t="s">
        <v>55</v>
      </c>
      <c r="H263" t="s">
        <v>56</v>
      </c>
      <c r="I263" t="s">
        <v>44</v>
      </c>
      <c r="J263" t="str">
        <f>PROPER(TRIM(CLEAN(tbl_Original[[#This Row],[Column1]])))</f>
        <v>Liangnong</v>
      </c>
      <c r="K263" t="s">
        <v>609</v>
      </c>
      <c r="L263" t="s">
        <v>609</v>
      </c>
      <c r="M263" t="s">
        <v>34</v>
      </c>
      <c r="N263" s="1">
        <v>201.6</v>
      </c>
      <c r="O263">
        <v>9</v>
      </c>
      <c r="P263" t="s">
        <v>48</v>
      </c>
      <c r="Q263">
        <v>1</v>
      </c>
      <c r="R263">
        <v>4</v>
      </c>
      <c r="S263">
        <v>2</v>
      </c>
      <c r="T263" t="s">
        <v>49</v>
      </c>
      <c r="U263" t="s">
        <v>85</v>
      </c>
      <c r="V263">
        <v>1</v>
      </c>
      <c r="W263">
        <v>4</v>
      </c>
      <c r="X263" t="s">
        <v>44</v>
      </c>
      <c r="Y263" t="s">
        <v>60</v>
      </c>
      <c r="Z263" t="s">
        <v>51</v>
      </c>
      <c r="AA263" s="2">
        <v>45589</v>
      </c>
      <c r="AB263" t="b">
        <v>0</v>
      </c>
      <c r="AC263" t="b">
        <v>0</v>
      </c>
      <c r="AD263" t="s">
        <v>62</v>
      </c>
      <c r="AE263" t="s">
        <v>67</v>
      </c>
      <c r="AF263">
        <v>14</v>
      </c>
    </row>
    <row r="264" spans="1:32" x14ac:dyDescent="0.25">
      <c r="A264" t="s">
        <v>610</v>
      </c>
      <c r="B264">
        <v>262</v>
      </c>
      <c r="C264">
        <v>27</v>
      </c>
      <c r="D264" t="str">
        <f>IF(tbl_Original[[#This Row],[Gender2]]="Female","Female",IF(tbl_Original[[#This Row],[Gender2]]="Male","Male","Other"))</f>
        <v>Female</v>
      </c>
      <c r="E264" t="s">
        <v>29</v>
      </c>
      <c r="F264" t="s">
        <v>30</v>
      </c>
      <c r="G264" t="s">
        <v>55</v>
      </c>
      <c r="H264" t="s">
        <v>56</v>
      </c>
      <c r="I264" t="s">
        <v>44</v>
      </c>
      <c r="J264" t="str">
        <f>PROPER(TRIM(CLEAN(tbl_Original[[#This Row],[Column1]])))</f>
        <v>Hengshi</v>
      </c>
      <c r="K264" t="s">
        <v>611</v>
      </c>
      <c r="L264" t="s">
        <v>611</v>
      </c>
      <c r="M264" t="s">
        <v>71</v>
      </c>
      <c r="N264" s="1">
        <v>116.14</v>
      </c>
      <c r="O264">
        <v>11</v>
      </c>
      <c r="P264" t="s">
        <v>35</v>
      </c>
      <c r="Q264">
        <v>1</v>
      </c>
      <c r="R264">
        <v>4</v>
      </c>
      <c r="S264">
        <v>1</v>
      </c>
      <c r="T264" t="s">
        <v>44</v>
      </c>
      <c r="U264" t="s">
        <v>37</v>
      </c>
      <c r="V264">
        <v>0</v>
      </c>
      <c r="W264">
        <v>8</v>
      </c>
      <c r="X264" t="s">
        <v>49</v>
      </c>
      <c r="Y264" t="s">
        <v>79</v>
      </c>
      <c r="Z264" t="s">
        <v>39</v>
      </c>
      <c r="AA264" s="2">
        <v>45383</v>
      </c>
      <c r="AB264" t="b">
        <v>0</v>
      </c>
      <c r="AC264" t="b">
        <v>1</v>
      </c>
      <c r="AD264" t="s">
        <v>52</v>
      </c>
      <c r="AE264" t="s">
        <v>67</v>
      </c>
      <c r="AF264">
        <v>14</v>
      </c>
    </row>
    <row r="265" spans="1:32" x14ac:dyDescent="0.25">
      <c r="A265" t="s">
        <v>612</v>
      </c>
      <c r="B265">
        <v>263</v>
      </c>
      <c r="C265">
        <v>29</v>
      </c>
      <c r="D265" t="str">
        <f>IF(tbl_Original[[#This Row],[Gender2]]="Female","Female",IF(tbl_Original[[#This Row],[Gender2]]="Male","Male","Other"))</f>
        <v>Female</v>
      </c>
      <c r="E265" t="s">
        <v>29</v>
      </c>
      <c r="F265" t="s">
        <v>30</v>
      </c>
      <c r="G265" t="s">
        <v>55</v>
      </c>
      <c r="H265" t="s">
        <v>56</v>
      </c>
      <c r="I265" t="s">
        <v>44</v>
      </c>
      <c r="J265" t="str">
        <f>PROPER(TRIM(CLEAN(tbl_Original[[#This Row],[Column1]])))</f>
        <v>Kandangan</v>
      </c>
      <c r="K265" t="s">
        <v>613</v>
      </c>
      <c r="L265" t="s">
        <v>613</v>
      </c>
      <c r="M265" t="s">
        <v>246</v>
      </c>
      <c r="N265" s="1">
        <v>483.38</v>
      </c>
      <c r="O265">
        <v>9</v>
      </c>
      <c r="P265" t="s">
        <v>78</v>
      </c>
      <c r="Q265">
        <v>2</v>
      </c>
      <c r="R265">
        <v>1</v>
      </c>
      <c r="S265">
        <v>0</v>
      </c>
      <c r="T265" t="s">
        <v>44</v>
      </c>
      <c r="U265" t="s">
        <v>37</v>
      </c>
      <c r="V265">
        <v>2</v>
      </c>
      <c r="W265">
        <v>3</v>
      </c>
      <c r="X265" t="s">
        <v>44</v>
      </c>
      <c r="Y265" t="s">
        <v>79</v>
      </c>
      <c r="Z265" t="s">
        <v>66</v>
      </c>
      <c r="AA265" s="2">
        <v>45452</v>
      </c>
      <c r="AB265" t="b">
        <v>0</v>
      </c>
      <c r="AC265" t="b">
        <v>1</v>
      </c>
      <c r="AD265" t="s">
        <v>40</v>
      </c>
      <c r="AE265" t="s">
        <v>53</v>
      </c>
      <c r="AF265">
        <v>8</v>
      </c>
    </row>
    <row r="266" spans="1:32" x14ac:dyDescent="0.25">
      <c r="A266" t="s">
        <v>614</v>
      </c>
      <c r="B266">
        <v>264</v>
      </c>
      <c r="C266">
        <v>24</v>
      </c>
      <c r="D266" t="str">
        <f>IF(tbl_Original[[#This Row],[Gender2]]="Female","Female",IF(tbl_Original[[#This Row],[Gender2]]="Male","Male","Other"))</f>
        <v>Male</v>
      </c>
      <c r="E266" t="s">
        <v>43</v>
      </c>
      <c r="F266" t="s">
        <v>30</v>
      </c>
      <c r="G266" t="s">
        <v>55</v>
      </c>
      <c r="H266" t="s">
        <v>45</v>
      </c>
      <c r="I266" t="s">
        <v>30</v>
      </c>
      <c r="J266" t="str">
        <f>PROPER(TRIM(CLEAN(tbl_Original[[#This Row],[Column1]])))</f>
        <v>Naranjal</v>
      </c>
      <c r="K266" t="s">
        <v>615</v>
      </c>
      <c r="L266" t="s">
        <v>615</v>
      </c>
      <c r="M266" t="s">
        <v>142</v>
      </c>
      <c r="N266" s="1">
        <v>418.62</v>
      </c>
      <c r="O266">
        <v>9</v>
      </c>
      <c r="P266" t="s">
        <v>48</v>
      </c>
      <c r="Q266">
        <v>1</v>
      </c>
      <c r="R266">
        <v>2</v>
      </c>
      <c r="S266">
        <v>0</v>
      </c>
      <c r="T266" t="s">
        <v>59</v>
      </c>
      <c r="U266" t="s">
        <v>50</v>
      </c>
      <c r="V266">
        <v>0</v>
      </c>
      <c r="W266">
        <v>9</v>
      </c>
      <c r="X266" t="s">
        <v>36</v>
      </c>
      <c r="Y266" t="s">
        <v>60</v>
      </c>
      <c r="Z266" t="s">
        <v>66</v>
      </c>
      <c r="AA266" s="2">
        <v>45610</v>
      </c>
      <c r="AB266" t="b">
        <v>1</v>
      </c>
      <c r="AC266" t="b">
        <v>0</v>
      </c>
      <c r="AD266" t="s">
        <v>40</v>
      </c>
      <c r="AE266" t="s">
        <v>53</v>
      </c>
      <c r="AF266">
        <v>11</v>
      </c>
    </row>
    <row r="267" spans="1:32" x14ac:dyDescent="0.25">
      <c r="A267" t="s">
        <v>616</v>
      </c>
      <c r="B267">
        <v>265</v>
      </c>
      <c r="C267">
        <v>33</v>
      </c>
      <c r="D267" t="str">
        <f>IF(tbl_Original[[#This Row],[Gender2]]="Female","Female",IF(tbl_Original[[#This Row],[Gender2]]="Male","Male","Other"))</f>
        <v>Female</v>
      </c>
      <c r="E267" t="s">
        <v>29</v>
      </c>
      <c r="F267" t="s">
        <v>30</v>
      </c>
      <c r="G267" t="s">
        <v>76</v>
      </c>
      <c r="H267" t="s">
        <v>32</v>
      </c>
      <c r="I267" t="s">
        <v>30</v>
      </c>
      <c r="J267" t="str">
        <f>PROPER(TRIM(CLEAN(tbl_Original[[#This Row],[Column1]])))</f>
        <v>Abiko</v>
      </c>
      <c r="K267" t="s">
        <v>617</v>
      </c>
      <c r="L267" t="s">
        <v>617</v>
      </c>
      <c r="M267" t="s">
        <v>82</v>
      </c>
      <c r="N267" s="1">
        <v>139.83000000000001</v>
      </c>
      <c r="O267">
        <v>12</v>
      </c>
      <c r="P267" t="s">
        <v>78</v>
      </c>
      <c r="Q267">
        <v>2</v>
      </c>
      <c r="R267">
        <v>4</v>
      </c>
      <c r="S267">
        <v>2</v>
      </c>
      <c r="T267" t="s">
        <v>36</v>
      </c>
      <c r="U267" t="s">
        <v>50</v>
      </c>
      <c r="V267">
        <v>0</v>
      </c>
      <c r="W267">
        <v>1</v>
      </c>
      <c r="X267" t="s">
        <v>36</v>
      </c>
      <c r="Y267" t="s">
        <v>38</v>
      </c>
      <c r="Z267" t="s">
        <v>86</v>
      </c>
      <c r="AA267" s="2">
        <v>45573</v>
      </c>
      <c r="AB267" t="b">
        <v>0</v>
      </c>
      <c r="AC267" t="b">
        <v>0</v>
      </c>
      <c r="AD267" t="s">
        <v>62</v>
      </c>
      <c r="AE267" t="s">
        <v>67</v>
      </c>
      <c r="AF267">
        <v>10</v>
      </c>
    </row>
    <row r="268" spans="1:32" x14ac:dyDescent="0.25">
      <c r="A268" t="s">
        <v>618</v>
      </c>
      <c r="B268">
        <v>266</v>
      </c>
      <c r="C268">
        <v>38</v>
      </c>
      <c r="D268" t="str">
        <f>IF(tbl_Original[[#This Row],[Gender2]]="Female","Female",IF(tbl_Original[[#This Row],[Gender2]]="Male","Male","Other"))</f>
        <v>Female</v>
      </c>
      <c r="E268" t="s">
        <v>29</v>
      </c>
      <c r="F268" t="s">
        <v>44</v>
      </c>
      <c r="G268" t="s">
        <v>31</v>
      </c>
      <c r="H268" t="s">
        <v>56</v>
      </c>
      <c r="I268" t="s">
        <v>30</v>
      </c>
      <c r="J268" t="str">
        <f>PROPER(TRIM(CLEAN(tbl_Original[[#This Row],[Column1]])))</f>
        <v>Longhuashan</v>
      </c>
      <c r="K268" t="s">
        <v>619</v>
      </c>
      <c r="L268" t="s">
        <v>619</v>
      </c>
      <c r="M268" t="s">
        <v>135</v>
      </c>
      <c r="N268" s="1">
        <v>54.17</v>
      </c>
      <c r="O268">
        <v>4</v>
      </c>
      <c r="P268" t="s">
        <v>35</v>
      </c>
      <c r="Q268">
        <v>4</v>
      </c>
      <c r="R268">
        <v>5</v>
      </c>
      <c r="S268">
        <v>0</v>
      </c>
      <c r="T268" t="s">
        <v>49</v>
      </c>
      <c r="U268" t="s">
        <v>37</v>
      </c>
      <c r="V268">
        <v>2</v>
      </c>
      <c r="W268">
        <v>2</v>
      </c>
      <c r="X268" t="s">
        <v>49</v>
      </c>
      <c r="Y268" t="s">
        <v>79</v>
      </c>
      <c r="Z268" t="s">
        <v>39</v>
      </c>
      <c r="AA268" s="2">
        <v>45302</v>
      </c>
      <c r="AB268" t="b">
        <v>0</v>
      </c>
      <c r="AC268" t="b">
        <v>1</v>
      </c>
      <c r="AD268" t="s">
        <v>74</v>
      </c>
      <c r="AE268" t="s">
        <v>41</v>
      </c>
      <c r="AF268">
        <v>7</v>
      </c>
    </row>
    <row r="269" spans="1:32" x14ac:dyDescent="0.25">
      <c r="A269" t="s">
        <v>620</v>
      </c>
      <c r="B269">
        <v>267</v>
      </c>
      <c r="C269">
        <v>47</v>
      </c>
      <c r="D269" t="str">
        <f>IF(tbl_Original[[#This Row],[Gender2]]="Female","Female",IF(tbl_Original[[#This Row],[Gender2]]="Male","Male","Other"))</f>
        <v>Male</v>
      </c>
      <c r="E269" t="s">
        <v>43</v>
      </c>
      <c r="F269" t="s">
        <v>44</v>
      </c>
      <c r="G269" t="s">
        <v>76</v>
      </c>
      <c r="H269" t="s">
        <v>56</v>
      </c>
      <c r="I269" t="s">
        <v>44</v>
      </c>
      <c r="J269" t="str">
        <f>PROPER(TRIM(CLEAN(tbl_Original[[#This Row],[Column1]])))</f>
        <v>Zhovkva</v>
      </c>
      <c r="K269" t="s">
        <v>621</v>
      </c>
      <c r="L269" t="s">
        <v>621</v>
      </c>
      <c r="M269" t="s">
        <v>246</v>
      </c>
      <c r="N269" s="1">
        <v>437.59</v>
      </c>
      <c r="O269">
        <v>10</v>
      </c>
      <c r="P269" t="s">
        <v>48</v>
      </c>
      <c r="Q269">
        <v>1</v>
      </c>
      <c r="R269">
        <v>4</v>
      </c>
      <c r="S269">
        <v>0</v>
      </c>
      <c r="T269" t="s">
        <v>36</v>
      </c>
      <c r="U269" t="s">
        <v>85</v>
      </c>
      <c r="V269">
        <v>0</v>
      </c>
      <c r="W269">
        <v>4</v>
      </c>
      <c r="X269" t="s">
        <v>44</v>
      </c>
      <c r="Y269" t="s">
        <v>38</v>
      </c>
      <c r="Z269" t="s">
        <v>39</v>
      </c>
      <c r="AA269" s="2">
        <v>45348</v>
      </c>
      <c r="AB269" t="b">
        <v>1</v>
      </c>
      <c r="AC269" t="b">
        <v>1</v>
      </c>
      <c r="AD269" t="s">
        <v>62</v>
      </c>
      <c r="AE269" t="s">
        <v>67</v>
      </c>
      <c r="AF269">
        <v>9</v>
      </c>
    </row>
    <row r="270" spans="1:32" x14ac:dyDescent="0.25">
      <c r="A270" t="s">
        <v>622</v>
      </c>
      <c r="B270">
        <v>268</v>
      </c>
      <c r="C270">
        <v>32</v>
      </c>
      <c r="D270" t="str">
        <f>IF(tbl_Original[[#This Row],[Gender2]]="Female","Female",IF(tbl_Original[[#This Row],[Gender2]]="Male","Male","Other"))</f>
        <v>Male</v>
      </c>
      <c r="E270" t="s">
        <v>43</v>
      </c>
      <c r="F270" t="s">
        <v>30</v>
      </c>
      <c r="G270" t="s">
        <v>69</v>
      </c>
      <c r="H270" t="s">
        <v>32</v>
      </c>
      <c r="I270" t="s">
        <v>44</v>
      </c>
      <c r="J270" t="str">
        <f>PROPER(TRIM(CLEAN(tbl_Original[[#This Row],[Column1]])))</f>
        <v>Lebak</v>
      </c>
      <c r="K270" t="s">
        <v>623</v>
      </c>
      <c r="L270" t="s">
        <v>623</v>
      </c>
      <c r="M270" t="s">
        <v>107</v>
      </c>
      <c r="N270" s="1">
        <v>113.57</v>
      </c>
      <c r="O270">
        <v>5</v>
      </c>
      <c r="P270" t="s">
        <v>78</v>
      </c>
      <c r="Q270">
        <v>4</v>
      </c>
      <c r="R270">
        <v>4</v>
      </c>
      <c r="S270">
        <v>2</v>
      </c>
      <c r="T270" t="s">
        <v>49</v>
      </c>
      <c r="U270" t="s">
        <v>85</v>
      </c>
      <c r="V270">
        <v>1</v>
      </c>
      <c r="W270">
        <v>1</v>
      </c>
      <c r="X270" t="s">
        <v>44</v>
      </c>
      <c r="Y270" t="s">
        <v>38</v>
      </c>
      <c r="Z270" t="s">
        <v>86</v>
      </c>
      <c r="AA270" s="2">
        <v>45597</v>
      </c>
      <c r="AB270" t="b">
        <v>0</v>
      </c>
      <c r="AC270" t="b">
        <v>1</v>
      </c>
      <c r="AD270" t="s">
        <v>52</v>
      </c>
      <c r="AE270" t="s">
        <v>53</v>
      </c>
      <c r="AF270">
        <v>8</v>
      </c>
    </row>
    <row r="271" spans="1:32" x14ac:dyDescent="0.25">
      <c r="A271" t="s">
        <v>624</v>
      </c>
      <c r="B271">
        <v>269</v>
      </c>
      <c r="C271">
        <v>21</v>
      </c>
      <c r="D271" t="str">
        <f>IF(tbl_Original[[#This Row],[Gender2]]="Female","Female",IF(tbl_Original[[#This Row],[Gender2]]="Male","Male","Other"))</f>
        <v>Other</v>
      </c>
      <c r="E271" t="s">
        <v>88</v>
      </c>
      <c r="F271" t="s">
        <v>44</v>
      </c>
      <c r="G271" t="s">
        <v>55</v>
      </c>
      <c r="H271" t="s">
        <v>45</v>
      </c>
      <c r="I271" t="s">
        <v>44</v>
      </c>
      <c r="J271" t="str">
        <f>PROPER(TRIM(CLEAN(tbl_Original[[#This Row],[Column1]])))</f>
        <v>Gereshk</v>
      </c>
      <c r="K271" t="s">
        <v>625</v>
      </c>
      <c r="L271" t="s">
        <v>625</v>
      </c>
      <c r="M271" t="s">
        <v>114</v>
      </c>
      <c r="N271" s="1">
        <v>305.54000000000002</v>
      </c>
      <c r="O271">
        <v>6</v>
      </c>
      <c r="P271" t="s">
        <v>48</v>
      </c>
      <c r="Q271">
        <v>3</v>
      </c>
      <c r="R271">
        <v>5</v>
      </c>
      <c r="S271">
        <v>0</v>
      </c>
      <c r="T271" t="s">
        <v>49</v>
      </c>
      <c r="U271" t="s">
        <v>37</v>
      </c>
      <c r="V271">
        <v>0</v>
      </c>
      <c r="W271">
        <v>5</v>
      </c>
      <c r="X271" t="s">
        <v>49</v>
      </c>
      <c r="Y271" t="s">
        <v>60</v>
      </c>
      <c r="Z271" t="s">
        <v>66</v>
      </c>
      <c r="AA271" s="2">
        <v>45379</v>
      </c>
      <c r="AB271" t="b">
        <v>1</v>
      </c>
      <c r="AC271" t="b">
        <v>0</v>
      </c>
      <c r="AD271" t="s">
        <v>52</v>
      </c>
      <c r="AE271" t="s">
        <v>41</v>
      </c>
      <c r="AF271">
        <v>7</v>
      </c>
    </row>
    <row r="272" spans="1:32" x14ac:dyDescent="0.25">
      <c r="A272" t="s">
        <v>626</v>
      </c>
      <c r="B272">
        <v>270</v>
      </c>
      <c r="C272">
        <v>23</v>
      </c>
      <c r="D272" t="str">
        <f>IF(tbl_Original[[#This Row],[Gender2]]="Female","Female",IF(tbl_Original[[#This Row],[Gender2]]="Male","Male","Other"))</f>
        <v>Female</v>
      </c>
      <c r="E272" t="s">
        <v>29</v>
      </c>
      <c r="F272" t="s">
        <v>44</v>
      </c>
      <c r="G272" t="s">
        <v>76</v>
      </c>
      <c r="H272" t="s">
        <v>45</v>
      </c>
      <c r="I272" t="s">
        <v>44</v>
      </c>
      <c r="J272" t="str">
        <f>PROPER(TRIM(CLEAN(tbl_Original[[#This Row],[Column1]])))</f>
        <v>Yonghe</v>
      </c>
      <c r="K272" t="s">
        <v>627</v>
      </c>
      <c r="L272" t="s">
        <v>627</v>
      </c>
      <c r="M272" t="s">
        <v>47</v>
      </c>
      <c r="N272" s="1">
        <v>339.12</v>
      </c>
      <c r="O272">
        <v>2</v>
      </c>
      <c r="P272" t="s">
        <v>48</v>
      </c>
      <c r="Q272">
        <v>4</v>
      </c>
      <c r="R272">
        <v>4</v>
      </c>
      <c r="S272">
        <v>0</v>
      </c>
      <c r="T272" t="s">
        <v>49</v>
      </c>
      <c r="U272" t="s">
        <v>50</v>
      </c>
      <c r="V272">
        <v>0</v>
      </c>
      <c r="W272">
        <v>5</v>
      </c>
      <c r="X272" t="s">
        <v>59</v>
      </c>
      <c r="Y272" t="s">
        <v>60</v>
      </c>
      <c r="Z272" t="s">
        <v>51</v>
      </c>
      <c r="AA272" s="2">
        <v>45299</v>
      </c>
      <c r="AB272" t="b">
        <v>0</v>
      </c>
      <c r="AC272" t="b">
        <v>0</v>
      </c>
      <c r="AD272" t="s">
        <v>62</v>
      </c>
      <c r="AE272" t="s">
        <v>41</v>
      </c>
      <c r="AF272">
        <v>1</v>
      </c>
    </row>
    <row r="273" spans="1:32" x14ac:dyDescent="0.25">
      <c r="A273" t="s">
        <v>628</v>
      </c>
      <c r="B273">
        <v>271</v>
      </c>
      <c r="C273">
        <v>45</v>
      </c>
      <c r="D273" t="str">
        <f>IF(tbl_Original[[#This Row],[Gender2]]="Female","Female",IF(tbl_Original[[#This Row],[Gender2]]="Male","Male","Other"))</f>
        <v>Other</v>
      </c>
      <c r="E273" t="s">
        <v>190</v>
      </c>
      <c r="F273" t="s">
        <v>30</v>
      </c>
      <c r="G273" t="s">
        <v>76</v>
      </c>
      <c r="H273" t="s">
        <v>32</v>
      </c>
      <c r="I273" t="s">
        <v>44</v>
      </c>
      <c r="J273" t="str">
        <f>PROPER(TRIM(CLEAN(tbl_Original[[#This Row],[Column1]])))</f>
        <v>Dabai</v>
      </c>
      <c r="K273" t="s">
        <v>629</v>
      </c>
      <c r="L273" t="s">
        <v>629</v>
      </c>
      <c r="M273" t="s">
        <v>246</v>
      </c>
      <c r="N273" s="1">
        <v>323.39999999999998</v>
      </c>
      <c r="O273">
        <v>11</v>
      </c>
      <c r="P273" t="s">
        <v>35</v>
      </c>
      <c r="Q273">
        <v>2</v>
      </c>
      <c r="R273">
        <v>3</v>
      </c>
      <c r="S273">
        <v>2</v>
      </c>
      <c r="T273" t="s">
        <v>59</v>
      </c>
      <c r="U273" t="s">
        <v>85</v>
      </c>
      <c r="V273">
        <v>0</v>
      </c>
      <c r="W273">
        <v>8</v>
      </c>
      <c r="X273" t="s">
        <v>36</v>
      </c>
      <c r="Y273" t="s">
        <v>60</v>
      </c>
      <c r="Z273" t="s">
        <v>39</v>
      </c>
      <c r="AA273" s="2">
        <v>45350</v>
      </c>
      <c r="AB273" t="b">
        <v>1</v>
      </c>
      <c r="AC273" t="b">
        <v>1</v>
      </c>
      <c r="AD273" t="s">
        <v>40</v>
      </c>
      <c r="AE273" t="s">
        <v>53</v>
      </c>
      <c r="AF273">
        <v>10</v>
      </c>
    </row>
    <row r="274" spans="1:32" x14ac:dyDescent="0.25">
      <c r="A274" t="s">
        <v>630</v>
      </c>
      <c r="B274">
        <v>272</v>
      </c>
      <c r="C274">
        <v>24</v>
      </c>
      <c r="D274" t="str">
        <f>IF(tbl_Original[[#This Row],[Gender2]]="Female","Female",IF(tbl_Original[[#This Row],[Gender2]]="Male","Male","Other"))</f>
        <v>Other</v>
      </c>
      <c r="E274" t="s">
        <v>148</v>
      </c>
      <c r="F274" t="s">
        <v>30</v>
      </c>
      <c r="G274" t="s">
        <v>31</v>
      </c>
      <c r="H274" t="s">
        <v>45</v>
      </c>
      <c r="I274" t="s">
        <v>30</v>
      </c>
      <c r="J274" t="str">
        <f>PROPER(TRIM(CLEAN(tbl_Original[[#This Row],[Column1]])))</f>
        <v>Moutnice</v>
      </c>
      <c r="K274" t="s">
        <v>631</v>
      </c>
      <c r="L274" t="s">
        <v>631</v>
      </c>
      <c r="M274" t="s">
        <v>183</v>
      </c>
      <c r="N274" s="1">
        <v>472.61</v>
      </c>
      <c r="O274">
        <v>9</v>
      </c>
      <c r="P274" t="s">
        <v>48</v>
      </c>
      <c r="Q274">
        <v>5</v>
      </c>
      <c r="R274">
        <v>5</v>
      </c>
      <c r="S274">
        <v>2</v>
      </c>
      <c r="T274" t="s">
        <v>36</v>
      </c>
      <c r="U274" t="s">
        <v>85</v>
      </c>
      <c r="V274">
        <v>1</v>
      </c>
      <c r="W274">
        <v>4</v>
      </c>
      <c r="X274" t="s">
        <v>36</v>
      </c>
      <c r="Y274" t="s">
        <v>60</v>
      </c>
      <c r="Z274" t="s">
        <v>51</v>
      </c>
      <c r="AA274" s="2">
        <v>45550</v>
      </c>
      <c r="AB274" t="b">
        <v>1</v>
      </c>
      <c r="AC274" t="b">
        <v>1</v>
      </c>
      <c r="AD274" t="s">
        <v>62</v>
      </c>
      <c r="AE274" t="s">
        <v>67</v>
      </c>
      <c r="AF274">
        <v>5</v>
      </c>
    </row>
    <row r="275" spans="1:32" x14ac:dyDescent="0.25">
      <c r="A275" t="s">
        <v>632</v>
      </c>
      <c r="B275">
        <v>273</v>
      </c>
      <c r="C275">
        <v>20</v>
      </c>
      <c r="D275" t="str">
        <f>IF(tbl_Original[[#This Row],[Gender2]]="Female","Female",IF(tbl_Original[[#This Row],[Gender2]]="Male","Male","Other"))</f>
        <v>Female</v>
      </c>
      <c r="E275" t="s">
        <v>29</v>
      </c>
      <c r="F275" t="s">
        <v>30</v>
      </c>
      <c r="G275" t="s">
        <v>69</v>
      </c>
      <c r="H275" t="s">
        <v>45</v>
      </c>
      <c r="I275" t="s">
        <v>30</v>
      </c>
      <c r="J275" t="str">
        <f>PROPER(TRIM(CLEAN(tbl_Original[[#This Row],[Column1]])))</f>
        <v>Qiryat Yam</v>
      </c>
      <c r="K275" t="s">
        <v>633</v>
      </c>
      <c r="L275" t="s">
        <v>633</v>
      </c>
      <c r="M275" t="s">
        <v>71</v>
      </c>
      <c r="N275" s="1">
        <v>68.02</v>
      </c>
      <c r="O275">
        <v>10</v>
      </c>
      <c r="P275" t="s">
        <v>78</v>
      </c>
      <c r="Q275">
        <v>3</v>
      </c>
      <c r="R275">
        <v>2</v>
      </c>
      <c r="S275">
        <v>1</v>
      </c>
      <c r="T275" t="s">
        <v>36</v>
      </c>
      <c r="U275" t="s">
        <v>85</v>
      </c>
      <c r="V275">
        <v>1</v>
      </c>
      <c r="W275">
        <v>6</v>
      </c>
      <c r="X275" t="s">
        <v>36</v>
      </c>
      <c r="Y275" t="s">
        <v>38</v>
      </c>
      <c r="Z275" t="s">
        <v>39</v>
      </c>
      <c r="AA275" s="2">
        <v>45597</v>
      </c>
      <c r="AB275" t="b">
        <v>1</v>
      </c>
      <c r="AC275" t="b">
        <v>1</v>
      </c>
      <c r="AD275" t="s">
        <v>40</v>
      </c>
      <c r="AE275" t="s">
        <v>67</v>
      </c>
      <c r="AF275">
        <v>6</v>
      </c>
    </row>
    <row r="276" spans="1:32" x14ac:dyDescent="0.25">
      <c r="A276" t="s">
        <v>634</v>
      </c>
      <c r="B276">
        <v>274</v>
      </c>
      <c r="C276">
        <v>27</v>
      </c>
      <c r="D276" t="str">
        <f>IF(tbl_Original[[#This Row],[Gender2]]="Female","Female",IF(tbl_Original[[#This Row],[Gender2]]="Male","Male","Other"))</f>
        <v>Male</v>
      </c>
      <c r="E276" t="s">
        <v>43</v>
      </c>
      <c r="F276" t="s">
        <v>44</v>
      </c>
      <c r="G276" t="s">
        <v>55</v>
      </c>
      <c r="H276" t="s">
        <v>56</v>
      </c>
      <c r="I276" t="s">
        <v>30</v>
      </c>
      <c r="J276" t="str">
        <f>PROPER(TRIM(CLEAN(tbl_Original[[#This Row],[Column1]])))</f>
        <v>Piran</v>
      </c>
      <c r="K276" t="s">
        <v>2170</v>
      </c>
      <c r="L276" t="s">
        <v>635</v>
      </c>
      <c r="M276" t="s">
        <v>126</v>
      </c>
      <c r="N276" s="1">
        <v>199.44</v>
      </c>
      <c r="O276">
        <v>7</v>
      </c>
      <c r="P276" t="s">
        <v>78</v>
      </c>
      <c r="Q276">
        <v>2</v>
      </c>
      <c r="R276">
        <v>1</v>
      </c>
      <c r="S276">
        <v>2</v>
      </c>
      <c r="T276" t="s">
        <v>36</v>
      </c>
      <c r="U276" t="s">
        <v>85</v>
      </c>
      <c r="V276">
        <v>0</v>
      </c>
      <c r="W276">
        <v>3</v>
      </c>
      <c r="X276" t="s">
        <v>36</v>
      </c>
      <c r="Y276" t="s">
        <v>38</v>
      </c>
      <c r="Z276" t="s">
        <v>86</v>
      </c>
      <c r="AA276" s="2">
        <v>45487</v>
      </c>
      <c r="AB276" t="b">
        <v>0</v>
      </c>
      <c r="AC276" t="b">
        <v>1</v>
      </c>
      <c r="AD276" t="s">
        <v>40</v>
      </c>
      <c r="AE276" t="s">
        <v>53</v>
      </c>
      <c r="AF276">
        <v>1</v>
      </c>
    </row>
    <row r="277" spans="1:32" x14ac:dyDescent="0.25">
      <c r="A277" t="s">
        <v>636</v>
      </c>
      <c r="B277">
        <v>275</v>
      </c>
      <c r="C277">
        <v>47</v>
      </c>
      <c r="D277" t="str">
        <f>IF(tbl_Original[[#This Row],[Gender2]]="Female","Female",IF(tbl_Original[[#This Row],[Gender2]]="Male","Male","Other"))</f>
        <v>Male</v>
      </c>
      <c r="E277" t="s">
        <v>43</v>
      </c>
      <c r="F277" t="s">
        <v>44</v>
      </c>
      <c r="G277" t="s">
        <v>76</v>
      </c>
      <c r="H277" t="s">
        <v>45</v>
      </c>
      <c r="I277" t="s">
        <v>30</v>
      </c>
      <c r="J277" t="str">
        <f>PROPER(TRIM(CLEAN(tbl_Original[[#This Row],[Column1]])))</f>
        <v>Colima</v>
      </c>
      <c r="K277" t="s">
        <v>637</v>
      </c>
      <c r="L277" t="s">
        <v>637</v>
      </c>
      <c r="M277" t="s">
        <v>90</v>
      </c>
      <c r="N277" s="1">
        <v>250.73</v>
      </c>
      <c r="O277">
        <v>4</v>
      </c>
      <c r="P277" t="s">
        <v>78</v>
      </c>
      <c r="Q277">
        <v>3</v>
      </c>
      <c r="R277">
        <v>2</v>
      </c>
      <c r="S277">
        <v>1</v>
      </c>
      <c r="T277" t="s">
        <v>59</v>
      </c>
      <c r="U277" t="s">
        <v>37</v>
      </c>
      <c r="V277">
        <v>1</v>
      </c>
      <c r="W277">
        <v>10</v>
      </c>
      <c r="X277" t="s">
        <v>36</v>
      </c>
      <c r="Y277" t="s">
        <v>79</v>
      </c>
      <c r="Z277" t="s">
        <v>86</v>
      </c>
      <c r="AA277" s="2">
        <v>45406</v>
      </c>
      <c r="AB277" t="b">
        <v>0</v>
      </c>
      <c r="AC277" t="b">
        <v>1</v>
      </c>
      <c r="AD277" t="s">
        <v>74</v>
      </c>
      <c r="AE277" t="s">
        <v>41</v>
      </c>
      <c r="AF277">
        <v>10</v>
      </c>
    </row>
    <row r="278" spans="1:32" x14ac:dyDescent="0.25">
      <c r="A278" t="s">
        <v>638</v>
      </c>
      <c r="B278">
        <v>276</v>
      </c>
      <c r="C278">
        <v>34</v>
      </c>
      <c r="D278" t="str">
        <f>IF(tbl_Original[[#This Row],[Gender2]]="Female","Female",IF(tbl_Original[[#This Row],[Gender2]]="Male","Male","Other"))</f>
        <v>Male</v>
      </c>
      <c r="E278" t="s">
        <v>43</v>
      </c>
      <c r="F278" t="s">
        <v>30</v>
      </c>
      <c r="G278" t="s">
        <v>55</v>
      </c>
      <c r="H278" t="s">
        <v>45</v>
      </c>
      <c r="I278" t="s">
        <v>30</v>
      </c>
      <c r="J278" t="str">
        <f>PROPER(TRIM(CLEAN(tbl_Original[[#This Row],[Column1]])))</f>
        <v>Marshintsy</v>
      </c>
      <c r="K278" t="s">
        <v>639</v>
      </c>
      <c r="L278" t="s">
        <v>639</v>
      </c>
      <c r="M278" t="s">
        <v>183</v>
      </c>
      <c r="N278" s="1">
        <v>372.49</v>
      </c>
      <c r="O278">
        <v>12</v>
      </c>
      <c r="P278" t="s">
        <v>78</v>
      </c>
      <c r="Q278">
        <v>4</v>
      </c>
      <c r="R278">
        <v>3</v>
      </c>
      <c r="S278">
        <v>0</v>
      </c>
      <c r="T278" t="s">
        <v>44</v>
      </c>
      <c r="U278" t="s">
        <v>85</v>
      </c>
      <c r="V278">
        <v>0</v>
      </c>
      <c r="W278">
        <v>5</v>
      </c>
      <c r="X278" t="s">
        <v>49</v>
      </c>
      <c r="Y278" t="s">
        <v>79</v>
      </c>
      <c r="Z278" t="s">
        <v>61</v>
      </c>
      <c r="AA278" s="2">
        <v>45526</v>
      </c>
      <c r="AB278" t="b">
        <v>1</v>
      </c>
      <c r="AC278" t="b">
        <v>0</v>
      </c>
      <c r="AD278" t="s">
        <v>74</v>
      </c>
      <c r="AE278" t="s">
        <v>41</v>
      </c>
      <c r="AF278">
        <v>7</v>
      </c>
    </row>
    <row r="279" spans="1:32" x14ac:dyDescent="0.25">
      <c r="A279" t="s">
        <v>640</v>
      </c>
      <c r="B279">
        <v>277</v>
      </c>
      <c r="C279">
        <v>41</v>
      </c>
      <c r="D279" t="str">
        <f>IF(tbl_Original[[#This Row],[Gender2]]="Female","Female",IF(tbl_Original[[#This Row],[Gender2]]="Male","Male","Other"))</f>
        <v>Male</v>
      </c>
      <c r="E279" t="s">
        <v>43</v>
      </c>
      <c r="F279" t="s">
        <v>44</v>
      </c>
      <c r="G279" t="s">
        <v>69</v>
      </c>
      <c r="H279" t="s">
        <v>45</v>
      </c>
      <c r="I279" t="s">
        <v>44</v>
      </c>
      <c r="J279" t="str">
        <f>PROPER(TRIM(CLEAN(tbl_Original[[#This Row],[Column1]])))</f>
        <v>Halinw</v>
      </c>
      <c r="K279" t="s">
        <v>2171</v>
      </c>
      <c r="L279" t="s">
        <v>641</v>
      </c>
      <c r="M279" t="s">
        <v>82</v>
      </c>
      <c r="N279" s="1">
        <v>186.85</v>
      </c>
      <c r="O279">
        <v>2</v>
      </c>
      <c r="P279" t="s">
        <v>78</v>
      </c>
      <c r="Q279">
        <v>3</v>
      </c>
      <c r="R279">
        <v>1</v>
      </c>
      <c r="S279">
        <v>2</v>
      </c>
      <c r="T279" t="s">
        <v>44</v>
      </c>
      <c r="U279" t="s">
        <v>50</v>
      </c>
      <c r="V279">
        <v>2</v>
      </c>
      <c r="W279">
        <v>8</v>
      </c>
      <c r="X279" t="s">
        <v>59</v>
      </c>
      <c r="Y279" t="s">
        <v>60</v>
      </c>
      <c r="Z279" t="s">
        <v>66</v>
      </c>
      <c r="AA279" s="2">
        <v>45342</v>
      </c>
      <c r="AB279" t="b">
        <v>1</v>
      </c>
      <c r="AC279" t="b">
        <v>0</v>
      </c>
      <c r="AD279" t="s">
        <v>62</v>
      </c>
      <c r="AE279" t="s">
        <v>67</v>
      </c>
      <c r="AF279">
        <v>12</v>
      </c>
    </row>
    <row r="280" spans="1:32" x14ac:dyDescent="0.25">
      <c r="A280" t="s">
        <v>642</v>
      </c>
      <c r="B280">
        <v>278</v>
      </c>
      <c r="C280">
        <v>26</v>
      </c>
      <c r="D280" t="str">
        <f>IF(tbl_Original[[#This Row],[Gender2]]="Female","Female",IF(tbl_Original[[#This Row],[Gender2]]="Male","Male","Other"))</f>
        <v>Male</v>
      </c>
      <c r="E280" t="s">
        <v>43</v>
      </c>
      <c r="F280" t="s">
        <v>44</v>
      </c>
      <c r="G280" t="s">
        <v>69</v>
      </c>
      <c r="H280" t="s">
        <v>56</v>
      </c>
      <c r="I280" t="s">
        <v>30</v>
      </c>
      <c r="J280" t="str">
        <f>PROPER(TRIM(CLEAN(tbl_Original[[#This Row],[Column1]])))</f>
        <v>Hallsberg</v>
      </c>
      <c r="K280" t="s">
        <v>643</v>
      </c>
      <c r="L280" t="s">
        <v>643</v>
      </c>
      <c r="M280" t="s">
        <v>90</v>
      </c>
      <c r="N280" s="1">
        <v>73.319999999999993</v>
      </c>
      <c r="O280">
        <v>10</v>
      </c>
      <c r="P280" t="s">
        <v>48</v>
      </c>
      <c r="Q280">
        <v>5</v>
      </c>
      <c r="R280">
        <v>1</v>
      </c>
      <c r="S280">
        <v>1</v>
      </c>
      <c r="T280" t="s">
        <v>36</v>
      </c>
      <c r="U280" t="s">
        <v>50</v>
      </c>
      <c r="V280">
        <v>1</v>
      </c>
      <c r="W280">
        <v>1</v>
      </c>
      <c r="X280" t="s">
        <v>49</v>
      </c>
      <c r="Y280" t="s">
        <v>60</v>
      </c>
      <c r="Z280" t="s">
        <v>61</v>
      </c>
      <c r="AA280" s="2">
        <v>45318</v>
      </c>
      <c r="AB280" t="b">
        <v>1</v>
      </c>
      <c r="AC280" t="b">
        <v>0</v>
      </c>
      <c r="AD280" t="s">
        <v>52</v>
      </c>
      <c r="AE280" t="s">
        <v>53</v>
      </c>
      <c r="AF280">
        <v>14</v>
      </c>
    </row>
    <row r="281" spans="1:32" x14ac:dyDescent="0.25">
      <c r="A281" t="s">
        <v>644</v>
      </c>
      <c r="B281">
        <v>279</v>
      </c>
      <c r="C281">
        <v>49</v>
      </c>
      <c r="D281" t="str">
        <f>IF(tbl_Original[[#This Row],[Gender2]]="Female","Female",IF(tbl_Original[[#This Row],[Gender2]]="Male","Male","Other"))</f>
        <v>Male</v>
      </c>
      <c r="E281" t="s">
        <v>43</v>
      </c>
      <c r="F281" t="s">
        <v>30</v>
      </c>
      <c r="G281" t="s">
        <v>69</v>
      </c>
      <c r="H281" t="s">
        <v>32</v>
      </c>
      <c r="I281" t="s">
        <v>30</v>
      </c>
      <c r="J281" t="str">
        <f>PROPER(TRIM(CLEAN(tbl_Original[[#This Row],[Column1]])))</f>
        <v>Celso Ramos</v>
      </c>
      <c r="K281" t="s">
        <v>645</v>
      </c>
      <c r="L281" t="s">
        <v>645</v>
      </c>
      <c r="M281" t="s">
        <v>183</v>
      </c>
      <c r="N281" s="1">
        <v>214.59</v>
      </c>
      <c r="O281">
        <v>6</v>
      </c>
      <c r="P281" t="s">
        <v>78</v>
      </c>
      <c r="Q281">
        <v>1</v>
      </c>
      <c r="R281">
        <v>1</v>
      </c>
      <c r="S281">
        <v>0</v>
      </c>
      <c r="T281" t="s">
        <v>36</v>
      </c>
      <c r="U281" t="s">
        <v>37</v>
      </c>
      <c r="V281">
        <v>1</v>
      </c>
      <c r="W281">
        <v>8</v>
      </c>
      <c r="X281" t="s">
        <v>59</v>
      </c>
      <c r="Y281" t="s">
        <v>38</v>
      </c>
      <c r="Z281" t="s">
        <v>66</v>
      </c>
      <c r="AA281" s="2">
        <v>45331</v>
      </c>
      <c r="AB281" t="b">
        <v>1</v>
      </c>
      <c r="AC281" t="b">
        <v>0</v>
      </c>
      <c r="AD281" t="s">
        <v>52</v>
      </c>
      <c r="AE281" t="s">
        <v>53</v>
      </c>
      <c r="AF281">
        <v>9</v>
      </c>
    </row>
    <row r="282" spans="1:32" x14ac:dyDescent="0.25">
      <c r="A282" t="s">
        <v>646</v>
      </c>
      <c r="B282">
        <v>280</v>
      </c>
      <c r="C282">
        <v>47</v>
      </c>
      <c r="D282" t="str">
        <f>IF(tbl_Original[[#This Row],[Gender2]]="Female","Female",IF(tbl_Original[[#This Row],[Gender2]]="Male","Male","Other"))</f>
        <v>Female</v>
      </c>
      <c r="E282" t="s">
        <v>29</v>
      </c>
      <c r="F282" t="s">
        <v>30</v>
      </c>
      <c r="G282" t="s">
        <v>69</v>
      </c>
      <c r="H282" t="s">
        <v>45</v>
      </c>
      <c r="I282" t="s">
        <v>30</v>
      </c>
      <c r="J282" t="str">
        <f>PROPER(TRIM(CLEAN(tbl_Original[[#This Row],[Column1]])))</f>
        <v>White River</v>
      </c>
      <c r="K282" t="s">
        <v>647</v>
      </c>
      <c r="L282" t="s">
        <v>647</v>
      </c>
      <c r="M282" t="s">
        <v>71</v>
      </c>
      <c r="N282" s="1">
        <v>467.32</v>
      </c>
      <c r="O282">
        <v>12</v>
      </c>
      <c r="P282" t="s">
        <v>48</v>
      </c>
      <c r="Q282">
        <v>4</v>
      </c>
      <c r="R282">
        <v>4</v>
      </c>
      <c r="S282">
        <v>2</v>
      </c>
      <c r="T282" t="s">
        <v>49</v>
      </c>
      <c r="U282" t="s">
        <v>37</v>
      </c>
      <c r="V282">
        <v>2</v>
      </c>
      <c r="W282">
        <v>4</v>
      </c>
      <c r="X282" t="s">
        <v>59</v>
      </c>
      <c r="Y282" t="s">
        <v>60</v>
      </c>
      <c r="Z282" t="s">
        <v>51</v>
      </c>
      <c r="AA282" s="2">
        <v>45319</v>
      </c>
      <c r="AB282" t="b">
        <v>0</v>
      </c>
      <c r="AC282" t="b">
        <v>1</v>
      </c>
      <c r="AD282" t="s">
        <v>40</v>
      </c>
      <c r="AE282" t="s">
        <v>41</v>
      </c>
      <c r="AF282">
        <v>11</v>
      </c>
    </row>
    <row r="283" spans="1:32" x14ac:dyDescent="0.25">
      <c r="A283" t="s">
        <v>648</v>
      </c>
      <c r="B283">
        <v>281</v>
      </c>
      <c r="C283">
        <v>18</v>
      </c>
      <c r="D283" t="str">
        <f>IF(tbl_Original[[#This Row],[Gender2]]="Female","Female",IF(tbl_Original[[#This Row],[Gender2]]="Male","Male","Other"))</f>
        <v>Male</v>
      </c>
      <c r="E283" t="s">
        <v>43</v>
      </c>
      <c r="F283" t="s">
        <v>30</v>
      </c>
      <c r="G283" t="s">
        <v>31</v>
      </c>
      <c r="H283" t="s">
        <v>56</v>
      </c>
      <c r="I283" t="s">
        <v>30</v>
      </c>
      <c r="J283" t="str">
        <f>PROPER(TRIM(CLEAN(tbl_Original[[#This Row],[Column1]])))</f>
        <v>Taishihe</v>
      </c>
      <c r="K283" t="s">
        <v>649</v>
      </c>
      <c r="L283" t="s">
        <v>649</v>
      </c>
      <c r="M283" t="s">
        <v>194</v>
      </c>
      <c r="N283" s="1">
        <v>475.65</v>
      </c>
      <c r="O283">
        <v>4</v>
      </c>
      <c r="P283" t="s">
        <v>48</v>
      </c>
      <c r="Q283">
        <v>4</v>
      </c>
      <c r="R283">
        <v>5</v>
      </c>
      <c r="S283">
        <v>0</v>
      </c>
      <c r="T283" t="s">
        <v>44</v>
      </c>
      <c r="U283" t="s">
        <v>37</v>
      </c>
      <c r="V283">
        <v>2</v>
      </c>
      <c r="W283">
        <v>6</v>
      </c>
      <c r="X283" t="s">
        <v>59</v>
      </c>
      <c r="Y283" t="s">
        <v>60</v>
      </c>
      <c r="Z283" t="s">
        <v>51</v>
      </c>
      <c r="AA283" s="2">
        <v>45466</v>
      </c>
      <c r="AB283" t="b">
        <v>1</v>
      </c>
      <c r="AC283" t="b">
        <v>1</v>
      </c>
      <c r="AD283" t="s">
        <v>52</v>
      </c>
      <c r="AE283" t="s">
        <v>67</v>
      </c>
      <c r="AF283">
        <v>14</v>
      </c>
    </row>
    <row r="284" spans="1:32" x14ac:dyDescent="0.25">
      <c r="A284" t="s">
        <v>650</v>
      </c>
      <c r="B284">
        <v>282</v>
      </c>
      <c r="C284">
        <v>48</v>
      </c>
      <c r="D284" t="str">
        <f>IF(tbl_Original[[#This Row],[Gender2]]="Female","Female",IF(tbl_Original[[#This Row],[Gender2]]="Male","Male","Other"))</f>
        <v>Female</v>
      </c>
      <c r="E284" t="s">
        <v>29</v>
      </c>
      <c r="F284" t="s">
        <v>30</v>
      </c>
      <c r="G284" t="s">
        <v>69</v>
      </c>
      <c r="H284" t="s">
        <v>56</v>
      </c>
      <c r="I284" t="s">
        <v>44</v>
      </c>
      <c r="J284" t="str">
        <f>PROPER(TRIM(CLEAN(tbl_Original[[#This Row],[Column1]])))</f>
        <v>Shanghu</v>
      </c>
      <c r="K284" t="s">
        <v>651</v>
      </c>
      <c r="L284" t="s">
        <v>651</v>
      </c>
      <c r="M284" t="s">
        <v>101</v>
      </c>
      <c r="N284" s="1">
        <v>161.38</v>
      </c>
      <c r="O284">
        <v>11</v>
      </c>
      <c r="P284" t="s">
        <v>35</v>
      </c>
      <c r="Q284">
        <v>5</v>
      </c>
      <c r="R284">
        <v>3</v>
      </c>
      <c r="S284">
        <v>0</v>
      </c>
      <c r="T284" t="s">
        <v>36</v>
      </c>
      <c r="U284" t="s">
        <v>85</v>
      </c>
      <c r="V284">
        <v>1</v>
      </c>
      <c r="W284">
        <v>10</v>
      </c>
      <c r="X284" t="s">
        <v>44</v>
      </c>
      <c r="Y284" t="s">
        <v>38</v>
      </c>
      <c r="Z284" t="s">
        <v>61</v>
      </c>
      <c r="AA284" s="2">
        <v>45524</v>
      </c>
      <c r="AB284" t="b">
        <v>1</v>
      </c>
      <c r="AC284" t="b">
        <v>1</v>
      </c>
      <c r="AD284" t="s">
        <v>62</v>
      </c>
      <c r="AE284" t="s">
        <v>53</v>
      </c>
      <c r="AF284">
        <v>10</v>
      </c>
    </row>
    <row r="285" spans="1:32" x14ac:dyDescent="0.25">
      <c r="A285" t="s">
        <v>652</v>
      </c>
      <c r="B285">
        <v>283</v>
      </c>
      <c r="C285">
        <v>19</v>
      </c>
      <c r="D285" t="str">
        <f>IF(tbl_Original[[#This Row],[Gender2]]="Female","Female",IF(tbl_Original[[#This Row],[Gender2]]="Male","Male","Other"))</f>
        <v>Male</v>
      </c>
      <c r="E285" t="s">
        <v>43</v>
      </c>
      <c r="F285" t="s">
        <v>30</v>
      </c>
      <c r="G285" t="s">
        <v>55</v>
      </c>
      <c r="H285" t="s">
        <v>32</v>
      </c>
      <c r="I285" t="s">
        <v>30</v>
      </c>
      <c r="J285" t="str">
        <f>PROPER(TRIM(CLEAN(tbl_Original[[#This Row],[Column1]])))</f>
        <v>Brandsen</v>
      </c>
      <c r="K285" t="s">
        <v>653</v>
      </c>
      <c r="L285" t="s">
        <v>653</v>
      </c>
      <c r="M285" t="s">
        <v>123</v>
      </c>
      <c r="N285" s="1">
        <v>249.78</v>
      </c>
      <c r="O285">
        <v>4</v>
      </c>
      <c r="P285" t="s">
        <v>48</v>
      </c>
      <c r="Q285">
        <v>5</v>
      </c>
      <c r="R285">
        <v>4</v>
      </c>
      <c r="S285">
        <v>0</v>
      </c>
      <c r="T285" t="s">
        <v>59</v>
      </c>
      <c r="U285" t="s">
        <v>85</v>
      </c>
      <c r="V285">
        <v>0</v>
      </c>
      <c r="W285">
        <v>1</v>
      </c>
      <c r="X285" t="s">
        <v>36</v>
      </c>
      <c r="Y285" t="s">
        <v>79</v>
      </c>
      <c r="Z285" t="s">
        <v>51</v>
      </c>
      <c r="AA285" s="2">
        <v>45620</v>
      </c>
      <c r="AB285" t="b">
        <v>0</v>
      </c>
      <c r="AC285" t="b">
        <v>0</v>
      </c>
      <c r="AD285" t="s">
        <v>52</v>
      </c>
      <c r="AE285" t="s">
        <v>41</v>
      </c>
      <c r="AF285">
        <v>11</v>
      </c>
    </row>
    <row r="286" spans="1:32" x14ac:dyDescent="0.25">
      <c r="A286" t="s">
        <v>654</v>
      </c>
      <c r="B286">
        <v>284</v>
      </c>
      <c r="C286">
        <v>39</v>
      </c>
      <c r="D286" t="str">
        <f>IF(tbl_Original[[#This Row],[Gender2]]="Female","Female",IF(tbl_Original[[#This Row],[Gender2]]="Male","Male","Other"))</f>
        <v>Female</v>
      </c>
      <c r="E286" t="s">
        <v>29</v>
      </c>
      <c r="F286" t="s">
        <v>30</v>
      </c>
      <c r="G286" t="s">
        <v>76</v>
      </c>
      <c r="H286" t="s">
        <v>45</v>
      </c>
      <c r="I286" t="s">
        <v>44</v>
      </c>
      <c r="J286" t="str">
        <f>PROPER(TRIM(CLEAN(tbl_Original[[#This Row],[Column1]])))</f>
        <v>Ranot</v>
      </c>
      <c r="K286" t="s">
        <v>655</v>
      </c>
      <c r="L286" t="s">
        <v>655</v>
      </c>
      <c r="M286" t="s">
        <v>183</v>
      </c>
      <c r="N286" s="1">
        <v>149.88</v>
      </c>
      <c r="O286">
        <v>9</v>
      </c>
      <c r="P286" t="s">
        <v>35</v>
      </c>
      <c r="Q286">
        <v>3</v>
      </c>
      <c r="R286">
        <v>2</v>
      </c>
      <c r="S286">
        <v>0</v>
      </c>
      <c r="T286" t="s">
        <v>59</v>
      </c>
      <c r="U286" t="s">
        <v>37</v>
      </c>
      <c r="V286">
        <v>1</v>
      </c>
      <c r="W286">
        <v>10</v>
      </c>
      <c r="X286" t="s">
        <v>59</v>
      </c>
      <c r="Y286" t="s">
        <v>60</v>
      </c>
      <c r="Z286" t="s">
        <v>61</v>
      </c>
      <c r="AA286" s="2">
        <v>45401</v>
      </c>
      <c r="AB286" t="b">
        <v>0</v>
      </c>
      <c r="AC286" t="b">
        <v>0</v>
      </c>
      <c r="AD286" t="s">
        <v>62</v>
      </c>
      <c r="AE286" t="s">
        <v>53</v>
      </c>
      <c r="AF286">
        <v>4</v>
      </c>
    </row>
    <row r="287" spans="1:32" x14ac:dyDescent="0.25">
      <c r="A287" t="s">
        <v>656</v>
      </c>
      <c r="B287">
        <v>285</v>
      </c>
      <c r="C287">
        <v>48</v>
      </c>
      <c r="D287" t="str">
        <f>IF(tbl_Original[[#This Row],[Gender2]]="Female","Female",IF(tbl_Original[[#This Row],[Gender2]]="Male","Male","Other"))</f>
        <v>Female</v>
      </c>
      <c r="E287" t="s">
        <v>29</v>
      </c>
      <c r="F287" t="s">
        <v>44</v>
      </c>
      <c r="G287" t="s">
        <v>76</v>
      </c>
      <c r="H287" t="s">
        <v>56</v>
      </c>
      <c r="I287" t="s">
        <v>30</v>
      </c>
      <c r="J287" t="str">
        <f>PROPER(TRIM(CLEAN(tbl_Original[[#This Row],[Column1]])))</f>
        <v>Saint-Jouan-Des-Gurets</v>
      </c>
      <c r="K287" t="s">
        <v>2172</v>
      </c>
      <c r="L287" t="s">
        <v>657</v>
      </c>
      <c r="M287" t="s">
        <v>246</v>
      </c>
      <c r="N287" s="1">
        <v>347.09</v>
      </c>
      <c r="O287">
        <v>5</v>
      </c>
      <c r="P287" t="s">
        <v>48</v>
      </c>
      <c r="Q287">
        <v>5</v>
      </c>
      <c r="R287">
        <v>2</v>
      </c>
      <c r="S287">
        <v>0</v>
      </c>
      <c r="T287" t="s">
        <v>49</v>
      </c>
      <c r="U287" t="s">
        <v>37</v>
      </c>
      <c r="V287">
        <v>2</v>
      </c>
      <c r="W287">
        <v>1</v>
      </c>
      <c r="X287" t="s">
        <v>36</v>
      </c>
      <c r="Y287" t="s">
        <v>60</v>
      </c>
      <c r="Z287" t="s">
        <v>66</v>
      </c>
      <c r="AA287" s="2">
        <v>45317</v>
      </c>
      <c r="AB287" t="b">
        <v>0</v>
      </c>
      <c r="AC287" t="b">
        <v>0</v>
      </c>
      <c r="AD287" t="s">
        <v>74</v>
      </c>
      <c r="AE287" t="s">
        <v>41</v>
      </c>
      <c r="AF287">
        <v>7</v>
      </c>
    </row>
    <row r="288" spans="1:32" x14ac:dyDescent="0.25">
      <c r="A288" t="s">
        <v>658</v>
      </c>
      <c r="B288">
        <v>286</v>
      </c>
      <c r="C288">
        <v>43</v>
      </c>
      <c r="D288" t="str">
        <f>IF(tbl_Original[[#This Row],[Gender2]]="Female","Female",IF(tbl_Original[[#This Row],[Gender2]]="Male","Male","Other"))</f>
        <v>Female</v>
      </c>
      <c r="E288" t="s">
        <v>29</v>
      </c>
      <c r="F288" t="s">
        <v>44</v>
      </c>
      <c r="G288" t="s">
        <v>69</v>
      </c>
      <c r="H288" t="s">
        <v>56</v>
      </c>
      <c r="I288" t="s">
        <v>44</v>
      </c>
      <c r="J288" t="str">
        <f>PROPER(TRIM(CLEAN(tbl_Original[[#This Row],[Column1]])))</f>
        <v>Daan</v>
      </c>
      <c r="K288" t="s">
        <v>2173</v>
      </c>
      <c r="L288" t="s">
        <v>659</v>
      </c>
      <c r="M288" t="s">
        <v>104</v>
      </c>
      <c r="N288" s="1">
        <v>345.49</v>
      </c>
      <c r="O288">
        <v>9</v>
      </c>
      <c r="P288" t="s">
        <v>35</v>
      </c>
      <c r="Q288">
        <v>3</v>
      </c>
      <c r="R288">
        <v>1</v>
      </c>
      <c r="S288">
        <v>2</v>
      </c>
      <c r="T288" t="s">
        <v>44</v>
      </c>
      <c r="U288" t="s">
        <v>50</v>
      </c>
      <c r="V288">
        <v>0</v>
      </c>
      <c r="W288">
        <v>10</v>
      </c>
      <c r="X288" t="s">
        <v>49</v>
      </c>
      <c r="Y288" t="s">
        <v>38</v>
      </c>
      <c r="Z288" t="s">
        <v>51</v>
      </c>
      <c r="AA288" s="2">
        <v>45541</v>
      </c>
      <c r="AB288" t="b">
        <v>1</v>
      </c>
      <c r="AC288" t="b">
        <v>0</v>
      </c>
      <c r="AD288" t="s">
        <v>62</v>
      </c>
      <c r="AE288" t="s">
        <v>67</v>
      </c>
      <c r="AF288">
        <v>3</v>
      </c>
    </row>
    <row r="289" spans="1:32" x14ac:dyDescent="0.25">
      <c r="A289" t="s">
        <v>660</v>
      </c>
      <c r="B289">
        <v>287</v>
      </c>
      <c r="C289">
        <v>31</v>
      </c>
      <c r="D289" t="str">
        <f>IF(tbl_Original[[#This Row],[Gender2]]="Female","Female",IF(tbl_Original[[#This Row],[Gender2]]="Male","Male","Other"))</f>
        <v>Female</v>
      </c>
      <c r="E289" t="s">
        <v>29</v>
      </c>
      <c r="F289" t="s">
        <v>44</v>
      </c>
      <c r="G289" t="s">
        <v>76</v>
      </c>
      <c r="H289" t="s">
        <v>32</v>
      </c>
      <c r="I289" t="s">
        <v>44</v>
      </c>
      <c r="J289" t="str">
        <f>PROPER(TRIM(CLEAN(tbl_Original[[#This Row],[Column1]])))</f>
        <v>Kisovec</v>
      </c>
      <c r="K289" t="s">
        <v>661</v>
      </c>
      <c r="L289" t="s">
        <v>661</v>
      </c>
      <c r="M289" t="s">
        <v>104</v>
      </c>
      <c r="N289" s="1">
        <v>297.24</v>
      </c>
      <c r="O289">
        <v>2</v>
      </c>
      <c r="P289" t="s">
        <v>35</v>
      </c>
      <c r="Q289">
        <v>1</v>
      </c>
      <c r="R289">
        <v>4</v>
      </c>
      <c r="S289">
        <v>0</v>
      </c>
      <c r="T289" t="s">
        <v>49</v>
      </c>
      <c r="U289" t="s">
        <v>50</v>
      </c>
      <c r="V289">
        <v>0</v>
      </c>
      <c r="W289">
        <v>9</v>
      </c>
      <c r="X289" t="s">
        <v>44</v>
      </c>
      <c r="Y289" t="s">
        <v>79</v>
      </c>
      <c r="Z289" t="s">
        <v>51</v>
      </c>
      <c r="AA289" s="2">
        <v>45472</v>
      </c>
      <c r="AB289" t="b">
        <v>1</v>
      </c>
      <c r="AC289" t="b">
        <v>1</v>
      </c>
      <c r="AD289" t="s">
        <v>74</v>
      </c>
      <c r="AE289" t="s">
        <v>67</v>
      </c>
      <c r="AF289">
        <v>7</v>
      </c>
    </row>
    <row r="290" spans="1:32" x14ac:dyDescent="0.25">
      <c r="A290" t="s">
        <v>662</v>
      </c>
      <c r="B290">
        <v>288</v>
      </c>
      <c r="C290">
        <v>28</v>
      </c>
      <c r="D290" t="str">
        <f>IF(tbl_Original[[#This Row],[Gender2]]="Female","Female",IF(tbl_Original[[#This Row],[Gender2]]="Male","Male","Other"))</f>
        <v>Female</v>
      </c>
      <c r="E290" t="s">
        <v>29</v>
      </c>
      <c r="F290" t="s">
        <v>30</v>
      </c>
      <c r="G290" t="s">
        <v>76</v>
      </c>
      <c r="H290" t="s">
        <v>32</v>
      </c>
      <c r="I290" t="s">
        <v>44</v>
      </c>
      <c r="J290" t="str">
        <f>PROPER(TRIM(CLEAN(tbl_Original[[#This Row],[Column1]])))</f>
        <v>Nbd</v>
      </c>
      <c r="K290" t="s">
        <v>2283</v>
      </c>
      <c r="L290" t="s">
        <v>663</v>
      </c>
      <c r="M290" t="s">
        <v>65</v>
      </c>
      <c r="N290" s="1">
        <v>494.34</v>
      </c>
      <c r="O290">
        <v>12</v>
      </c>
      <c r="P290" t="s">
        <v>78</v>
      </c>
      <c r="Q290">
        <v>5</v>
      </c>
      <c r="R290">
        <v>3</v>
      </c>
      <c r="S290">
        <v>0.25</v>
      </c>
      <c r="T290" t="s">
        <v>44</v>
      </c>
      <c r="U290" t="s">
        <v>85</v>
      </c>
      <c r="V290">
        <v>1</v>
      </c>
      <c r="W290">
        <v>8</v>
      </c>
      <c r="X290" t="s">
        <v>59</v>
      </c>
      <c r="Y290" t="s">
        <v>79</v>
      </c>
      <c r="Z290" t="s">
        <v>61</v>
      </c>
      <c r="AA290" s="2">
        <v>45354</v>
      </c>
      <c r="AB290" t="b">
        <v>0</v>
      </c>
      <c r="AC290" t="b">
        <v>0</v>
      </c>
      <c r="AD290" t="s">
        <v>52</v>
      </c>
      <c r="AE290" t="s">
        <v>67</v>
      </c>
      <c r="AF290">
        <v>3</v>
      </c>
    </row>
    <row r="291" spans="1:32" x14ac:dyDescent="0.25">
      <c r="A291" t="s">
        <v>664</v>
      </c>
      <c r="B291">
        <v>289</v>
      </c>
      <c r="C291">
        <v>29</v>
      </c>
      <c r="D291" t="str">
        <f>IF(tbl_Original[[#This Row],[Gender2]]="Female","Female",IF(tbl_Original[[#This Row],[Gender2]]="Male","Male","Other"))</f>
        <v>Other</v>
      </c>
      <c r="E291" t="s">
        <v>352</v>
      </c>
      <c r="F291" t="s">
        <v>30</v>
      </c>
      <c r="G291" t="s">
        <v>31</v>
      </c>
      <c r="H291" t="s">
        <v>56</v>
      </c>
      <c r="I291" t="s">
        <v>44</v>
      </c>
      <c r="J291" t="str">
        <f>PROPER(TRIM(CLEAN(tbl_Original[[#This Row],[Column1]])))</f>
        <v>Dafeng</v>
      </c>
      <c r="K291" t="s">
        <v>665</v>
      </c>
      <c r="L291" t="s">
        <v>665</v>
      </c>
      <c r="M291" t="s">
        <v>101</v>
      </c>
      <c r="N291" s="1">
        <v>443.52</v>
      </c>
      <c r="O291">
        <v>5</v>
      </c>
      <c r="P291" t="s">
        <v>48</v>
      </c>
      <c r="Q291">
        <v>5</v>
      </c>
      <c r="R291">
        <v>3</v>
      </c>
      <c r="S291">
        <v>0</v>
      </c>
      <c r="T291" t="s">
        <v>36</v>
      </c>
      <c r="U291" t="s">
        <v>37</v>
      </c>
      <c r="V291">
        <v>0</v>
      </c>
      <c r="W291">
        <v>7</v>
      </c>
      <c r="X291" t="s">
        <v>59</v>
      </c>
      <c r="Y291" t="s">
        <v>38</v>
      </c>
      <c r="Z291" t="s">
        <v>86</v>
      </c>
      <c r="AA291" s="2">
        <v>45422</v>
      </c>
      <c r="AB291" t="b">
        <v>1</v>
      </c>
      <c r="AC291" t="b">
        <v>0</v>
      </c>
      <c r="AD291" t="s">
        <v>40</v>
      </c>
      <c r="AE291" t="s">
        <v>53</v>
      </c>
      <c r="AF291">
        <v>9</v>
      </c>
    </row>
    <row r="292" spans="1:32" x14ac:dyDescent="0.25">
      <c r="A292" t="s">
        <v>666</v>
      </c>
      <c r="B292">
        <v>290</v>
      </c>
      <c r="C292">
        <v>45</v>
      </c>
      <c r="D292" t="str">
        <f>IF(tbl_Original[[#This Row],[Gender2]]="Female","Female",IF(tbl_Original[[#This Row],[Gender2]]="Male","Male","Other"))</f>
        <v>Other</v>
      </c>
      <c r="E292" t="s">
        <v>148</v>
      </c>
      <c r="F292" t="s">
        <v>30</v>
      </c>
      <c r="G292" t="s">
        <v>76</v>
      </c>
      <c r="H292" t="s">
        <v>45</v>
      </c>
      <c r="I292" t="s">
        <v>44</v>
      </c>
      <c r="J292" t="str">
        <f>PROPER(TRIM(CLEAN(tbl_Original[[#This Row],[Column1]])))</f>
        <v>Campo Maior</v>
      </c>
      <c r="K292" t="s">
        <v>667</v>
      </c>
      <c r="L292" t="s">
        <v>667</v>
      </c>
      <c r="M292" t="s">
        <v>246</v>
      </c>
      <c r="N292" s="1">
        <v>457.18</v>
      </c>
      <c r="O292">
        <v>7</v>
      </c>
      <c r="P292" t="s">
        <v>48</v>
      </c>
      <c r="Q292">
        <v>4</v>
      </c>
      <c r="R292">
        <v>3</v>
      </c>
      <c r="S292">
        <v>2</v>
      </c>
      <c r="T292" t="s">
        <v>44</v>
      </c>
      <c r="U292" t="s">
        <v>85</v>
      </c>
      <c r="V292">
        <v>2</v>
      </c>
      <c r="W292">
        <v>6</v>
      </c>
      <c r="X292" t="s">
        <v>49</v>
      </c>
      <c r="Y292" t="s">
        <v>60</v>
      </c>
      <c r="Z292" t="s">
        <v>66</v>
      </c>
      <c r="AA292" s="2">
        <v>45524</v>
      </c>
      <c r="AB292" t="b">
        <v>1</v>
      </c>
      <c r="AC292" t="b">
        <v>1</v>
      </c>
      <c r="AD292" t="s">
        <v>52</v>
      </c>
      <c r="AE292" t="s">
        <v>67</v>
      </c>
      <c r="AF292">
        <v>10</v>
      </c>
    </row>
    <row r="293" spans="1:32" x14ac:dyDescent="0.25">
      <c r="A293" t="s">
        <v>668</v>
      </c>
      <c r="B293">
        <v>291</v>
      </c>
      <c r="C293">
        <v>38</v>
      </c>
      <c r="D293" t="str">
        <f>IF(tbl_Original[[#This Row],[Gender2]]="Female","Female",IF(tbl_Original[[#This Row],[Gender2]]="Male","Male","Other"))</f>
        <v>Male</v>
      </c>
      <c r="E293" t="s">
        <v>43</v>
      </c>
      <c r="F293" t="s">
        <v>30</v>
      </c>
      <c r="G293" t="s">
        <v>55</v>
      </c>
      <c r="H293" t="s">
        <v>56</v>
      </c>
      <c r="I293" t="s">
        <v>44</v>
      </c>
      <c r="J293" t="str">
        <f>PROPER(TRIM(CLEAN(tbl_Original[[#This Row],[Column1]])))</f>
        <v>Svedalen</v>
      </c>
      <c r="K293" t="s">
        <v>2174</v>
      </c>
      <c r="L293" t="s">
        <v>669</v>
      </c>
      <c r="M293" t="s">
        <v>82</v>
      </c>
      <c r="N293" s="1">
        <v>407.88</v>
      </c>
      <c r="O293">
        <v>4</v>
      </c>
      <c r="P293" t="s">
        <v>48</v>
      </c>
      <c r="Q293">
        <v>1</v>
      </c>
      <c r="R293">
        <v>3</v>
      </c>
      <c r="S293">
        <v>1</v>
      </c>
      <c r="T293" t="s">
        <v>36</v>
      </c>
      <c r="U293" t="s">
        <v>85</v>
      </c>
      <c r="V293">
        <v>1</v>
      </c>
      <c r="W293">
        <v>10</v>
      </c>
      <c r="X293" t="s">
        <v>49</v>
      </c>
      <c r="Y293" t="s">
        <v>38</v>
      </c>
      <c r="Z293" t="s">
        <v>86</v>
      </c>
      <c r="AA293" s="2">
        <v>45607</v>
      </c>
      <c r="AB293" t="b">
        <v>0</v>
      </c>
      <c r="AC293" t="b">
        <v>0</v>
      </c>
      <c r="AD293" t="s">
        <v>74</v>
      </c>
      <c r="AE293" t="s">
        <v>53</v>
      </c>
      <c r="AF293">
        <v>14</v>
      </c>
    </row>
    <row r="294" spans="1:32" x14ac:dyDescent="0.25">
      <c r="A294" t="s">
        <v>670</v>
      </c>
      <c r="B294">
        <v>292</v>
      </c>
      <c r="C294">
        <v>30</v>
      </c>
      <c r="D294" t="str">
        <f>IF(tbl_Original[[#This Row],[Gender2]]="Female","Female",IF(tbl_Original[[#This Row],[Gender2]]="Male","Male","Other"))</f>
        <v>Male</v>
      </c>
      <c r="E294" t="s">
        <v>43</v>
      </c>
      <c r="F294" t="s">
        <v>30</v>
      </c>
      <c r="G294" t="s">
        <v>69</v>
      </c>
      <c r="H294" t="s">
        <v>32</v>
      </c>
      <c r="I294" t="s">
        <v>30</v>
      </c>
      <c r="J294" t="str">
        <f>PROPER(TRIM(CLEAN(tbl_Original[[#This Row],[Column1]])))</f>
        <v>Brikcha</v>
      </c>
      <c r="K294" t="s">
        <v>671</v>
      </c>
      <c r="L294" t="s">
        <v>671</v>
      </c>
      <c r="M294" t="s">
        <v>82</v>
      </c>
      <c r="N294" s="1">
        <v>448.68</v>
      </c>
      <c r="O294">
        <v>8</v>
      </c>
      <c r="P294" t="s">
        <v>48</v>
      </c>
      <c r="Q294">
        <v>4</v>
      </c>
      <c r="R294">
        <v>4</v>
      </c>
      <c r="S294">
        <v>2</v>
      </c>
      <c r="T294" t="s">
        <v>44</v>
      </c>
      <c r="U294" t="s">
        <v>37</v>
      </c>
      <c r="V294">
        <v>1</v>
      </c>
      <c r="W294">
        <v>3</v>
      </c>
      <c r="X294" t="s">
        <v>49</v>
      </c>
      <c r="Y294" t="s">
        <v>38</v>
      </c>
      <c r="Z294" t="s">
        <v>61</v>
      </c>
      <c r="AA294" s="2">
        <v>45437</v>
      </c>
      <c r="AB294" t="b">
        <v>1</v>
      </c>
      <c r="AC294" t="b">
        <v>0</v>
      </c>
      <c r="AD294" t="s">
        <v>52</v>
      </c>
      <c r="AE294" t="s">
        <v>67</v>
      </c>
      <c r="AF294">
        <v>8</v>
      </c>
    </row>
    <row r="295" spans="1:32" x14ac:dyDescent="0.25">
      <c r="A295" t="s">
        <v>672</v>
      </c>
      <c r="B295">
        <v>293</v>
      </c>
      <c r="C295">
        <v>40</v>
      </c>
      <c r="D295" t="str">
        <f>IF(tbl_Original[[#This Row],[Gender2]]="Female","Female",IF(tbl_Original[[#This Row],[Gender2]]="Male","Male","Other"))</f>
        <v>Female</v>
      </c>
      <c r="E295" t="s">
        <v>29</v>
      </c>
      <c r="F295" t="s">
        <v>44</v>
      </c>
      <c r="G295" t="s">
        <v>69</v>
      </c>
      <c r="H295" t="s">
        <v>32</v>
      </c>
      <c r="I295" t="s">
        <v>44</v>
      </c>
      <c r="J295" t="str">
        <f>PROPER(TRIM(CLEAN(tbl_Original[[#This Row],[Column1]])))</f>
        <v>Xidianzi</v>
      </c>
      <c r="K295" t="s">
        <v>673</v>
      </c>
      <c r="L295" t="s">
        <v>673</v>
      </c>
      <c r="M295" t="s">
        <v>117</v>
      </c>
      <c r="N295" s="1">
        <v>255.96</v>
      </c>
      <c r="O295">
        <v>7</v>
      </c>
      <c r="P295" t="s">
        <v>78</v>
      </c>
      <c r="Q295">
        <v>5</v>
      </c>
      <c r="R295">
        <v>1</v>
      </c>
      <c r="S295">
        <v>1</v>
      </c>
      <c r="T295" t="s">
        <v>44</v>
      </c>
      <c r="U295" t="s">
        <v>85</v>
      </c>
      <c r="V295">
        <v>0</v>
      </c>
      <c r="W295">
        <v>10</v>
      </c>
      <c r="X295" t="s">
        <v>36</v>
      </c>
      <c r="Y295" t="s">
        <v>38</v>
      </c>
      <c r="Z295" t="s">
        <v>86</v>
      </c>
      <c r="AA295" s="2">
        <v>45649</v>
      </c>
      <c r="AB295" t="b">
        <v>0</v>
      </c>
      <c r="AC295" t="b">
        <v>0</v>
      </c>
      <c r="AD295" t="s">
        <v>40</v>
      </c>
      <c r="AE295" t="s">
        <v>41</v>
      </c>
      <c r="AF295">
        <v>13</v>
      </c>
    </row>
    <row r="296" spans="1:32" x14ac:dyDescent="0.25">
      <c r="A296" t="s">
        <v>674</v>
      </c>
      <c r="B296">
        <v>294</v>
      </c>
      <c r="C296">
        <v>45</v>
      </c>
      <c r="D296" t="str">
        <f>IF(tbl_Original[[#This Row],[Gender2]]="Female","Female",IF(tbl_Original[[#This Row],[Gender2]]="Male","Male","Other"))</f>
        <v>Male</v>
      </c>
      <c r="E296" t="s">
        <v>43</v>
      </c>
      <c r="F296" t="s">
        <v>30</v>
      </c>
      <c r="G296" t="s">
        <v>31</v>
      </c>
      <c r="H296" t="s">
        <v>45</v>
      </c>
      <c r="I296" t="s">
        <v>44</v>
      </c>
      <c r="J296" t="str">
        <f>PROPER(TRIM(CLEAN(tbl_Original[[#This Row],[Column1]])))</f>
        <v>La Unin</v>
      </c>
      <c r="K296" t="s">
        <v>2175</v>
      </c>
      <c r="L296" t="s">
        <v>675</v>
      </c>
      <c r="M296" t="s">
        <v>98</v>
      </c>
      <c r="N296" s="1">
        <v>146.07</v>
      </c>
      <c r="O296">
        <v>7</v>
      </c>
      <c r="P296" t="s">
        <v>48</v>
      </c>
      <c r="Q296">
        <v>4</v>
      </c>
      <c r="R296">
        <v>2</v>
      </c>
      <c r="S296">
        <v>1</v>
      </c>
      <c r="T296" t="s">
        <v>59</v>
      </c>
      <c r="U296" t="s">
        <v>85</v>
      </c>
      <c r="V296">
        <v>1</v>
      </c>
      <c r="W296">
        <v>6</v>
      </c>
      <c r="X296" t="s">
        <v>36</v>
      </c>
      <c r="Y296" t="s">
        <v>38</v>
      </c>
      <c r="Z296" t="s">
        <v>39</v>
      </c>
      <c r="AA296" s="2">
        <v>45480</v>
      </c>
      <c r="AB296" t="b">
        <v>1</v>
      </c>
      <c r="AC296" t="b">
        <v>1</v>
      </c>
      <c r="AD296" t="s">
        <v>40</v>
      </c>
      <c r="AE296" t="s">
        <v>53</v>
      </c>
      <c r="AF296">
        <v>1</v>
      </c>
    </row>
    <row r="297" spans="1:32" x14ac:dyDescent="0.25">
      <c r="A297" t="s">
        <v>676</v>
      </c>
      <c r="B297">
        <v>295</v>
      </c>
      <c r="C297">
        <v>44</v>
      </c>
      <c r="D297" t="str">
        <f>IF(tbl_Original[[#This Row],[Gender2]]="Female","Female",IF(tbl_Original[[#This Row],[Gender2]]="Male","Male","Other"))</f>
        <v>Female</v>
      </c>
      <c r="E297" t="s">
        <v>29</v>
      </c>
      <c r="F297" t="s">
        <v>44</v>
      </c>
      <c r="G297" t="s">
        <v>55</v>
      </c>
      <c r="H297" t="s">
        <v>45</v>
      </c>
      <c r="I297" t="s">
        <v>30</v>
      </c>
      <c r="J297" t="str">
        <f>PROPER(TRIM(CLEAN(tbl_Original[[#This Row],[Column1]])))</f>
        <v>Kliteh</v>
      </c>
      <c r="K297" t="s">
        <v>677</v>
      </c>
      <c r="L297" t="s">
        <v>677</v>
      </c>
      <c r="M297" t="s">
        <v>142</v>
      </c>
      <c r="N297" s="1">
        <v>311.89999999999998</v>
      </c>
      <c r="O297">
        <v>4</v>
      </c>
      <c r="P297" t="s">
        <v>48</v>
      </c>
      <c r="Q297">
        <v>2</v>
      </c>
      <c r="R297">
        <v>4</v>
      </c>
      <c r="S297">
        <v>2</v>
      </c>
      <c r="T297" t="s">
        <v>59</v>
      </c>
      <c r="U297" t="s">
        <v>85</v>
      </c>
      <c r="V297">
        <v>0</v>
      </c>
      <c r="W297">
        <v>6</v>
      </c>
      <c r="X297" t="s">
        <v>44</v>
      </c>
      <c r="Y297" t="s">
        <v>60</v>
      </c>
      <c r="Z297" t="s">
        <v>39</v>
      </c>
      <c r="AA297" s="2">
        <v>45656</v>
      </c>
      <c r="AB297" t="b">
        <v>0</v>
      </c>
      <c r="AC297" t="b">
        <v>1</v>
      </c>
      <c r="AD297" t="s">
        <v>74</v>
      </c>
      <c r="AE297" t="s">
        <v>41</v>
      </c>
      <c r="AF297">
        <v>2</v>
      </c>
    </row>
    <row r="298" spans="1:32" x14ac:dyDescent="0.25">
      <c r="A298" t="s">
        <v>678</v>
      </c>
      <c r="B298">
        <v>296</v>
      </c>
      <c r="C298">
        <v>38</v>
      </c>
      <c r="D298" t="str">
        <f>IF(tbl_Original[[#This Row],[Gender2]]="Female","Female",IF(tbl_Original[[#This Row],[Gender2]]="Male","Male","Other"))</f>
        <v>Female</v>
      </c>
      <c r="E298" t="s">
        <v>29</v>
      </c>
      <c r="F298" t="s">
        <v>30</v>
      </c>
      <c r="G298" t="s">
        <v>69</v>
      </c>
      <c r="H298" t="s">
        <v>45</v>
      </c>
      <c r="I298" t="s">
        <v>30</v>
      </c>
      <c r="J298" t="str">
        <f>PROPER(TRIM(CLEAN(tbl_Original[[#This Row],[Column1]])))</f>
        <v>Bja</v>
      </c>
      <c r="K298" t="s">
        <v>2176</v>
      </c>
      <c r="L298" t="s">
        <v>679</v>
      </c>
      <c r="M298" t="s">
        <v>34</v>
      </c>
      <c r="N298" s="1">
        <v>301.60000000000002</v>
      </c>
      <c r="O298">
        <v>4</v>
      </c>
      <c r="P298" t="s">
        <v>35</v>
      </c>
      <c r="Q298">
        <v>4</v>
      </c>
      <c r="R298">
        <v>5</v>
      </c>
      <c r="S298">
        <v>1</v>
      </c>
      <c r="T298" t="s">
        <v>59</v>
      </c>
      <c r="U298" t="s">
        <v>50</v>
      </c>
      <c r="V298">
        <v>2</v>
      </c>
      <c r="W298">
        <v>10</v>
      </c>
      <c r="X298" t="s">
        <v>44</v>
      </c>
      <c r="Y298" t="s">
        <v>79</v>
      </c>
      <c r="Z298" t="s">
        <v>39</v>
      </c>
      <c r="AA298" s="2">
        <v>45362</v>
      </c>
      <c r="AB298" t="b">
        <v>0</v>
      </c>
      <c r="AC298" t="b">
        <v>0</v>
      </c>
      <c r="AD298" t="s">
        <v>62</v>
      </c>
      <c r="AE298" t="s">
        <v>53</v>
      </c>
      <c r="AF298">
        <v>13</v>
      </c>
    </row>
    <row r="299" spans="1:32" x14ac:dyDescent="0.25">
      <c r="A299" t="s">
        <v>680</v>
      </c>
      <c r="B299">
        <v>297</v>
      </c>
      <c r="C299">
        <v>23</v>
      </c>
      <c r="D299" t="str">
        <f>IF(tbl_Original[[#This Row],[Gender2]]="Female","Female",IF(tbl_Original[[#This Row],[Gender2]]="Male","Male","Other"))</f>
        <v>Other</v>
      </c>
      <c r="E299" t="s">
        <v>212</v>
      </c>
      <c r="F299" t="s">
        <v>30</v>
      </c>
      <c r="G299" t="s">
        <v>69</v>
      </c>
      <c r="H299" t="s">
        <v>32</v>
      </c>
      <c r="I299" t="s">
        <v>44</v>
      </c>
      <c r="J299" t="str">
        <f>PROPER(TRIM(CLEAN(tbl_Original[[#This Row],[Column1]])))</f>
        <v>Ferreira Do Alentejo</v>
      </c>
      <c r="K299" t="s">
        <v>681</v>
      </c>
      <c r="L299" t="s">
        <v>681</v>
      </c>
      <c r="M299" t="s">
        <v>120</v>
      </c>
      <c r="N299" s="1">
        <v>297.45</v>
      </c>
      <c r="O299">
        <v>3</v>
      </c>
      <c r="P299" t="s">
        <v>35</v>
      </c>
      <c r="Q299">
        <v>1</v>
      </c>
      <c r="R299">
        <v>5</v>
      </c>
      <c r="S299">
        <v>0</v>
      </c>
      <c r="T299" t="s">
        <v>49</v>
      </c>
      <c r="U299" t="s">
        <v>85</v>
      </c>
      <c r="V299">
        <v>0</v>
      </c>
      <c r="W299">
        <v>7</v>
      </c>
      <c r="X299" t="s">
        <v>59</v>
      </c>
      <c r="Y299" t="s">
        <v>38</v>
      </c>
      <c r="Z299" t="s">
        <v>61</v>
      </c>
      <c r="AA299" s="2">
        <v>45480</v>
      </c>
      <c r="AB299" t="b">
        <v>0</v>
      </c>
      <c r="AC299" t="b">
        <v>0</v>
      </c>
      <c r="AD299" t="s">
        <v>74</v>
      </c>
      <c r="AE299" t="s">
        <v>41</v>
      </c>
      <c r="AF299">
        <v>4</v>
      </c>
    </row>
    <row r="300" spans="1:32" x14ac:dyDescent="0.25">
      <c r="A300" t="s">
        <v>682</v>
      </c>
      <c r="B300">
        <v>298</v>
      </c>
      <c r="C300">
        <v>30</v>
      </c>
      <c r="D300" t="str">
        <f>IF(tbl_Original[[#This Row],[Gender2]]="Female","Female",IF(tbl_Original[[#This Row],[Gender2]]="Male","Male","Other"))</f>
        <v>Other</v>
      </c>
      <c r="E300" t="s">
        <v>352</v>
      </c>
      <c r="F300" t="s">
        <v>44</v>
      </c>
      <c r="G300" t="s">
        <v>69</v>
      </c>
      <c r="H300" t="s">
        <v>32</v>
      </c>
      <c r="I300" t="s">
        <v>44</v>
      </c>
      <c r="J300" t="str">
        <f>PROPER(TRIM(CLEAN(tbl_Original[[#This Row],[Column1]])))</f>
        <v>Gegernoong</v>
      </c>
      <c r="K300" t="s">
        <v>683</v>
      </c>
      <c r="L300" t="s">
        <v>683</v>
      </c>
      <c r="M300" t="s">
        <v>90</v>
      </c>
      <c r="N300" s="1">
        <v>157.26</v>
      </c>
      <c r="O300">
        <v>3</v>
      </c>
      <c r="P300" t="s">
        <v>78</v>
      </c>
      <c r="Q300">
        <v>1</v>
      </c>
      <c r="R300">
        <v>3</v>
      </c>
      <c r="S300">
        <v>1</v>
      </c>
      <c r="T300" t="s">
        <v>49</v>
      </c>
      <c r="U300" t="s">
        <v>50</v>
      </c>
      <c r="V300">
        <v>1</v>
      </c>
      <c r="W300">
        <v>1</v>
      </c>
      <c r="X300" t="s">
        <v>36</v>
      </c>
      <c r="Y300" t="s">
        <v>79</v>
      </c>
      <c r="Z300" t="s">
        <v>86</v>
      </c>
      <c r="AA300" s="2">
        <v>45497</v>
      </c>
      <c r="AB300" t="b">
        <v>0</v>
      </c>
      <c r="AC300" t="b">
        <v>0</v>
      </c>
      <c r="AD300" t="s">
        <v>40</v>
      </c>
      <c r="AE300" t="s">
        <v>53</v>
      </c>
      <c r="AF300">
        <v>8</v>
      </c>
    </row>
    <row r="301" spans="1:32" x14ac:dyDescent="0.25">
      <c r="A301" t="s">
        <v>684</v>
      </c>
      <c r="B301">
        <v>299</v>
      </c>
      <c r="C301">
        <v>42</v>
      </c>
      <c r="D301" t="str">
        <f>IF(tbl_Original[[#This Row],[Gender2]]="Female","Female",IF(tbl_Original[[#This Row],[Gender2]]="Male","Male","Other"))</f>
        <v>Male</v>
      </c>
      <c r="E301" t="s">
        <v>43</v>
      </c>
      <c r="F301" t="s">
        <v>44</v>
      </c>
      <c r="G301" t="s">
        <v>69</v>
      </c>
      <c r="H301" t="s">
        <v>56</v>
      </c>
      <c r="I301" t="s">
        <v>30</v>
      </c>
      <c r="J301" t="str">
        <f>PROPER(TRIM(CLEAN(tbl_Original[[#This Row],[Column1]])))</f>
        <v>La Montaأ±Ita</v>
      </c>
      <c r="K301" t="s">
        <v>685</v>
      </c>
      <c r="L301" t="s">
        <v>685</v>
      </c>
      <c r="M301" t="s">
        <v>142</v>
      </c>
      <c r="N301" s="1">
        <v>239.46</v>
      </c>
      <c r="O301">
        <v>3</v>
      </c>
      <c r="P301" t="s">
        <v>35</v>
      </c>
      <c r="Q301">
        <v>3</v>
      </c>
      <c r="R301">
        <v>1</v>
      </c>
      <c r="S301">
        <v>0</v>
      </c>
      <c r="T301" t="s">
        <v>59</v>
      </c>
      <c r="U301" t="s">
        <v>50</v>
      </c>
      <c r="V301">
        <v>2</v>
      </c>
      <c r="W301">
        <v>8</v>
      </c>
      <c r="X301" t="s">
        <v>44</v>
      </c>
      <c r="Y301" t="s">
        <v>79</v>
      </c>
      <c r="Z301" t="s">
        <v>66</v>
      </c>
      <c r="AA301" s="2">
        <v>45508</v>
      </c>
      <c r="AB301" t="b">
        <v>1</v>
      </c>
      <c r="AC301" t="b">
        <v>1</v>
      </c>
      <c r="AD301" t="s">
        <v>74</v>
      </c>
      <c r="AE301" t="s">
        <v>53</v>
      </c>
      <c r="AF301">
        <v>7</v>
      </c>
    </row>
    <row r="302" spans="1:32" x14ac:dyDescent="0.25">
      <c r="A302" t="s">
        <v>686</v>
      </c>
      <c r="B302">
        <v>300</v>
      </c>
      <c r="C302">
        <v>28</v>
      </c>
      <c r="D302" t="str">
        <f>IF(tbl_Original[[#This Row],[Gender2]]="Female","Female",IF(tbl_Original[[#This Row],[Gender2]]="Male","Male","Other"))</f>
        <v>Female</v>
      </c>
      <c r="E302" t="s">
        <v>29</v>
      </c>
      <c r="F302" t="s">
        <v>44</v>
      </c>
      <c r="G302" t="s">
        <v>69</v>
      </c>
      <c r="H302" t="s">
        <v>45</v>
      </c>
      <c r="I302" t="s">
        <v>44</v>
      </c>
      <c r="J302" t="str">
        <f>PROPER(TRIM(CLEAN(tbl_Original[[#This Row],[Column1]])))</f>
        <v>Sarishbri</v>
      </c>
      <c r="K302" t="s">
        <v>2177</v>
      </c>
      <c r="L302" t="s">
        <v>687</v>
      </c>
      <c r="M302" t="s">
        <v>34</v>
      </c>
      <c r="N302" s="1">
        <v>240.82</v>
      </c>
      <c r="O302">
        <v>10</v>
      </c>
      <c r="P302" t="s">
        <v>35</v>
      </c>
      <c r="Q302">
        <v>1</v>
      </c>
      <c r="R302">
        <v>3</v>
      </c>
      <c r="S302">
        <v>2</v>
      </c>
      <c r="T302" t="s">
        <v>44</v>
      </c>
      <c r="U302" t="s">
        <v>37</v>
      </c>
      <c r="V302">
        <v>0</v>
      </c>
      <c r="W302">
        <v>3</v>
      </c>
      <c r="X302" t="s">
        <v>49</v>
      </c>
      <c r="Y302" t="s">
        <v>38</v>
      </c>
      <c r="Z302" t="s">
        <v>51</v>
      </c>
      <c r="AA302" s="2">
        <v>45293</v>
      </c>
      <c r="AB302" t="b">
        <v>1</v>
      </c>
      <c r="AC302" t="b">
        <v>0</v>
      </c>
      <c r="AD302" t="s">
        <v>74</v>
      </c>
      <c r="AE302" t="s">
        <v>41</v>
      </c>
      <c r="AF302">
        <v>8</v>
      </c>
    </row>
    <row r="303" spans="1:32" x14ac:dyDescent="0.25">
      <c r="A303" t="s">
        <v>688</v>
      </c>
      <c r="B303">
        <v>301</v>
      </c>
      <c r="C303">
        <v>44</v>
      </c>
      <c r="D303" t="str">
        <f>IF(tbl_Original[[#This Row],[Gender2]]="Female","Female",IF(tbl_Original[[#This Row],[Gender2]]="Male","Male","Other"))</f>
        <v>Female</v>
      </c>
      <c r="E303" t="s">
        <v>29</v>
      </c>
      <c r="F303" t="s">
        <v>30</v>
      </c>
      <c r="G303" t="s">
        <v>55</v>
      </c>
      <c r="H303" t="s">
        <v>56</v>
      </c>
      <c r="I303" t="s">
        <v>44</v>
      </c>
      <c r="J303" t="str">
        <f>PROPER(TRIM(CLEAN(tbl_Original[[#This Row],[Column1]])))</f>
        <v>Mangge</v>
      </c>
      <c r="K303" t="s">
        <v>689</v>
      </c>
      <c r="L303" t="s">
        <v>689</v>
      </c>
      <c r="M303" t="s">
        <v>90</v>
      </c>
      <c r="N303" s="1">
        <v>302.07</v>
      </c>
      <c r="O303">
        <v>6</v>
      </c>
      <c r="P303" t="s">
        <v>35</v>
      </c>
      <c r="Q303">
        <v>1</v>
      </c>
      <c r="R303">
        <v>5</v>
      </c>
      <c r="S303">
        <v>1</v>
      </c>
      <c r="T303" t="s">
        <v>49</v>
      </c>
      <c r="U303" t="s">
        <v>50</v>
      </c>
      <c r="V303">
        <v>2</v>
      </c>
      <c r="W303">
        <v>5</v>
      </c>
      <c r="X303" t="s">
        <v>49</v>
      </c>
      <c r="Y303" t="s">
        <v>79</v>
      </c>
      <c r="Z303" t="s">
        <v>66</v>
      </c>
      <c r="AA303" s="2">
        <v>45391</v>
      </c>
      <c r="AB303" t="b">
        <v>1</v>
      </c>
      <c r="AC303" t="b">
        <v>0</v>
      </c>
      <c r="AD303" t="s">
        <v>74</v>
      </c>
      <c r="AE303" t="s">
        <v>67</v>
      </c>
      <c r="AF303">
        <v>13</v>
      </c>
    </row>
    <row r="304" spans="1:32" x14ac:dyDescent="0.25">
      <c r="A304" t="s">
        <v>690</v>
      </c>
      <c r="B304">
        <v>302</v>
      </c>
      <c r="C304">
        <v>45</v>
      </c>
      <c r="D304" t="str">
        <f>IF(tbl_Original[[#This Row],[Gender2]]="Female","Female",IF(tbl_Original[[#This Row],[Gender2]]="Male","Male","Other"))</f>
        <v>Male</v>
      </c>
      <c r="E304" t="s">
        <v>43</v>
      </c>
      <c r="F304" t="s">
        <v>30</v>
      </c>
      <c r="G304" t="s">
        <v>69</v>
      </c>
      <c r="H304" t="s">
        <v>32</v>
      </c>
      <c r="I304" t="s">
        <v>30</v>
      </c>
      <c r="J304" t="str">
        <f>PROPER(TRIM(CLEAN(tbl_Original[[#This Row],[Column1]])))</f>
        <v>Chabaovice</v>
      </c>
      <c r="K304" t="s">
        <v>2178</v>
      </c>
      <c r="L304" t="s">
        <v>691</v>
      </c>
      <c r="M304" t="s">
        <v>120</v>
      </c>
      <c r="N304" s="1">
        <v>367.99</v>
      </c>
      <c r="O304">
        <v>2</v>
      </c>
      <c r="P304" t="s">
        <v>78</v>
      </c>
      <c r="Q304">
        <v>2</v>
      </c>
      <c r="R304">
        <v>5</v>
      </c>
      <c r="S304">
        <v>1</v>
      </c>
      <c r="T304" t="s">
        <v>36</v>
      </c>
      <c r="U304" t="s">
        <v>50</v>
      </c>
      <c r="V304">
        <v>2</v>
      </c>
      <c r="W304">
        <v>2</v>
      </c>
      <c r="X304" t="s">
        <v>44</v>
      </c>
      <c r="Y304" t="s">
        <v>60</v>
      </c>
      <c r="Z304" t="s">
        <v>61</v>
      </c>
      <c r="AA304" s="2">
        <v>45580</v>
      </c>
      <c r="AB304" t="b">
        <v>0</v>
      </c>
      <c r="AC304" t="b">
        <v>0</v>
      </c>
      <c r="AD304" t="s">
        <v>74</v>
      </c>
      <c r="AE304" t="s">
        <v>67</v>
      </c>
      <c r="AF304">
        <v>8</v>
      </c>
    </row>
    <row r="305" spans="1:32" x14ac:dyDescent="0.25">
      <c r="A305" t="s">
        <v>692</v>
      </c>
      <c r="B305">
        <v>303</v>
      </c>
      <c r="C305">
        <v>46</v>
      </c>
      <c r="D305" t="str">
        <f>IF(tbl_Original[[#This Row],[Gender2]]="Female","Female",IF(tbl_Original[[#This Row],[Gender2]]="Male","Male","Other"))</f>
        <v>Female</v>
      </c>
      <c r="E305" t="s">
        <v>29</v>
      </c>
      <c r="F305" t="s">
        <v>44</v>
      </c>
      <c r="G305" t="s">
        <v>31</v>
      </c>
      <c r="H305" t="s">
        <v>56</v>
      </c>
      <c r="I305" t="s">
        <v>30</v>
      </c>
      <c r="J305" t="str">
        <f>PROPER(TRIM(CLEAN(tbl_Original[[#This Row],[Column1]])))</f>
        <v>Yangping</v>
      </c>
      <c r="K305" t="s">
        <v>693</v>
      </c>
      <c r="L305" t="s">
        <v>693</v>
      </c>
      <c r="M305" t="s">
        <v>158</v>
      </c>
      <c r="N305" s="1">
        <v>359.75</v>
      </c>
      <c r="O305">
        <v>7</v>
      </c>
      <c r="P305" t="s">
        <v>48</v>
      </c>
      <c r="Q305">
        <v>5</v>
      </c>
      <c r="R305">
        <v>1</v>
      </c>
      <c r="S305">
        <v>1</v>
      </c>
      <c r="T305" t="s">
        <v>44</v>
      </c>
      <c r="U305" t="s">
        <v>50</v>
      </c>
      <c r="V305">
        <v>1</v>
      </c>
      <c r="W305">
        <v>6</v>
      </c>
      <c r="X305" t="s">
        <v>59</v>
      </c>
      <c r="Y305" t="s">
        <v>38</v>
      </c>
      <c r="Z305" t="s">
        <v>66</v>
      </c>
      <c r="AA305" s="2">
        <v>45314</v>
      </c>
      <c r="AB305" t="b">
        <v>0</v>
      </c>
      <c r="AC305" t="b">
        <v>0</v>
      </c>
      <c r="AD305" t="s">
        <v>52</v>
      </c>
      <c r="AE305" t="s">
        <v>53</v>
      </c>
      <c r="AF305">
        <v>3</v>
      </c>
    </row>
    <row r="306" spans="1:32" x14ac:dyDescent="0.25">
      <c r="A306" t="s">
        <v>694</v>
      </c>
      <c r="B306">
        <v>304</v>
      </c>
      <c r="C306">
        <v>28</v>
      </c>
      <c r="D306" t="str">
        <f>IF(tbl_Original[[#This Row],[Gender2]]="Female","Female",IF(tbl_Original[[#This Row],[Gender2]]="Male","Male","Other"))</f>
        <v>Female</v>
      </c>
      <c r="E306" t="s">
        <v>29</v>
      </c>
      <c r="F306" t="s">
        <v>30</v>
      </c>
      <c r="G306" t="s">
        <v>76</v>
      </c>
      <c r="H306" t="s">
        <v>32</v>
      </c>
      <c r="I306" t="s">
        <v>44</v>
      </c>
      <c r="J306" t="str">
        <f>PROPER(TRIM(CLEAN(tbl_Original[[#This Row],[Column1]])))</f>
        <v>Berezna</v>
      </c>
      <c r="K306" t="s">
        <v>695</v>
      </c>
      <c r="L306" t="s">
        <v>695</v>
      </c>
      <c r="M306" t="s">
        <v>114</v>
      </c>
      <c r="N306" s="1">
        <v>204.44</v>
      </c>
      <c r="O306">
        <v>2</v>
      </c>
      <c r="P306" t="s">
        <v>35</v>
      </c>
      <c r="Q306">
        <v>5</v>
      </c>
      <c r="R306">
        <v>3</v>
      </c>
      <c r="S306">
        <v>2</v>
      </c>
      <c r="T306" t="s">
        <v>36</v>
      </c>
      <c r="U306" t="s">
        <v>37</v>
      </c>
      <c r="V306">
        <v>1</v>
      </c>
      <c r="W306">
        <v>3</v>
      </c>
      <c r="X306" t="s">
        <v>44</v>
      </c>
      <c r="Y306" t="s">
        <v>79</v>
      </c>
      <c r="Z306" t="s">
        <v>61</v>
      </c>
      <c r="AA306" s="2">
        <v>45627</v>
      </c>
      <c r="AB306" t="b">
        <v>0</v>
      </c>
      <c r="AC306" t="b">
        <v>1</v>
      </c>
      <c r="AD306" t="s">
        <v>62</v>
      </c>
      <c r="AE306" t="s">
        <v>53</v>
      </c>
      <c r="AF306">
        <v>13</v>
      </c>
    </row>
    <row r="307" spans="1:32" x14ac:dyDescent="0.25">
      <c r="A307" t="s">
        <v>696</v>
      </c>
      <c r="B307">
        <v>305</v>
      </c>
      <c r="C307">
        <v>27</v>
      </c>
      <c r="D307" t="str">
        <f>IF(tbl_Original[[#This Row],[Gender2]]="Female","Female",IF(tbl_Original[[#This Row],[Gender2]]="Male","Male","Other"))</f>
        <v>Male</v>
      </c>
      <c r="E307" t="s">
        <v>43</v>
      </c>
      <c r="F307" t="s">
        <v>44</v>
      </c>
      <c r="G307" t="s">
        <v>55</v>
      </c>
      <c r="H307" t="s">
        <v>56</v>
      </c>
      <c r="I307" t="s">
        <v>44</v>
      </c>
      <c r="J307" t="str">
        <f>PROPER(TRIM(CLEAN(tbl_Original[[#This Row],[Column1]])))</f>
        <v>Vidual</v>
      </c>
      <c r="K307" t="s">
        <v>697</v>
      </c>
      <c r="L307" t="s">
        <v>697</v>
      </c>
      <c r="M307" t="s">
        <v>34</v>
      </c>
      <c r="N307" s="1">
        <v>228.93</v>
      </c>
      <c r="O307">
        <v>7</v>
      </c>
      <c r="P307" t="s">
        <v>78</v>
      </c>
      <c r="Q307">
        <v>1</v>
      </c>
      <c r="R307">
        <v>1</v>
      </c>
      <c r="S307">
        <v>2</v>
      </c>
      <c r="T307" t="s">
        <v>59</v>
      </c>
      <c r="U307" t="s">
        <v>50</v>
      </c>
      <c r="V307">
        <v>2</v>
      </c>
      <c r="W307">
        <v>2</v>
      </c>
      <c r="X307" t="s">
        <v>49</v>
      </c>
      <c r="Y307" t="s">
        <v>79</v>
      </c>
      <c r="Z307" t="s">
        <v>51</v>
      </c>
      <c r="AA307" s="2">
        <v>45341</v>
      </c>
      <c r="AB307" t="b">
        <v>1</v>
      </c>
      <c r="AC307" t="b">
        <v>1</v>
      </c>
      <c r="AD307" t="s">
        <v>62</v>
      </c>
      <c r="AE307" t="s">
        <v>67</v>
      </c>
      <c r="AF307">
        <v>11</v>
      </c>
    </row>
    <row r="308" spans="1:32" x14ac:dyDescent="0.25">
      <c r="A308" t="s">
        <v>698</v>
      </c>
      <c r="B308">
        <v>306</v>
      </c>
      <c r="C308">
        <v>20</v>
      </c>
      <c r="D308" t="str">
        <f>IF(tbl_Original[[#This Row],[Gender2]]="Female","Female",IF(tbl_Original[[#This Row],[Gender2]]="Male","Male","Other"))</f>
        <v>Female</v>
      </c>
      <c r="E308" t="s">
        <v>29</v>
      </c>
      <c r="F308" t="s">
        <v>44</v>
      </c>
      <c r="G308" t="s">
        <v>55</v>
      </c>
      <c r="H308" t="s">
        <v>45</v>
      </c>
      <c r="I308" t="s">
        <v>30</v>
      </c>
      <c r="J308" t="str">
        <f>PROPER(TRIM(CLEAN(tbl_Original[[#This Row],[Column1]])))</f>
        <v>Paris 17</v>
      </c>
      <c r="K308" t="s">
        <v>546</v>
      </c>
      <c r="L308" t="s">
        <v>546</v>
      </c>
      <c r="M308" t="s">
        <v>58</v>
      </c>
      <c r="N308" s="1">
        <v>355.31</v>
      </c>
      <c r="O308">
        <v>11</v>
      </c>
      <c r="P308" t="s">
        <v>78</v>
      </c>
      <c r="Q308">
        <v>1</v>
      </c>
      <c r="R308">
        <v>1</v>
      </c>
      <c r="S308">
        <v>0</v>
      </c>
      <c r="T308" t="s">
        <v>44</v>
      </c>
      <c r="U308" t="s">
        <v>50</v>
      </c>
      <c r="V308">
        <v>1</v>
      </c>
      <c r="W308">
        <v>2</v>
      </c>
      <c r="X308" t="s">
        <v>49</v>
      </c>
      <c r="Y308" t="s">
        <v>79</v>
      </c>
      <c r="Z308" t="s">
        <v>61</v>
      </c>
      <c r="AA308" s="2">
        <v>45523</v>
      </c>
      <c r="AB308" t="b">
        <v>0</v>
      </c>
      <c r="AC308" t="b">
        <v>1</v>
      </c>
      <c r="AD308" t="s">
        <v>62</v>
      </c>
      <c r="AE308" t="s">
        <v>67</v>
      </c>
      <c r="AF308">
        <v>12</v>
      </c>
    </row>
    <row r="309" spans="1:32" x14ac:dyDescent="0.25">
      <c r="A309" t="s">
        <v>699</v>
      </c>
      <c r="B309">
        <v>307</v>
      </c>
      <c r="C309">
        <v>40</v>
      </c>
      <c r="D309" t="str">
        <f>IF(tbl_Original[[#This Row],[Gender2]]="Female","Female",IF(tbl_Original[[#This Row],[Gender2]]="Male","Male","Other"))</f>
        <v>Male</v>
      </c>
      <c r="E309" t="s">
        <v>43</v>
      </c>
      <c r="F309" t="s">
        <v>44</v>
      </c>
      <c r="G309" t="s">
        <v>31</v>
      </c>
      <c r="H309" t="s">
        <v>45</v>
      </c>
      <c r="I309" t="s">
        <v>44</v>
      </c>
      <c r="J309" t="str">
        <f>PROPER(TRIM(CLEAN(tbl_Original[[#This Row],[Column1]])))</f>
        <v>Hultsfred</v>
      </c>
      <c r="K309" t="s">
        <v>700</v>
      </c>
      <c r="L309" t="s">
        <v>700</v>
      </c>
      <c r="M309" t="s">
        <v>101</v>
      </c>
      <c r="N309" s="1">
        <v>334.67</v>
      </c>
      <c r="O309">
        <v>12</v>
      </c>
      <c r="P309" t="s">
        <v>48</v>
      </c>
      <c r="Q309">
        <v>2</v>
      </c>
      <c r="R309">
        <v>1</v>
      </c>
      <c r="S309">
        <v>2</v>
      </c>
      <c r="T309" t="s">
        <v>36</v>
      </c>
      <c r="U309" t="s">
        <v>37</v>
      </c>
      <c r="V309">
        <v>2</v>
      </c>
      <c r="W309">
        <v>5</v>
      </c>
      <c r="X309" t="s">
        <v>36</v>
      </c>
      <c r="Y309" t="s">
        <v>38</v>
      </c>
      <c r="Z309" t="s">
        <v>61</v>
      </c>
      <c r="AA309" s="2">
        <v>45614</v>
      </c>
      <c r="AB309" t="b">
        <v>1</v>
      </c>
      <c r="AC309" t="b">
        <v>0</v>
      </c>
      <c r="AD309" t="s">
        <v>40</v>
      </c>
      <c r="AE309" t="s">
        <v>53</v>
      </c>
      <c r="AF309">
        <v>13</v>
      </c>
    </row>
    <row r="310" spans="1:32" x14ac:dyDescent="0.25">
      <c r="A310" t="s">
        <v>701</v>
      </c>
      <c r="B310">
        <v>308</v>
      </c>
      <c r="C310">
        <v>36</v>
      </c>
      <c r="D310" t="str">
        <f>IF(tbl_Original[[#This Row],[Gender2]]="Female","Female",IF(tbl_Original[[#This Row],[Gender2]]="Male","Male","Other"))</f>
        <v>Male</v>
      </c>
      <c r="E310" t="s">
        <v>43</v>
      </c>
      <c r="F310" t="s">
        <v>30</v>
      </c>
      <c r="G310" t="s">
        <v>69</v>
      </c>
      <c r="H310" t="s">
        <v>56</v>
      </c>
      <c r="I310" t="s">
        <v>30</v>
      </c>
      <c r="J310" t="str">
        <f>PROPER(TRIM(CLEAN(tbl_Original[[#This Row],[Column1]])))</f>
        <v>Nأ­Kaia</v>
      </c>
      <c r="K310" t="s">
        <v>702</v>
      </c>
      <c r="L310" t="s">
        <v>702</v>
      </c>
      <c r="M310" t="s">
        <v>82</v>
      </c>
      <c r="N310" s="1">
        <v>182.72</v>
      </c>
      <c r="O310">
        <v>5</v>
      </c>
      <c r="P310" t="s">
        <v>78</v>
      </c>
      <c r="Q310">
        <v>2</v>
      </c>
      <c r="R310">
        <v>1</v>
      </c>
      <c r="S310">
        <v>2</v>
      </c>
      <c r="T310" t="s">
        <v>44</v>
      </c>
      <c r="U310" t="s">
        <v>85</v>
      </c>
      <c r="V310">
        <v>1</v>
      </c>
      <c r="W310">
        <v>7</v>
      </c>
      <c r="X310" t="s">
        <v>36</v>
      </c>
      <c r="Y310" t="s">
        <v>79</v>
      </c>
      <c r="Z310" t="s">
        <v>66</v>
      </c>
      <c r="AA310" s="2">
        <v>45447</v>
      </c>
      <c r="AB310" t="b">
        <v>0</v>
      </c>
      <c r="AC310" t="b">
        <v>0</v>
      </c>
      <c r="AD310" t="s">
        <v>62</v>
      </c>
      <c r="AE310" t="s">
        <v>41</v>
      </c>
      <c r="AF310">
        <v>13</v>
      </c>
    </row>
    <row r="311" spans="1:32" x14ac:dyDescent="0.25">
      <c r="A311" t="s">
        <v>703</v>
      </c>
      <c r="B311">
        <v>309</v>
      </c>
      <c r="C311">
        <v>43</v>
      </c>
      <c r="D311" t="str">
        <f>IF(tbl_Original[[#This Row],[Gender2]]="Female","Female",IF(tbl_Original[[#This Row],[Gender2]]="Male","Male","Other"))</f>
        <v>Male</v>
      </c>
      <c r="E311" t="s">
        <v>43</v>
      </c>
      <c r="F311" t="s">
        <v>44</v>
      </c>
      <c r="G311" t="s">
        <v>69</v>
      </c>
      <c r="H311" t="s">
        <v>45</v>
      </c>
      <c r="I311" t="s">
        <v>30</v>
      </c>
      <c r="J311" t="str">
        <f>PROPER(TRIM(CLEAN(tbl_Original[[#This Row],[Column1]])))</f>
        <v>Macayug</v>
      </c>
      <c r="K311" t="s">
        <v>704</v>
      </c>
      <c r="L311" t="s">
        <v>704</v>
      </c>
      <c r="M311" t="s">
        <v>246</v>
      </c>
      <c r="N311" s="1">
        <v>260.22000000000003</v>
      </c>
      <c r="O311">
        <v>11</v>
      </c>
      <c r="P311" t="s">
        <v>48</v>
      </c>
      <c r="Q311">
        <v>4</v>
      </c>
      <c r="R311">
        <v>3</v>
      </c>
      <c r="S311">
        <v>0</v>
      </c>
      <c r="T311" t="s">
        <v>36</v>
      </c>
      <c r="U311" t="s">
        <v>50</v>
      </c>
      <c r="V311">
        <v>2</v>
      </c>
      <c r="W311">
        <v>5</v>
      </c>
      <c r="X311" t="s">
        <v>44</v>
      </c>
      <c r="Y311" t="s">
        <v>79</v>
      </c>
      <c r="Z311" t="s">
        <v>39</v>
      </c>
      <c r="AA311" s="2">
        <v>45616</v>
      </c>
      <c r="AB311" t="b">
        <v>0</v>
      </c>
      <c r="AC311" t="b">
        <v>1</v>
      </c>
      <c r="AD311" t="s">
        <v>40</v>
      </c>
      <c r="AE311" t="s">
        <v>67</v>
      </c>
      <c r="AF311">
        <v>13</v>
      </c>
    </row>
    <row r="312" spans="1:32" x14ac:dyDescent="0.25">
      <c r="A312" t="s">
        <v>705</v>
      </c>
      <c r="B312">
        <v>310</v>
      </c>
      <c r="C312">
        <v>26</v>
      </c>
      <c r="D312" t="str">
        <f>IF(tbl_Original[[#This Row],[Gender2]]="Female","Female",IF(tbl_Original[[#This Row],[Gender2]]="Male","Male","Other"))</f>
        <v>Female</v>
      </c>
      <c r="E312" t="s">
        <v>29</v>
      </c>
      <c r="F312" t="s">
        <v>44</v>
      </c>
      <c r="G312" t="s">
        <v>55</v>
      </c>
      <c r="H312" t="s">
        <v>45</v>
      </c>
      <c r="I312" t="s">
        <v>30</v>
      </c>
      <c r="J312" t="str">
        <f>PROPER(TRIM(CLEAN(tbl_Original[[#This Row],[Column1]])))</f>
        <v>Mahanoro</v>
      </c>
      <c r="K312" t="s">
        <v>706</v>
      </c>
      <c r="L312" t="s">
        <v>706</v>
      </c>
      <c r="M312" t="s">
        <v>47</v>
      </c>
      <c r="N312" s="1">
        <v>454.93</v>
      </c>
      <c r="O312">
        <v>8</v>
      </c>
      <c r="P312" t="s">
        <v>78</v>
      </c>
      <c r="Q312">
        <v>3</v>
      </c>
      <c r="R312">
        <v>5</v>
      </c>
      <c r="S312">
        <v>0</v>
      </c>
      <c r="T312" t="s">
        <v>59</v>
      </c>
      <c r="U312" t="s">
        <v>37</v>
      </c>
      <c r="V312">
        <v>2</v>
      </c>
      <c r="W312">
        <v>7</v>
      </c>
      <c r="X312" t="s">
        <v>49</v>
      </c>
      <c r="Y312" t="s">
        <v>79</v>
      </c>
      <c r="Z312" t="s">
        <v>61</v>
      </c>
      <c r="AA312" s="2">
        <v>45403</v>
      </c>
      <c r="AB312" t="b">
        <v>0</v>
      </c>
      <c r="AC312" t="b">
        <v>0</v>
      </c>
      <c r="AD312" t="s">
        <v>52</v>
      </c>
      <c r="AE312" t="s">
        <v>41</v>
      </c>
      <c r="AF312">
        <v>11</v>
      </c>
    </row>
    <row r="313" spans="1:32" x14ac:dyDescent="0.25">
      <c r="A313" t="s">
        <v>707</v>
      </c>
      <c r="B313">
        <v>311</v>
      </c>
      <c r="C313">
        <v>29</v>
      </c>
      <c r="D313" t="str">
        <f>IF(tbl_Original[[#This Row],[Gender2]]="Female","Female",IF(tbl_Original[[#This Row],[Gender2]]="Male","Male","Other"))</f>
        <v>Male</v>
      </c>
      <c r="E313" t="s">
        <v>43</v>
      </c>
      <c r="F313" t="s">
        <v>30</v>
      </c>
      <c r="G313" t="s">
        <v>69</v>
      </c>
      <c r="H313" t="s">
        <v>32</v>
      </c>
      <c r="I313" t="s">
        <v>44</v>
      </c>
      <c r="J313" t="str">
        <f>PROPER(TRIM(CLEAN(tbl_Original[[#This Row],[Column1]])))</f>
        <v>Mozdok</v>
      </c>
      <c r="K313" t="s">
        <v>708</v>
      </c>
      <c r="L313" t="s">
        <v>708</v>
      </c>
      <c r="M313" t="s">
        <v>188</v>
      </c>
      <c r="N313" s="1">
        <v>325.42</v>
      </c>
      <c r="O313">
        <v>11</v>
      </c>
      <c r="P313" t="s">
        <v>48</v>
      </c>
      <c r="Q313">
        <v>2</v>
      </c>
      <c r="R313">
        <v>4</v>
      </c>
      <c r="S313">
        <v>2</v>
      </c>
      <c r="T313" t="s">
        <v>59</v>
      </c>
      <c r="U313" t="s">
        <v>50</v>
      </c>
      <c r="V313">
        <v>1</v>
      </c>
      <c r="W313">
        <v>1</v>
      </c>
      <c r="X313" t="s">
        <v>44</v>
      </c>
      <c r="Y313" t="s">
        <v>79</v>
      </c>
      <c r="Z313" t="s">
        <v>66</v>
      </c>
      <c r="AA313" s="2">
        <v>45585</v>
      </c>
      <c r="AB313" t="b">
        <v>1</v>
      </c>
      <c r="AC313" t="b">
        <v>0</v>
      </c>
      <c r="AD313" t="s">
        <v>62</v>
      </c>
      <c r="AE313" t="s">
        <v>67</v>
      </c>
      <c r="AF313">
        <v>7</v>
      </c>
    </row>
    <row r="314" spans="1:32" x14ac:dyDescent="0.25">
      <c r="A314" t="s">
        <v>709</v>
      </c>
      <c r="B314">
        <v>312</v>
      </c>
      <c r="C314">
        <v>34</v>
      </c>
      <c r="D314" t="str">
        <f>IF(tbl_Original[[#This Row],[Gender2]]="Female","Female",IF(tbl_Original[[#This Row],[Gender2]]="Male","Male","Other"))</f>
        <v>Female</v>
      </c>
      <c r="E314" t="s">
        <v>29</v>
      </c>
      <c r="F314" t="s">
        <v>30</v>
      </c>
      <c r="G314" t="s">
        <v>69</v>
      </c>
      <c r="H314" t="s">
        <v>45</v>
      </c>
      <c r="I314" t="s">
        <v>44</v>
      </c>
      <c r="J314" t="str">
        <f>PROPER(TRIM(CLEAN(tbl_Original[[#This Row],[Column1]])))</f>
        <v>Hoolt</v>
      </c>
      <c r="K314" t="s">
        <v>710</v>
      </c>
      <c r="L314" t="s">
        <v>710</v>
      </c>
      <c r="M314" t="s">
        <v>246</v>
      </c>
      <c r="N314" s="1">
        <v>351.36</v>
      </c>
      <c r="O314">
        <v>2</v>
      </c>
      <c r="P314" t="s">
        <v>48</v>
      </c>
      <c r="Q314">
        <v>5</v>
      </c>
      <c r="R314">
        <v>3</v>
      </c>
      <c r="S314">
        <v>2</v>
      </c>
      <c r="T314" t="s">
        <v>44</v>
      </c>
      <c r="U314" t="s">
        <v>85</v>
      </c>
      <c r="V314">
        <v>2</v>
      </c>
      <c r="W314">
        <v>6</v>
      </c>
      <c r="X314" t="s">
        <v>36</v>
      </c>
      <c r="Y314" t="s">
        <v>79</v>
      </c>
      <c r="Z314" t="s">
        <v>66</v>
      </c>
      <c r="AA314" s="2">
        <v>45331</v>
      </c>
      <c r="AB314" t="b">
        <v>0</v>
      </c>
      <c r="AC314" t="b">
        <v>1</v>
      </c>
      <c r="AD314" t="s">
        <v>40</v>
      </c>
      <c r="AE314" t="s">
        <v>53</v>
      </c>
      <c r="AF314">
        <v>7</v>
      </c>
    </row>
    <row r="315" spans="1:32" x14ac:dyDescent="0.25">
      <c r="A315" t="s">
        <v>711</v>
      </c>
      <c r="B315">
        <v>313</v>
      </c>
      <c r="C315">
        <v>40</v>
      </c>
      <c r="D315" t="str">
        <f>IF(tbl_Original[[#This Row],[Gender2]]="Female","Female",IF(tbl_Original[[#This Row],[Gender2]]="Male","Male","Other"))</f>
        <v>Male</v>
      </c>
      <c r="E315" t="s">
        <v>43</v>
      </c>
      <c r="F315" t="s">
        <v>44</v>
      </c>
      <c r="G315" t="s">
        <v>55</v>
      </c>
      <c r="H315" t="s">
        <v>32</v>
      </c>
      <c r="I315" t="s">
        <v>30</v>
      </c>
      <c r="J315" t="str">
        <f>PROPER(TRIM(CLEAN(tbl_Original[[#This Row],[Column1]])))</f>
        <v>San Luis</v>
      </c>
      <c r="K315" t="s">
        <v>712</v>
      </c>
      <c r="L315" t="s">
        <v>712</v>
      </c>
      <c r="M315" t="s">
        <v>123</v>
      </c>
      <c r="N315" s="1">
        <v>333.63</v>
      </c>
      <c r="O315">
        <v>8</v>
      </c>
      <c r="P315" t="s">
        <v>35</v>
      </c>
      <c r="Q315">
        <v>4</v>
      </c>
      <c r="R315">
        <v>5</v>
      </c>
      <c r="S315">
        <v>2</v>
      </c>
      <c r="T315" t="s">
        <v>36</v>
      </c>
      <c r="U315" t="s">
        <v>85</v>
      </c>
      <c r="V315">
        <v>2</v>
      </c>
      <c r="W315">
        <v>2</v>
      </c>
      <c r="X315" t="s">
        <v>44</v>
      </c>
      <c r="Y315" t="s">
        <v>60</v>
      </c>
      <c r="Z315" t="s">
        <v>66</v>
      </c>
      <c r="AA315" s="2">
        <v>45631</v>
      </c>
      <c r="AB315" t="b">
        <v>0</v>
      </c>
      <c r="AC315" t="b">
        <v>0</v>
      </c>
      <c r="AD315" t="s">
        <v>40</v>
      </c>
      <c r="AE315" t="s">
        <v>67</v>
      </c>
      <c r="AF315">
        <v>14</v>
      </c>
    </row>
    <row r="316" spans="1:32" x14ac:dyDescent="0.25">
      <c r="A316" t="s">
        <v>713</v>
      </c>
      <c r="B316">
        <v>314</v>
      </c>
      <c r="C316">
        <v>42</v>
      </c>
      <c r="D316" t="str">
        <f>IF(tbl_Original[[#This Row],[Gender2]]="Female","Female",IF(tbl_Original[[#This Row],[Gender2]]="Male","Male","Other"))</f>
        <v>Female</v>
      </c>
      <c r="E316" t="s">
        <v>29</v>
      </c>
      <c r="F316" t="s">
        <v>44</v>
      </c>
      <c r="G316" t="s">
        <v>31</v>
      </c>
      <c r="H316" t="s">
        <v>32</v>
      </c>
      <c r="I316" t="s">
        <v>30</v>
      </c>
      <c r="J316" t="str">
        <f>PROPER(TRIM(CLEAN(tbl_Original[[#This Row],[Column1]])))</f>
        <v>Pergan</v>
      </c>
      <c r="K316" t="s">
        <v>714</v>
      </c>
      <c r="L316" t="s">
        <v>714</v>
      </c>
      <c r="M316" t="s">
        <v>188</v>
      </c>
      <c r="N316" s="1">
        <v>469.9</v>
      </c>
      <c r="O316">
        <v>4</v>
      </c>
      <c r="P316" t="s">
        <v>35</v>
      </c>
      <c r="Q316">
        <v>2</v>
      </c>
      <c r="R316">
        <v>5</v>
      </c>
      <c r="S316">
        <v>1</v>
      </c>
      <c r="T316" t="s">
        <v>59</v>
      </c>
      <c r="U316" t="s">
        <v>50</v>
      </c>
      <c r="V316">
        <v>1</v>
      </c>
      <c r="W316">
        <v>7</v>
      </c>
      <c r="X316" t="s">
        <v>36</v>
      </c>
      <c r="Y316" t="s">
        <v>79</v>
      </c>
      <c r="Z316" t="s">
        <v>86</v>
      </c>
      <c r="AA316" s="2">
        <v>45471</v>
      </c>
      <c r="AB316" t="b">
        <v>0</v>
      </c>
      <c r="AC316" t="b">
        <v>0</v>
      </c>
      <c r="AD316" t="s">
        <v>74</v>
      </c>
      <c r="AE316" t="s">
        <v>41</v>
      </c>
      <c r="AF316">
        <v>7</v>
      </c>
    </row>
    <row r="317" spans="1:32" x14ac:dyDescent="0.25">
      <c r="A317" t="s">
        <v>715</v>
      </c>
      <c r="B317">
        <v>315</v>
      </c>
      <c r="C317">
        <v>28</v>
      </c>
      <c r="D317" t="str">
        <f>IF(tbl_Original[[#This Row],[Gender2]]="Female","Female",IF(tbl_Original[[#This Row],[Gender2]]="Male","Male","Other"))</f>
        <v>Male</v>
      </c>
      <c r="E317" t="s">
        <v>43</v>
      </c>
      <c r="F317" t="s">
        <v>44</v>
      </c>
      <c r="G317" t="s">
        <v>31</v>
      </c>
      <c r="H317" t="s">
        <v>32</v>
      </c>
      <c r="I317" t="s">
        <v>44</v>
      </c>
      <c r="J317" t="str">
        <f>PROPER(TRIM(CLEAN(tbl_Original[[#This Row],[Column1]])))</f>
        <v>Kanoni</v>
      </c>
      <c r="K317" t="s">
        <v>716</v>
      </c>
      <c r="L317" t="s">
        <v>716</v>
      </c>
      <c r="M317" t="s">
        <v>93</v>
      </c>
      <c r="N317" s="1">
        <v>207.52</v>
      </c>
      <c r="O317">
        <v>4</v>
      </c>
      <c r="P317" t="s">
        <v>48</v>
      </c>
      <c r="Q317">
        <v>3</v>
      </c>
      <c r="R317">
        <v>4</v>
      </c>
      <c r="S317">
        <v>1</v>
      </c>
      <c r="T317" t="s">
        <v>59</v>
      </c>
      <c r="U317" t="s">
        <v>50</v>
      </c>
      <c r="V317">
        <v>1</v>
      </c>
      <c r="W317">
        <v>8</v>
      </c>
      <c r="X317" t="s">
        <v>44</v>
      </c>
      <c r="Y317" t="s">
        <v>79</v>
      </c>
      <c r="Z317" t="s">
        <v>61</v>
      </c>
      <c r="AA317" s="2">
        <v>45510</v>
      </c>
      <c r="AB317" t="b">
        <v>0</v>
      </c>
      <c r="AC317" t="b">
        <v>0</v>
      </c>
      <c r="AD317" t="s">
        <v>62</v>
      </c>
      <c r="AE317" t="s">
        <v>41</v>
      </c>
      <c r="AF317">
        <v>2</v>
      </c>
    </row>
    <row r="318" spans="1:32" x14ac:dyDescent="0.25">
      <c r="A318" t="s">
        <v>717</v>
      </c>
      <c r="B318">
        <v>316</v>
      </c>
      <c r="C318">
        <v>49</v>
      </c>
      <c r="D318" t="str">
        <f>IF(tbl_Original[[#This Row],[Gender2]]="Female","Female",IF(tbl_Original[[#This Row],[Gender2]]="Male","Male","Other"))</f>
        <v>Male</v>
      </c>
      <c r="E318" t="s">
        <v>43</v>
      </c>
      <c r="F318" t="s">
        <v>44</v>
      </c>
      <c r="G318" t="s">
        <v>55</v>
      </c>
      <c r="H318" t="s">
        <v>32</v>
      </c>
      <c r="I318" t="s">
        <v>44</v>
      </c>
      <c r="J318" t="str">
        <f>PROPER(TRIM(CLEAN(tbl_Original[[#This Row],[Column1]])))</f>
        <v>Gromadka</v>
      </c>
      <c r="K318" t="s">
        <v>718</v>
      </c>
      <c r="L318" t="s">
        <v>718</v>
      </c>
      <c r="M318" t="s">
        <v>126</v>
      </c>
      <c r="N318" s="1">
        <v>125.89</v>
      </c>
      <c r="O318">
        <v>7</v>
      </c>
      <c r="P318" t="s">
        <v>48</v>
      </c>
      <c r="Q318">
        <v>3</v>
      </c>
      <c r="R318">
        <v>3</v>
      </c>
      <c r="S318">
        <v>2</v>
      </c>
      <c r="T318" t="s">
        <v>59</v>
      </c>
      <c r="U318" t="s">
        <v>50</v>
      </c>
      <c r="V318">
        <v>1</v>
      </c>
      <c r="W318">
        <v>6</v>
      </c>
      <c r="X318" t="s">
        <v>49</v>
      </c>
      <c r="Y318" t="s">
        <v>79</v>
      </c>
      <c r="Z318" t="s">
        <v>61</v>
      </c>
      <c r="AA318" s="2">
        <v>45618</v>
      </c>
      <c r="AB318" t="b">
        <v>0</v>
      </c>
      <c r="AC318" t="b">
        <v>0</v>
      </c>
      <c r="AD318" t="s">
        <v>52</v>
      </c>
      <c r="AE318" t="s">
        <v>41</v>
      </c>
      <c r="AF318">
        <v>13</v>
      </c>
    </row>
    <row r="319" spans="1:32" x14ac:dyDescent="0.25">
      <c r="A319" t="s">
        <v>719</v>
      </c>
      <c r="B319">
        <v>317</v>
      </c>
      <c r="C319">
        <v>46</v>
      </c>
      <c r="D319" t="str">
        <f>IF(tbl_Original[[#This Row],[Gender2]]="Female","Female",IF(tbl_Original[[#This Row],[Gender2]]="Male","Male","Other"))</f>
        <v>Female</v>
      </c>
      <c r="E319" t="s">
        <v>29</v>
      </c>
      <c r="F319" t="s">
        <v>44</v>
      </c>
      <c r="G319" t="s">
        <v>55</v>
      </c>
      <c r="H319" t="s">
        <v>56</v>
      </c>
      <c r="I319" t="s">
        <v>30</v>
      </c>
      <c r="J319" t="str">
        <f>PROPER(TRIM(CLEAN(tbl_Original[[#This Row],[Column1]])))</f>
        <v>Payapa</v>
      </c>
      <c r="K319" t="s">
        <v>720</v>
      </c>
      <c r="L319" t="s">
        <v>720</v>
      </c>
      <c r="M319" t="s">
        <v>117</v>
      </c>
      <c r="N319" s="1">
        <v>170.77</v>
      </c>
      <c r="O319">
        <v>9</v>
      </c>
      <c r="P319" t="s">
        <v>78</v>
      </c>
      <c r="Q319">
        <v>5</v>
      </c>
      <c r="R319">
        <v>2</v>
      </c>
      <c r="S319">
        <v>1</v>
      </c>
      <c r="T319" t="s">
        <v>49</v>
      </c>
      <c r="U319" t="s">
        <v>37</v>
      </c>
      <c r="V319">
        <v>2</v>
      </c>
      <c r="W319">
        <v>1</v>
      </c>
      <c r="X319" t="s">
        <v>59</v>
      </c>
      <c r="Y319" t="s">
        <v>60</v>
      </c>
      <c r="Z319" t="s">
        <v>39</v>
      </c>
      <c r="AA319" s="2">
        <v>45508</v>
      </c>
      <c r="AB319" t="b">
        <v>0</v>
      </c>
      <c r="AC319" t="b">
        <v>0</v>
      </c>
      <c r="AD319" t="s">
        <v>62</v>
      </c>
      <c r="AE319" t="s">
        <v>41</v>
      </c>
      <c r="AF319">
        <v>4</v>
      </c>
    </row>
    <row r="320" spans="1:32" x14ac:dyDescent="0.25">
      <c r="A320" t="s">
        <v>721</v>
      </c>
      <c r="B320">
        <v>318</v>
      </c>
      <c r="C320">
        <v>44</v>
      </c>
      <c r="D320" t="str">
        <f>IF(tbl_Original[[#This Row],[Gender2]]="Female","Female",IF(tbl_Original[[#This Row],[Gender2]]="Male","Male","Other"))</f>
        <v>Female</v>
      </c>
      <c r="E320" t="s">
        <v>29</v>
      </c>
      <c r="F320" t="s">
        <v>44</v>
      </c>
      <c r="G320" t="s">
        <v>76</v>
      </c>
      <c r="H320" t="s">
        <v>56</v>
      </c>
      <c r="I320" t="s">
        <v>44</v>
      </c>
      <c r="J320" t="str">
        <f>PROPER(TRIM(CLEAN(tbl_Original[[#This Row],[Column1]])))</f>
        <v>Rat Burana</v>
      </c>
      <c r="K320" t="s">
        <v>722</v>
      </c>
      <c r="L320" t="s">
        <v>722</v>
      </c>
      <c r="M320" t="s">
        <v>117</v>
      </c>
      <c r="N320" s="1">
        <v>63.91</v>
      </c>
      <c r="O320">
        <v>2</v>
      </c>
      <c r="P320" t="s">
        <v>78</v>
      </c>
      <c r="Q320">
        <v>1</v>
      </c>
      <c r="R320">
        <v>4</v>
      </c>
      <c r="S320">
        <v>2</v>
      </c>
      <c r="T320" t="s">
        <v>36</v>
      </c>
      <c r="U320" t="s">
        <v>50</v>
      </c>
      <c r="V320">
        <v>0</v>
      </c>
      <c r="W320">
        <v>6</v>
      </c>
      <c r="X320" t="s">
        <v>49</v>
      </c>
      <c r="Y320" t="s">
        <v>60</v>
      </c>
      <c r="Z320" t="s">
        <v>86</v>
      </c>
      <c r="AA320" s="2">
        <v>45303</v>
      </c>
      <c r="AB320" t="b">
        <v>0</v>
      </c>
      <c r="AC320" t="b">
        <v>1</v>
      </c>
      <c r="AD320" t="s">
        <v>74</v>
      </c>
      <c r="AE320" t="s">
        <v>41</v>
      </c>
      <c r="AF320">
        <v>12</v>
      </c>
    </row>
    <row r="321" spans="1:32" x14ac:dyDescent="0.25">
      <c r="A321" t="s">
        <v>723</v>
      </c>
      <c r="B321">
        <v>319</v>
      </c>
      <c r="C321">
        <v>29</v>
      </c>
      <c r="D321" t="str">
        <f>IF(tbl_Original[[#This Row],[Gender2]]="Female","Female",IF(tbl_Original[[#This Row],[Gender2]]="Male","Male","Other"))</f>
        <v>Male</v>
      </c>
      <c r="E321" t="s">
        <v>43</v>
      </c>
      <c r="F321" t="s">
        <v>44</v>
      </c>
      <c r="G321" t="s">
        <v>31</v>
      </c>
      <c r="H321" t="s">
        <v>45</v>
      </c>
      <c r="I321" t="s">
        <v>30</v>
      </c>
      <c r="J321" t="str">
        <f>PROPER(TRIM(CLEAN(tbl_Original[[#This Row],[Column1]])))</f>
        <v>Trhov Sviny</v>
      </c>
      <c r="K321" t="s">
        <v>2179</v>
      </c>
      <c r="L321" t="s">
        <v>724</v>
      </c>
      <c r="M321" t="s">
        <v>183</v>
      </c>
      <c r="N321" s="1">
        <v>340.55</v>
      </c>
      <c r="O321">
        <v>7</v>
      </c>
      <c r="P321" t="s">
        <v>48</v>
      </c>
      <c r="Q321">
        <v>4</v>
      </c>
      <c r="R321">
        <v>5</v>
      </c>
      <c r="S321">
        <v>0</v>
      </c>
      <c r="T321" t="s">
        <v>59</v>
      </c>
      <c r="U321" t="s">
        <v>50</v>
      </c>
      <c r="V321">
        <v>0</v>
      </c>
      <c r="W321">
        <v>7</v>
      </c>
      <c r="X321" t="s">
        <v>36</v>
      </c>
      <c r="Y321" t="s">
        <v>79</v>
      </c>
      <c r="Z321" t="s">
        <v>39</v>
      </c>
      <c r="AA321" s="2">
        <v>45615</v>
      </c>
      <c r="AB321" t="b">
        <v>0</v>
      </c>
      <c r="AC321" t="b">
        <v>1</v>
      </c>
      <c r="AD321" t="s">
        <v>74</v>
      </c>
      <c r="AE321" t="s">
        <v>67</v>
      </c>
      <c r="AF321">
        <v>1</v>
      </c>
    </row>
    <row r="322" spans="1:32" x14ac:dyDescent="0.25">
      <c r="A322" t="s">
        <v>725</v>
      </c>
      <c r="B322">
        <v>320</v>
      </c>
      <c r="C322">
        <v>47</v>
      </c>
      <c r="D322" t="str">
        <f>IF(tbl_Original[[#This Row],[Gender2]]="Female","Female",IF(tbl_Original[[#This Row],[Gender2]]="Male","Male","Other"))</f>
        <v>Male</v>
      </c>
      <c r="E322" t="s">
        <v>43</v>
      </c>
      <c r="F322" t="s">
        <v>30</v>
      </c>
      <c r="G322" t="s">
        <v>76</v>
      </c>
      <c r="H322" t="s">
        <v>32</v>
      </c>
      <c r="I322" t="s">
        <v>44</v>
      </c>
      <c r="J322" t="str">
        <f>PROPER(TRIM(CLEAN(tbl_Original[[#This Row],[Column1]])))</f>
        <v>Kiev</v>
      </c>
      <c r="K322" t="s">
        <v>726</v>
      </c>
      <c r="L322" t="s">
        <v>726</v>
      </c>
      <c r="M322" t="s">
        <v>120</v>
      </c>
      <c r="N322" s="1">
        <v>378.14</v>
      </c>
      <c r="O322">
        <v>6</v>
      </c>
      <c r="P322" t="s">
        <v>35</v>
      </c>
      <c r="Q322">
        <v>2</v>
      </c>
      <c r="R322">
        <v>2</v>
      </c>
      <c r="S322">
        <v>1</v>
      </c>
      <c r="T322" t="s">
        <v>49</v>
      </c>
      <c r="U322" t="s">
        <v>85</v>
      </c>
      <c r="V322">
        <v>1</v>
      </c>
      <c r="W322">
        <v>6</v>
      </c>
      <c r="X322" t="s">
        <v>44</v>
      </c>
      <c r="Y322" t="s">
        <v>60</v>
      </c>
      <c r="Z322" t="s">
        <v>51</v>
      </c>
      <c r="AA322" s="2">
        <v>45539</v>
      </c>
      <c r="AB322" t="b">
        <v>0</v>
      </c>
      <c r="AC322" t="b">
        <v>0</v>
      </c>
      <c r="AD322" t="s">
        <v>52</v>
      </c>
      <c r="AE322" t="s">
        <v>53</v>
      </c>
      <c r="AF322">
        <v>7</v>
      </c>
    </row>
    <row r="323" spans="1:32" x14ac:dyDescent="0.25">
      <c r="A323" t="s">
        <v>727</v>
      </c>
      <c r="B323">
        <v>321</v>
      </c>
      <c r="C323">
        <v>37</v>
      </c>
      <c r="D323" t="str">
        <f>IF(tbl_Original[[#This Row],[Gender2]]="Female","Female",IF(tbl_Original[[#This Row],[Gender2]]="Male","Male","Other"))</f>
        <v>Female</v>
      </c>
      <c r="E323" t="s">
        <v>29</v>
      </c>
      <c r="F323" t="s">
        <v>30</v>
      </c>
      <c r="G323" t="s">
        <v>31</v>
      </c>
      <c r="H323" t="s">
        <v>32</v>
      </c>
      <c r="I323" t="s">
        <v>30</v>
      </c>
      <c r="J323" t="str">
        <f>PROPER(TRIM(CLEAN(tbl_Original[[#This Row],[Column1]])))</f>
        <v>Creteil</v>
      </c>
      <c r="K323" t="s">
        <v>2304</v>
      </c>
      <c r="L323" t="s">
        <v>254</v>
      </c>
      <c r="M323" t="s">
        <v>126</v>
      </c>
      <c r="N323" s="1">
        <v>235.84</v>
      </c>
      <c r="O323">
        <v>9</v>
      </c>
      <c r="P323" t="s">
        <v>35</v>
      </c>
      <c r="Q323">
        <v>5</v>
      </c>
      <c r="R323">
        <v>2</v>
      </c>
      <c r="S323">
        <v>0</v>
      </c>
      <c r="T323" t="s">
        <v>36</v>
      </c>
      <c r="U323" t="s">
        <v>85</v>
      </c>
      <c r="V323">
        <v>2</v>
      </c>
      <c r="W323">
        <v>3</v>
      </c>
      <c r="X323" t="s">
        <v>36</v>
      </c>
      <c r="Y323" t="s">
        <v>79</v>
      </c>
      <c r="Z323" t="s">
        <v>86</v>
      </c>
      <c r="AA323" s="2">
        <v>45507</v>
      </c>
      <c r="AB323" t="b">
        <v>0</v>
      </c>
      <c r="AC323" t="b">
        <v>0</v>
      </c>
      <c r="AD323" t="s">
        <v>74</v>
      </c>
      <c r="AE323" t="s">
        <v>41</v>
      </c>
      <c r="AF323">
        <v>14</v>
      </c>
    </row>
    <row r="324" spans="1:32" x14ac:dyDescent="0.25">
      <c r="A324" t="s">
        <v>728</v>
      </c>
      <c r="B324">
        <v>322</v>
      </c>
      <c r="C324">
        <v>47</v>
      </c>
      <c r="D324" t="str">
        <f>IF(tbl_Original[[#This Row],[Gender2]]="Female","Female",IF(tbl_Original[[#This Row],[Gender2]]="Male","Male","Other"))</f>
        <v>Male</v>
      </c>
      <c r="E324" t="s">
        <v>43</v>
      </c>
      <c r="F324" t="s">
        <v>44</v>
      </c>
      <c r="G324" t="s">
        <v>69</v>
      </c>
      <c r="H324" t="s">
        <v>45</v>
      </c>
      <c r="I324" t="s">
        <v>30</v>
      </c>
      <c r="J324" t="str">
        <f>PROPER(TRIM(CLEAN(tbl_Original[[#This Row],[Column1]])))</f>
        <v>Lomintsevskiy</v>
      </c>
      <c r="K324" t="s">
        <v>729</v>
      </c>
      <c r="L324" t="s">
        <v>729</v>
      </c>
      <c r="M324" t="s">
        <v>135</v>
      </c>
      <c r="N324" s="1">
        <v>164.44</v>
      </c>
      <c r="O324">
        <v>5</v>
      </c>
      <c r="P324" t="s">
        <v>48</v>
      </c>
      <c r="Q324">
        <v>5</v>
      </c>
      <c r="R324">
        <v>1</v>
      </c>
      <c r="S324">
        <v>2</v>
      </c>
      <c r="T324" t="s">
        <v>59</v>
      </c>
      <c r="U324" t="s">
        <v>37</v>
      </c>
      <c r="V324">
        <v>1</v>
      </c>
      <c r="W324">
        <v>10</v>
      </c>
      <c r="X324" t="s">
        <v>44</v>
      </c>
      <c r="Y324" t="s">
        <v>60</v>
      </c>
      <c r="Z324" t="s">
        <v>66</v>
      </c>
      <c r="AA324" s="2">
        <v>45390</v>
      </c>
      <c r="AB324" t="b">
        <v>0</v>
      </c>
      <c r="AC324" t="b">
        <v>0</v>
      </c>
      <c r="AD324" t="s">
        <v>62</v>
      </c>
      <c r="AE324" t="s">
        <v>41</v>
      </c>
      <c r="AF324">
        <v>5</v>
      </c>
    </row>
    <row r="325" spans="1:32" x14ac:dyDescent="0.25">
      <c r="A325" t="s">
        <v>730</v>
      </c>
      <c r="B325">
        <v>323</v>
      </c>
      <c r="C325">
        <v>24</v>
      </c>
      <c r="D325" t="str">
        <f>IF(tbl_Original[[#This Row],[Gender2]]="Female","Female",IF(tbl_Original[[#This Row],[Gender2]]="Male","Male","Other"))</f>
        <v>Male</v>
      </c>
      <c r="E325" t="s">
        <v>43</v>
      </c>
      <c r="F325" t="s">
        <v>44</v>
      </c>
      <c r="G325" t="s">
        <v>31</v>
      </c>
      <c r="H325" t="s">
        <v>32</v>
      </c>
      <c r="I325" t="s">
        <v>44</v>
      </c>
      <c r="J325" t="str">
        <f>PROPER(TRIM(CLEAN(tbl_Original[[#This Row],[Column1]])))</f>
        <v>Monchegorsk</v>
      </c>
      <c r="K325" t="s">
        <v>731</v>
      </c>
      <c r="L325" t="s">
        <v>731</v>
      </c>
      <c r="M325" t="s">
        <v>90</v>
      </c>
      <c r="N325" s="1">
        <v>455.81</v>
      </c>
      <c r="O325">
        <v>3</v>
      </c>
      <c r="P325" t="s">
        <v>78</v>
      </c>
      <c r="Q325">
        <v>2</v>
      </c>
      <c r="R325">
        <v>3</v>
      </c>
      <c r="S325">
        <v>1</v>
      </c>
      <c r="T325" t="s">
        <v>59</v>
      </c>
      <c r="U325" t="s">
        <v>37</v>
      </c>
      <c r="V325">
        <v>1</v>
      </c>
      <c r="W325">
        <v>6</v>
      </c>
      <c r="X325" t="s">
        <v>49</v>
      </c>
      <c r="Y325" t="s">
        <v>60</v>
      </c>
      <c r="Z325" t="s">
        <v>61</v>
      </c>
      <c r="AA325" s="2">
        <v>45403</v>
      </c>
      <c r="AB325" t="b">
        <v>0</v>
      </c>
      <c r="AC325" t="b">
        <v>0</v>
      </c>
      <c r="AD325" t="s">
        <v>52</v>
      </c>
      <c r="AE325" t="s">
        <v>67</v>
      </c>
      <c r="AF325">
        <v>6</v>
      </c>
    </row>
    <row r="326" spans="1:32" x14ac:dyDescent="0.25">
      <c r="A326" t="s">
        <v>732</v>
      </c>
      <c r="B326">
        <v>324</v>
      </c>
      <c r="C326">
        <v>36</v>
      </c>
      <c r="D326" t="str">
        <f>IF(tbl_Original[[#This Row],[Gender2]]="Female","Female",IF(tbl_Original[[#This Row],[Gender2]]="Male","Male","Other"))</f>
        <v>Male</v>
      </c>
      <c r="E326" t="s">
        <v>43</v>
      </c>
      <c r="F326" t="s">
        <v>44</v>
      </c>
      <c r="G326" t="s">
        <v>69</v>
      </c>
      <c r="H326" t="s">
        <v>56</v>
      </c>
      <c r="I326" t="s">
        <v>44</v>
      </c>
      <c r="J326" t="str">
        <f>PROPER(TRIM(CLEAN(tbl_Original[[#This Row],[Column1]])))</f>
        <v>Olavarra</v>
      </c>
      <c r="K326" t="s">
        <v>2180</v>
      </c>
      <c r="L326" t="s">
        <v>733</v>
      </c>
      <c r="M326" t="s">
        <v>104</v>
      </c>
      <c r="N326" s="1">
        <v>298.32</v>
      </c>
      <c r="O326">
        <v>7</v>
      </c>
      <c r="P326" t="s">
        <v>48</v>
      </c>
      <c r="Q326">
        <v>3</v>
      </c>
      <c r="R326">
        <v>5</v>
      </c>
      <c r="S326">
        <v>1</v>
      </c>
      <c r="T326" t="s">
        <v>59</v>
      </c>
      <c r="U326" t="s">
        <v>37</v>
      </c>
      <c r="V326">
        <v>2</v>
      </c>
      <c r="W326">
        <v>8</v>
      </c>
      <c r="X326" t="s">
        <v>36</v>
      </c>
      <c r="Y326" t="s">
        <v>38</v>
      </c>
      <c r="Z326" t="s">
        <v>66</v>
      </c>
      <c r="AA326" s="2">
        <v>45460</v>
      </c>
      <c r="AB326" t="b">
        <v>1</v>
      </c>
      <c r="AC326" t="b">
        <v>0</v>
      </c>
      <c r="AD326" t="s">
        <v>52</v>
      </c>
      <c r="AE326" t="s">
        <v>53</v>
      </c>
      <c r="AF326">
        <v>12</v>
      </c>
    </row>
    <row r="327" spans="1:32" x14ac:dyDescent="0.25">
      <c r="A327" t="s">
        <v>734</v>
      </c>
      <c r="B327">
        <v>325</v>
      </c>
      <c r="C327">
        <v>36</v>
      </c>
      <c r="D327" t="str">
        <f>IF(tbl_Original[[#This Row],[Gender2]]="Female","Female",IF(tbl_Original[[#This Row],[Gender2]]="Male","Male","Other"))</f>
        <v>Female</v>
      </c>
      <c r="E327" t="s">
        <v>29</v>
      </c>
      <c r="F327" t="s">
        <v>44</v>
      </c>
      <c r="G327" t="s">
        <v>55</v>
      </c>
      <c r="H327" t="s">
        <v>32</v>
      </c>
      <c r="I327" t="s">
        <v>44</v>
      </c>
      <c r="J327" t="str">
        <f>PROPER(TRIM(CLEAN(tbl_Original[[#This Row],[Column1]])))</f>
        <v>Jianshan</v>
      </c>
      <c r="K327" t="s">
        <v>735</v>
      </c>
      <c r="L327" t="s">
        <v>735</v>
      </c>
      <c r="M327" t="s">
        <v>107</v>
      </c>
      <c r="N327" s="1">
        <v>351.71</v>
      </c>
      <c r="O327">
        <v>7</v>
      </c>
      <c r="P327" t="s">
        <v>48</v>
      </c>
      <c r="Q327">
        <v>2</v>
      </c>
      <c r="R327">
        <v>2</v>
      </c>
      <c r="S327">
        <v>0</v>
      </c>
      <c r="T327" t="s">
        <v>49</v>
      </c>
      <c r="U327" t="s">
        <v>85</v>
      </c>
      <c r="V327">
        <v>1</v>
      </c>
      <c r="W327">
        <v>6</v>
      </c>
      <c r="X327" t="s">
        <v>49</v>
      </c>
      <c r="Y327" t="s">
        <v>38</v>
      </c>
      <c r="Z327" t="s">
        <v>66</v>
      </c>
      <c r="AA327" s="2">
        <v>45370</v>
      </c>
      <c r="AB327" t="b">
        <v>1</v>
      </c>
      <c r="AC327" t="b">
        <v>0</v>
      </c>
      <c r="AD327" t="s">
        <v>40</v>
      </c>
      <c r="AE327" t="s">
        <v>53</v>
      </c>
      <c r="AF327">
        <v>8</v>
      </c>
    </row>
    <row r="328" spans="1:32" x14ac:dyDescent="0.25">
      <c r="A328" t="s">
        <v>736</v>
      </c>
      <c r="B328">
        <v>326</v>
      </c>
      <c r="C328">
        <v>49</v>
      </c>
      <c r="D328" t="str">
        <f>IF(tbl_Original[[#This Row],[Gender2]]="Female","Female",IF(tbl_Original[[#This Row],[Gender2]]="Male","Male","Other"))</f>
        <v>Male</v>
      </c>
      <c r="E328" t="s">
        <v>43</v>
      </c>
      <c r="F328" t="s">
        <v>30</v>
      </c>
      <c r="G328" t="s">
        <v>76</v>
      </c>
      <c r="H328" t="s">
        <v>32</v>
      </c>
      <c r="I328" t="s">
        <v>30</v>
      </c>
      <c r="J328" t="str">
        <f>PROPER(TRIM(CLEAN(tbl_Original[[#This Row],[Column1]])))</f>
        <v>Shreveport</v>
      </c>
      <c r="K328" t="s">
        <v>737</v>
      </c>
      <c r="L328" t="s">
        <v>737</v>
      </c>
      <c r="M328" t="s">
        <v>126</v>
      </c>
      <c r="N328" s="1">
        <v>393.48</v>
      </c>
      <c r="O328">
        <v>11</v>
      </c>
      <c r="P328" t="s">
        <v>48</v>
      </c>
      <c r="Q328">
        <v>2</v>
      </c>
      <c r="R328">
        <v>2</v>
      </c>
      <c r="S328">
        <v>0</v>
      </c>
      <c r="T328" t="s">
        <v>44</v>
      </c>
      <c r="U328" t="s">
        <v>85</v>
      </c>
      <c r="V328">
        <v>1</v>
      </c>
      <c r="W328">
        <v>10</v>
      </c>
      <c r="X328" t="s">
        <v>36</v>
      </c>
      <c r="Y328" t="s">
        <v>38</v>
      </c>
      <c r="Z328" t="s">
        <v>66</v>
      </c>
      <c r="AA328" s="2">
        <v>45517</v>
      </c>
      <c r="AB328" t="b">
        <v>1</v>
      </c>
      <c r="AC328" t="b">
        <v>1</v>
      </c>
      <c r="AD328" t="s">
        <v>40</v>
      </c>
      <c r="AE328" t="s">
        <v>53</v>
      </c>
      <c r="AF328">
        <v>3</v>
      </c>
    </row>
    <row r="329" spans="1:32" x14ac:dyDescent="0.25">
      <c r="A329" t="s">
        <v>738</v>
      </c>
      <c r="B329">
        <v>327</v>
      </c>
      <c r="C329">
        <v>19</v>
      </c>
      <c r="D329" t="str">
        <f>IF(tbl_Original[[#This Row],[Gender2]]="Female","Female",IF(tbl_Original[[#This Row],[Gender2]]="Male","Male","Other"))</f>
        <v>Other</v>
      </c>
      <c r="E329" t="s">
        <v>148</v>
      </c>
      <c r="F329" t="s">
        <v>44</v>
      </c>
      <c r="G329" t="s">
        <v>55</v>
      </c>
      <c r="H329" t="s">
        <v>45</v>
      </c>
      <c r="I329" t="s">
        <v>44</v>
      </c>
      <c r="J329" t="str">
        <f>PROPER(TRIM(CLEAN(tbl_Original[[#This Row],[Column1]])))</f>
        <v>Pingzhuang</v>
      </c>
      <c r="K329" t="s">
        <v>739</v>
      </c>
      <c r="L329" t="s">
        <v>739</v>
      </c>
      <c r="M329" t="s">
        <v>58</v>
      </c>
      <c r="N329" s="1">
        <v>241.72</v>
      </c>
      <c r="O329">
        <v>6</v>
      </c>
      <c r="P329" t="s">
        <v>35</v>
      </c>
      <c r="Q329">
        <v>5</v>
      </c>
      <c r="R329">
        <v>2</v>
      </c>
      <c r="S329">
        <v>1</v>
      </c>
      <c r="T329" t="s">
        <v>49</v>
      </c>
      <c r="U329" t="s">
        <v>50</v>
      </c>
      <c r="V329">
        <v>0</v>
      </c>
      <c r="W329">
        <v>8</v>
      </c>
      <c r="X329" t="s">
        <v>44</v>
      </c>
      <c r="Y329" t="s">
        <v>79</v>
      </c>
      <c r="Z329" t="s">
        <v>61</v>
      </c>
      <c r="AA329" s="2">
        <v>45441</v>
      </c>
      <c r="AB329" t="b">
        <v>0</v>
      </c>
      <c r="AC329" t="b">
        <v>1</v>
      </c>
      <c r="AD329" t="s">
        <v>74</v>
      </c>
      <c r="AE329" t="s">
        <v>67</v>
      </c>
      <c r="AF329">
        <v>2</v>
      </c>
    </row>
    <row r="330" spans="1:32" x14ac:dyDescent="0.25">
      <c r="A330" t="s">
        <v>740</v>
      </c>
      <c r="B330">
        <v>328</v>
      </c>
      <c r="C330">
        <v>27</v>
      </c>
      <c r="D330" t="str">
        <f>IF(tbl_Original[[#This Row],[Gender2]]="Female","Female",IF(tbl_Original[[#This Row],[Gender2]]="Male","Male","Other"))</f>
        <v>Female</v>
      </c>
      <c r="E330" t="s">
        <v>29</v>
      </c>
      <c r="F330" t="s">
        <v>44</v>
      </c>
      <c r="G330" t="s">
        <v>55</v>
      </c>
      <c r="H330" t="s">
        <v>32</v>
      </c>
      <c r="I330" t="s">
        <v>44</v>
      </c>
      <c r="J330" t="str">
        <f>PROPER(TRIM(CLEAN(tbl_Original[[#This Row],[Column1]])))</f>
        <v>Celso Ramos</v>
      </c>
      <c r="K330" t="s">
        <v>645</v>
      </c>
      <c r="L330" t="s">
        <v>645</v>
      </c>
      <c r="M330" t="s">
        <v>120</v>
      </c>
      <c r="N330" s="1">
        <v>280.2</v>
      </c>
      <c r="O330">
        <v>3</v>
      </c>
      <c r="P330" t="s">
        <v>48</v>
      </c>
      <c r="Q330">
        <v>4</v>
      </c>
      <c r="R330">
        <v>2</v>
      </c>
      <c r="S330">
        <v>0</v>
      </c>
      <c r="T330" t="s">
        <v>49</v>
      </c>
      <c r="U330" t="s">
        <v>37</v>
      </c>
      <c r="V330">
        <v>2</v>
      </c>
      <c r="W330">
        <v>7</v>
      </c>
      <c r="X330" t="s">
        <v>36</v>
      </c>
      <c r="Y330" t="s">
        <v>79</v>
      </c>
      <c r="Z330" t="s">
        <v>66</v>
      </c>
      <c r="AA330" s="2">
        <v>45629</v>
      </c>
      <c r="AB330" t="b">
        <v>0</v>
      </c>
      <c r="AC330" t="b">
        <v>0</v>
      </c>
      <c r="AD330" t="s">
        <v>40</v>
      </c>
      <c r="AE330" t="s">
        <v>41</v>
      </c>
      <c r="AF330">
        <v>13</v>
      </c>
    </row>
    <row r="331" spans="1:32" x14ac:dyDescent="0.25">
      <c r="A331" t="s">
        <v>741</v>
      </c>
      <c r="B331">
        <v>329</v>
      </c>
      <c r="C331">
        <v>36</v>
      </c>
      <c r="D331" t="str">
        <f>IF(tbl_Original[[#This Row],[Gender2]]="Female","Female",IF(tbl_Original[[#This Row],[Gender2]]="Male","Male","Other"))</f>
        <v>Female</v>
      </c>
      <c r="E331" t="s">
        <v>29</v>
      </c>
      <c r="F331" t="s">
        <v>30</v>
      </c>
      <c r="G331" t="s">
        <v>55</v>
      </c>
      <c r="H331" t="s">
        <v>56</v>
      </c>
      <c r="I331" t="s">
        <v>30</v>
      </c>
      <c r="J331" t="str">
        <f>PROPER(TRIM(CLEAN(tbl_Original[[#This Row],[Column1]])))</f>
        <v>Merlo</v>
      </c>
      <c r="K331" t="s">
        <v>742</v>
      </c>
      <c r="L331" t="s">
        <v>742</v>
      </c>
      <c r="M331" t="s">
        <v>142</v>
      </c>
      <c r="N331" s="1">
        <v>178.04</v>
      </c>
      <c r="O331">
        <v>5</v>
      </c>
      <c r="P331" t="s">
        <v>35</v>
      </c>
      <c r="Q331">
        <v>1</v>
      </c>
      <c r="R331">
        <v>1</v>
      </c>
      <c r="S331">
        <v>2</v>
      </c>
      <c r="T331" t="s">
        <v>36</v>
      </c>
      <c r="U331" t="s">
        <v>37</v>
      </c>
      <c r="V331">
        <v>2</v>
      </c>
      <c r="W331">
        <v>10</v>
      </c>
      <c r="X331" t="s">
        <v>44</v>
      </c>
      <c r="Y331" t="s">
        <v>60</v>
      </c>
      <c r="Z331" t="s">
        <v>39</v>
      </c>
      <c r="AA331" s="2">
        <v>45554</v>
      </c>
      <c r="AB331" t="b">
        <v>1</v>
      </c>
      <c r="AC331" t="b">
        <v>1</v>
      </c>
      <c r="AD331" t="s">
        <v>62</v>
      </c>
      <c r="AE331" t="s">
        <v>67</v>
      </c>
      <c r="AF331">
        <v>11</v>
      </c>
    </row>
    <row r="332" spans="1:32" x14ac:dyDescent="0.25">
      <c r="A332" t="s">
        <v>743</v>
      </c>
      <c r="B332">
        <v>330</v>
      </c>
      <c r="C332">
        <v>37</v>
      </c>
      <c r="D332" t="str">
        <f>IF(tbl_Original[[#This Row],[Gender2]]="Female","Female",IF(tbl_Original[[#This Row],[Gender2]]="Male","Male","Other"))</f>
        <v>Male</v>
      </c>
      <c r="E332" t="s">
        <v>43</v>
      </c>
      <c r="F332" t="s">
        <v>44</v>
      </c>
      <c r="G332" t="s">
        <v>31</v>
      </c>
      <c r="H332" t="s">
        <v>56</v>
      </c>
      <c r="I332" t="s">
        <v>30</v>
      </c>
      <c r="J332" t="str">
        <f>PROPER(TRIM(CLEAN(tbl_Original[[#This Row],[Column1]])))</f>
        <v>Ziniar</v>
      </c>
      <c r="K332" t="s">
        <v>2181</v>
      </c>
      <c r="L332" t="s">
        <v>744</v>
      </c>
      <c r="M332" t="s">
        <v>114</v>
      </c>
      <c r="N332" s="1">
        <v>347.99</v>
      </c>
      <c r="O332">
        <v>5</v>
      </c>
      <c r="P332" t="s">
        <v>35</v>
      </c>
      <c r="Q332">
        <v>4</v>
      </c>
      <c r="R332">
        <v>4</v>
      </c>
      <c r="S332">
        <v>1</v>
      </c>
      <c r="T332" t="s">
        <v>59</v>
      </c>
      <c r="U332" t="s">
        <v>37</v>
      </c>
      <c r="V332">
        <v>0</v>
      </c>
      <c r="W332">
        <v>1</v>
      </c>
      <c r="X332" t="s">
        <v>44</v>
      </c>
      <c r="Y332" t="s">
        <v>79</v>
      </c>
      <c r="Z332" t="s">
        <v>51</v>
      </c>
      <c r="AA332" s="2">
        <v>45373</v>
      </c>
      <c r="AB332" t="b">
        <v>1</v>
      </c>
      <c r="AC332" t="b">
        <v>0</v>
      </c>
      <c r="AD332" t="s">
        <v>74</v>
      </c>
      <c r="AE332" t="s">
        <v>53</v>
      </c>
      <c r="AF332">
        <v>6</v>
      </c>
    </row>
    <row r="333" spans="1:32" x14ac:dyDescent="0.25">
      <c r="A333" t="s">
        <v>745</v>
      </c>
      <c r="B333">
        <v>331</v>
      </c>
      <c r="C333">
        <v>45</v>
      </c>
      <c r="D333" t="str">
        <f>IF(tbl_Original[[#This Row],[Gender2]]="Female","Female",IF(tbl_Original[[#This Row],[Gender2]]="Male","Male","Other"))</f>
        <v>Female</v>
      </c>
      <c r="E333" t="s">
        <v>29</v>
      </c>
      <c r="F333" t="s">
        <v>30</v>
      </c>
      <c r="G333" t="s">
        <v>55</v>
      </c>
      <c r="H333" t="s">
        <v>56</v>
      </c>
      <c r="I333" t="s">
        <v>44</v>
      </c>
      <c r="J333" t="str">
        <f>PROPER(TRIM(CLEAN(tbl_Original[[#This Row],[Column1]])))</f>
        <v>Zduska Wola</v>
      </c>
      <c r="K333" t="s">
        <v>2182</v>
      </c>
      <c r="L333" t="s">
        <v>746</v>
      </c>
      <c r="M333" t="s">
        <v>58</v>
      </c>
      <c r="N333" s="1">
        <v>343.81</v>
      </c>
      <c r="O333">
        <v>3</v>
      </c>
      <c r="P333" t="s">
        <v>48</v>
      </c>
      <c r="Q333">
        <v>3</v>
      </c>
      <c r="R333">
        <v>5</v>
      </c>
      <c r="S333">
        <v>0</v>
      </c>
      <c r="T333" t="s">
        <v>44</v>
      </c>
      <c r="U333" t="s">
        <v>37</v>
      </c>
      <c r="V333">
        <v>0</v>
      </c>
      <c r="W333">
        <v>7</v>
      </c>
      <c r="X333" t="s">
        <v>49</v>
      </c>
      <c r="Y333" t="s">
        <v>79</v>
      </c>
      <c r="Z333" t="s">
        <v>39</v>
      </c>
      <c r="AA333" s="2">
        <v>45344</v>
      </c>
      <c r="AB333" t="b">
        <v>0</v>
      </c>
      <c r="AC333" t="b">
        <v>1</v>
      </c>
      <c r="AD333" t="s">
        <v>40</v>
      </c>
      <c r="AE333" t="s">
        <v>53</v>
      </c>
      <c r="AF333">
        <v>3</v>
      </c>
    </row>
    <row r="334" spans="1:32" x14ac:dyDescent="0.25">
      <c r="A334" t="s">
        <v>747</v>
      </c>
      <c r="B334">
        <v>332</v>
      </c>
      <c r="C334">
        <v>47</v>
      </c>
      <c r="D334" t="str">
        <f>IF(tbl_Original[[#This Row],[Gender2]]="Female","Female",IF(tbl_Original[[#This Row],[Gender2]]="Male","Male","Other"))</f>
        <v>Female</v>
      </c>
      <c r="E334" t="s">
        <v>29</v>
      </c>
      <c r="F334" t="s">
        <v>30</v>
      </c>
      <c r="G334" t="s">
        <v>31</v>
      </c>
      <c r="H334" t="s">
        <v>56</v>
      </c>
      <c r="I334" t="s">
        <v>30</v>
      </c>
      <c r="J334" t="str">
        <f>PROPER(TRIM(CLEAN(tbl_Original[[#This Row],[Column1]])))</f>
        <v>Mount Ayliff</v>
      </c>
      <c r="K334" t="s">
        <v>748</v>
      </c>
      <c r="L334" t="s">
        <v>748</v>
      </c>
      <c r="M334" t="s">
        <v>101</v>
      </c>
      <c r="N334" s="1">
        <v>105.29</v>
      </c>
      <c r="O334">
        <v>7</v>
      </c>
      <c r="P334" t="s">
        <v>48</v>
      </c>
      <c r="Q334">
        <v>2</v>
      </c>
      <c r="R334">
        <v>5</v>
      </c>
      <c r="S334">
        <v>0</v>
      </c>
      <c r="T334" t="s">
        <v>59</v>
      </c>
      <c r="U334" t="s">
        <v>85</v>
      </c>
      <c r="V334">
        <v>0</v>
      </c>
      <c r="W334">
        <v>1</v>
      </c>
      <c r="X334" t="s">
        <v>44</v>
      </c>
      <c r="Y334" t="s">
        <v>79</v>
      </c>
      <c r="Z334" t="s">
        <v>86</v>
      </c>
      <c r="AA334" s="2">
        <v>45651</v>
      </c>
      <c r="AB334" t="b">
        <v>0</v>
      </c>
      <c r="AC334" t="b">
        <v>1</v>
      </c>
      <c r="AD334" t="s">
        <v>40</v>
      </c>
      <c r="AE334" t="s">
        <v>67</v>
      </c>
      <c r="AF334">
        <v>4</v>
      </c>
    </row>
    <row r="335" spans="1:32" x14ac:dyDescent="0.25">
      <c r="A335" t="s">
        <v>749</v>
      </c>
      <c r="B335">
        <v>333</v>
      </c>
      <c r="C335">
        <v>32</v>
      </c>
      <c r="D335" t="str">
        <f>IF(tbl_Original[[#This Row],[Gender2]]="Female","Female",IF(tbl_Original[[#This Row],[Gender2]]="Male","Male","Other"))</f>
        <v>Male</v>
      </c>
      <c r="E335" t="s">
        <v>43</v>
      </c>
      <c r="F335" t="s">
        <v>30</v>
      </c>
      <c r="G335" t="s">
        <v>55</v>
      </c>
      <c r="H335" t="s">
        <v>45</v>
      </c>
      <c r="I335" t="s">
        <v>30</v>
      </c>
      <c r="J335" t="str">
        <f>PROPER(TRIM(CLEAN(tbl_Original[[#This Row],[Column1]])))</f>
        <v>Prgaaj</v>
      </c>
      <c r="K335" t="s">
        <v>2183</v>
      </c>
      <c r="L335" t="s">
        <v>750</v>
      </c>
      <c r="M335" t="s">
        <v>107</v>
      </c>
      <c r="N335" s="1">
        <v>483.66</v>
      </c>
      <c r="O335">
        <v>3</v>
      </c>
      <c r="P335" t="s">
        <v>78</v>
      </c>
      <c r="Q335">
        <v>1</v>
      </c>
      <c r="R335">
        <v>4</v>
      </c>
      <c r="S335">
        <v>1</v>
      </c>
      <c r="T335" t="s">
        <v>49</v>
      </c>
      <c r="U335" t="s">
        <v>50</v>
      </c>
      <c r="V335">
        <v>2</v>
      </c>
      <c r="W335">
        <v>1</v>
      </c>
      <c r="X335" t="s">
        <v>49</v>
      </c>
      <c r="Y335" t="s">
        <v>79</v>
      </c>
      <c r="Z335" t="s">
        <v>66</v>
      </c>
      <c r="AA335" s="2">
        <v>45531</v>
      </c>
      <c r="AB335" t="b">
        <v>0</v>
      </c>
      <c r="AC335" t="b">
        <v>0</v>
      </c>
      <c r="AD335" t="s">
        <v>62</v>
      </c>
      <c r="AE335" t="s">
        <v>53</v>
      </c>
      <c r="AF335">
        <v>9</v>
      </c>
    </row>
    <row r="336" spans="1:32" x14ac:dyDescent="0.25">
      <c r="A336" t="s">
        <v>751</v>
      </c>
      <c r="B336">
        <v>334</v>
      </c>
      <c r="C336">
        <v>48</v>
      </c>
      <c r="D336" t="str">
        <f>IF(tbl_Original[[#This Row],[Gender2]]="Female","Female",IF(tbl_Original[[#This Row],[Gender2]]="Male","Male","Other"))</f>
        <v>Male</v>
      </c>
      <c r="E336" t="s">
        <v>43</v>
      </c>
      <c r="F336" t="s">
        <v>30</v>
      </c>
      <c r="G336" t="s">
        <v>31</v>
      </c>
      <c r="H336" t="s">
        <v>32</v>
      </c>
      <c r="I336" t="s">
        <v>30</v>
      </c>
      <c r="J336" t="str">
        <f>PROPER(TRIM(CLEAN(tbl_Original[[#This Row],[Column1]])))</f>
        <v>Zbraslavice</v>
      </c>
      <c r="K336" t="s">
        <v>752</v>
      </c>
      <c r="L336" t="s">
        <v>752</v>
      </c>
      <c r="M336" t="s">
        <v>65</v>
      </c>
      <c r="N336" s="1">
        <v>69.41</v>
      </c>
      <c r="O336">
        <v>8</v>
      </c>
      <c r="P336" t="s">
        <v>35</v>
      </c>
      <c r="Q336">
        <v>5</v>
      </c>
      <c r="R336">
        <v>3</v>
      </c>
      <c r="S336">
        <v>0</v>
      </c>
      <c r="T336" t="s">
        <v>44</v>
      </c>
      <c r="U336" t="s">
        <v>37</v>
      </c>
      <c r="V336">
        <v>1</v>
      </c>
      <c r="W336">
        <v>9</v>
      </c>
      <c r="X336" t="s">
        <v>44</v>
      </c>
      <c r="Y336" t="s">
        <v>38</v>
      </c>
      <c r="Z336" t="s">
        <v>86</v>
      </c>
      <c r="AA336" s="2">
        <v>45319</v>
      </c>
      <c r="AB336" t="b">
        <v>0</v>
      </c>
      <c r="AC336" t="b">
        <v>0</v>
      </c>
      <c r="AD336" t="s">
        <v>52</v>
      </c>
      <c r="AE336" t="s">
        <v>53</v>
      </c>
      <c r="AF336">
        <v>5</v>
      </c>
    </row>
    <row r="337" spans="1:32" x14ac:dyDescent="0.25">
      <c r="A337" t="s">
        <v>753</v>
      </c>
      <c r="B337">
        <v>335</v>
      </c>
      <c r="C337">
        <v>20</v>
      </c>
      <c r="D337" t="str">
        <f>IF(tbl_Original[[#This Row],[Gender2]]="Female","Female",IF(tbl_Original[[#This Row],[Gender2]]="Male","Male","Other"))</f>
        <v>Other</v>
      </c>
      <c r="E337" t="s">
        <v>148</v>
      </c>
      <c r="F337" t="s">
        <v>44</v>
      </c>
      <c r="G337" t="s">
        <v>55</v>
      </c>
      <c r="H337" t="s">
        <v>56</v>
      </c>
      <c r="I337" t="s">
        <v>30</v>
      </c>
      <c r="J337" t="str">
        <f>PROPER(TRIM(CLEAN(tbl_Original[[#This Row],[Column1]])))</f>
        <v>Xilu</v>
      </c>
      <c r="K337" t="s">
        <v>754</v>
      </c>
      <c r="L337" t="s">
        <v>754</v>
      </c>
      <c r="M337" t="s">
        <v>126</v>
      </c>
      <c r="N337" s="1">
        <v>207.18</v>
      </c>
      <c r="O337">
        <v>11</v>
      </c>
      <c r="P337" t="s">
        <v>78</v>
      </c>
      <c r="Q337">
        <v>1</v>
      </c>
      <c r="R337">
        <v>3</v>
      </c>
      <c r="S337">
        <v>0</v>
      </c>
      <c r="T337" t="s">
        <v>59</v>
      </c>
      <c r="U337" t="s">
        <v>37</v>
      </c>
      <c r="V337">
        <v>1</v>
      </c>
      <c r="W337">
        <v>5</v>
      </c>
      <c r="X337" t="s">
        <v>44</v>
      </c>
      <c r="Y337" t="s">
        <v>38</v>
      </c>
      <c r="Z337" t="s">
        <v>51</v>
      </c>
      <c r="AA337" s="2">
        <v>45612</v>
      </c>
      <c r="AB337" t="b">
        <v>0</v>
      </c>
      <c r="AC337" t="b">
        <v>0</v>
      </c>
      <c r="AD337" t="s">
        <v>52</v>
      </c>
      <c r="AE337" t="s">
        <v>53</v>
      </c>
      <c r="AF337">
        <v>8</v>
      </c>
    </row>
    <row r="338" spans="1:32" x14ac:dyDescent="0.25">
      <c r="A338" t="s">
        <v>755</v>
      </c>
      <c r="B338">
        <v>336</v>
      </c>
      <c r="C338">
        <v>32</v>
      </c>
      <c r="D338" t="str">
        <f>IF(tbl_Original[[#This Row],[Gender2]]="Female","Female",IF(tbl_Original[[#This Row],[Gender2]]="Male","Male","Other"))</f>
        <v>Male</v>
      </c>
      <c r="E338" t="s">
        <v>43</v>
      </c>
      <c r="F338" t="s">
        <v>30</v>
      </c>
      <c r="G338" t="s">
        <v>76</v>
      </c>
      <c r="H338" t="s">
        <v>45</v>
      </c>
      <c r="I338" t="s">
        <v>44</v>
      </c>
      <c r="J338" t="str">
        <f>PROPER(TRIM(CLEAN(tbl_Original[[#This Row],[Column1]])))</f>
        <v>Bamut</v>
      </c>
      <c r="K338" t="s">
        <v>756</v>
      </c>
      <c r="L338" t="s">
        <v>756</v>
      </c>
      <c r="M338" t="s">
        <v>142</v>
      </c>
      <c r="N338" s="1">
        <v>454.15</v>
      </c>
      <c r="O338">
        <v>11</v>
      </c>
      <c r="P338" t="s">
        <v>48</v>
      </c>
      <c r="Q338">
        <v>2</v>
      </c>
      <c r="R338">
        <v>1</v>
      </c>
      <c r="S338">
        <v>1</v>
      </c>
      <c r="T338" t="s">
        <v>44</v>
      </c>
      <c r="U338" t="s">
        <v>50</v>
      </c>
      <c r="V338">
        <v>1</v>
      </c>
      <c r="W338">
        <v>8</v>
      </c>
      <c r="X338" t="s">
        <v>44</v>
      </c>
      <c r="Y338" t="s">
        <v>60</v>
      </c>
      <c r="Z338" t="s">
        <v>86</v>
      </c>
      <c r="AA338" s="2">
        <v>45634</v>
      </c>
      <c r="AB338" t="b">
        <v>1</v>
      </c>
      <c r="AC338" t="b">
        <v>1</v>
      </c>
      <c r="AD338" t="s">
        <v>74</v>
      </c>
      <c r="AE338" t="s">
        <v>67</v>
      </c>
      <c r="AF338">
        <v>13</v>
      </c>
    </row>
    <row r="339" spans="1:32" x14ac:dyDescent="0.25">
      <c r="A339" t="s">
        <v>757</v>
      </c>
      <c r="B339">
        <v>337</v>
      </c>
      <c r="C339">
        <v>25</v>
      </c>
      <c r="D339" t="str">
        <f>IF(tbl_Original[[#This Row],[Gender2]]="Female","Female",IF(tbl_Original[[#This Row],[Gender2]]="Male","Male","Other"))</f>
        <v>Male</v>
      </c>
      <c r="E339" t="s">
        <v>43</v>
      </c>
      <c r="F339" t="s">
        <v>44</v>
      </c>
      <c r="G339" t="s">
        <v>69</v>
      </c>
      <c r="H339" t="s">
        <v>45</v>
      </c>
      <c r="I339" t="s">
        <v>44</v>
      </c>
      <c r="J339" t="str">
        <f>PROPER(TRIM(CLEAN(tbl_Original[[#This Row],[Column1]])))</f>
        <v>La Tour-Du-Pin</v>
      </c>
      <c r="K339" t="s">
        <v>758</v>
      </c>
      <c r="L339" t="s">
        <v>758</v>
      </c>
      <c r="M339" t="s">
        <v>158</v>
      </c>
      <c r="N339" s="1">
        <v>113.01</v>
      </c>
      <c r="O339">
        <v>11</v>
      </c>
      <c r="P339" t="s">
        <v>48</v>
      </c>
      <c r="Q339">
        <v>5</v>
      </c>
      <c r="R339">
        <v>2</v>
      </c>
      <c r="S339">
        <v>2</v>
      </c>
      <c r="T339" t="s">
        <v>59</v>
      </c>
      <c r="U339" t="s">
        <v>85</v>
      </c>
      <c r="V339">
        <v>1</v>
      </c>
      <c r="W339">
        <v>1</v>
      </c>
      <c r="X339" t="s">
        <v>36</v>
      </c>
      <c r="Y339" t="s">
        <v>38</v>
      </c>
      <c r="Z339" t="s">
        <v>39</v>
      </c>
      <c r="AA339" s="2">
        <v>45427</v>
      </c>
      <c r="AB339" t="b">
        <v>0</v>
      </c>
      <c r="AC339" t="b">
        <v>1</v>
      </c>
      <c r="AD339" t="s">
        <v>62</v>
      </c>
      <c r="AE339" t="s">
        <v>67</v>
      </c>
      <c r="AF339">
        <v>4</v>
      </c>
    </row>
    <row r="340" spans="1:32" x14ac:dyDescent="0.25">
      <c r="A340" t="s">
        <v>759</v>
      </c>
      <c r="B340">
        <v>338</v>
      </c>
      <c r="C340">
        <v>42</v>
      </c>
      <c r="D340" t="str">
        <f>IF(tbl_Original[[#This Row],[Gender2]]="Female","Female",IF(tbl_Original[[#This Row],[Gender2]]="Male","Male","Other"))</f>
        <v>Male</v>
      </c>
      <c r="E340" t="s">
        <v>43</v>
      </c>
      <c r="F340" t="s">
        <v>30</v>
      </c>
      <c r="G340" t="s">
        <v>76</v>
      </c>
      <c r="H340" t="s">
        <v>32</v>
      </c>
      <c r="I340" t="s">
        <v>30</v>
      </c>
      <c r="J340" t="str">
        <f>PROPER(TRIM(CLEAN(tbl_Original[[#This Row],[Column1]])))</f>
        <v>Pader Palwo</v>
      </c>
      <c r="K340" t="s">
        <v>760</v>
      </c>
      <c r="L340" t="s">
        <v>760</v>
      </c>
      <c r="M340" t="s">
        <v>114</v>
      </c>
      <c r="N340" s="1">
        <v>419.13</v>
      </c>
      <c r="O340">
        <v>4</v>
      </c>
      <c r="P340" t="s">
        <v>35</v>
      </c>
      <c r="Q340">
        <v>3</v>
      </c>
      <c r="R340">
        <v>5</v>
      </c>
      <c r="S340">
        <v>1</v>
      </c>
      <c r="T340" t="s">
        <v>36</v>
      </c>
      <c r="U340" t="s">
        <v>50</v>
      </c>
      <c r="V340">
        <v>0</v>
      </c>
      <c r="W340">
        <v>1</v>
      </c>
      <c r="X340" t="s">
        <v>36</v>
      </c>
      <c r="Y340" t="s">
        <v>60</v>
      </c>
      <c r="Z340" t="s">
        <v>86</v>
      </c>
      <c r="AA340" s="2">
        <v>45507</v>
      </c>
      <c r="AB340" t="b">
        <v>0</v>
      </c>
      <c r="AC340" t="b">
        <v>1</v>
      </c>
      <c r="AD340" t="s">
        <v>52</v>
      </c>
      <c r="AE340" t="s">
        <v>67</v>
      </c>
      <c r="AF340">
        <v>6</v>
      </c>
    </row>
    <row r="341" spans="1:32" x14ac:dyDescent="0.25">
      <c r="A341" t="s">
        <v>761</v>
      </c>
      <c r="B341">
        <v>339</v>
      </c>
      <c r="C341">
        <v>37</v>
      </c>
      <c r="D341" t="str">
        <f>IF(tbl_Original[[#This Row],[Gender2]]="Female","Female",IF(tbl_Original[[#This Row],[Gender2]]="Male","Male","Other"))</f>
        <v>Female</v>
      </c>
      <c r="E341" t="s">
        <v>29</v>
      </c>
      <c r="F341" t="s">
        <v>44</v>
      </c>
      <c r="G341" t="s">
        <v>55</v>
      </c>
      <c r="H341" t="s">
        <v>32</v>
      </c>
      <c r="I341" t="s">
        <v>44</v>
      </c>
      <c r="J341" t="str">
        <f>PROPER(TRIM(CLEAN(tbl_Original[[#This Row],[Column1]])))</f>
        <v>Maurisu</v>
      </c>
      <c r="K341" t="s">
        <v>762</v>
      </c>
      <c r="L341" t="s">
        <v>762</v>
      </c>
      <c r="M341" t="s">
        <v>246</v>
      </c>
      <c r="N341" s="1">
        <v>183.86</v>
      </c>
      <c r="O341">
        <v>5</v>
      </c>
      <c r="P341" t="s">
        <v>35</v>
      </c>
      <c r="Q341">
        <v>1</v>
      </c>
      <c r="R341">
        <v>1</v>
      </c>
      <c r="S341">
        <v>2</v>
      </c>
      <c r="T341" t="s">
        <v>49</v>
      </c>
      <c r="U341" t="s">
        <v>50</v>
      </c>
      <c r="V341">
        <v>1</v>
      </c>
      <c r="W341">
        <v>4</v>
      </c>
      <c r="X341" t="s">
        <v>59</v>
      </c>
      <c r="Y341" t="s">
        <v>60</v>
      </c>
      <c r="Z341" t="s">
        <v>61</v>
      </c>
      <c r="AA341" s="2">
        <v>45572</v>
      </c>
      <c r="AB341" t="b">
        <v>0</v>
      </c>
      <c r="AC341" t="b">
        <v>1</v>
      </c>
      <c r="AD341" t="s">
        <v>52</v>
      </c>
      <c r="AE341" t="s">
        <v>53</v>
      </c>
      <c r="AF341">
        <v>3</v>
      </c>
    </row>
    <row r="342" spans="1:32" x14ac:dyDescent="0.25">
      <c r="A342" t="s">
        <v>763</v>
      </c>
      <c r="B342">
        <v>340</v>
      </c>
      <c r="C342">
        <v>21</v>
      </c>
      <c r="D342" t="str">
        <f>IF(tbl_Original[[#This Row],[Gender2]]="Female","Female",IF(tbl_Original[[#This Row],[Gender2]]="Male","Male","Other"))</f>
        <v>Other</v>
      </c>
      <c r="E342" t="s">
        <v>148</v>
      </c>
      <c r="F342" t="s">
        <v>30</v>
      </c>
      <c r="G342" t="s">
        <v>69</v>
      </c>
      <c r="H342" t="s">
        <v>56</v>
      </c>
      <c r="I342" t="s">
        <v>30</v>
      </c>
      <c r="J342" t="str">
        <f>PROPER(TRIM(CLEAN(tbl_Original[[#This Row],[Column1]])))</f>
        <v>Gorzyce</v>
      </c>
      <c r="K342" t="s">
        <v>764</v>
      </c>
      <c r="L342" t="s">
        <v>764</v>
      </c>
      <c r="M342" t="s">
        <v>114</v>
      </c>
      <c r="N342" s="1">
        <v>53.87</v>
      </c>
      <c r="O342">
        <v>10</v>
      </c>
      <c r="P342" t="s">
        <v>48</v>
      </c>
      <c r="Q342">
        <v>4</v>
      </c>
      <c r="R342">
        <v>3</v>
      </c>
      <c r="S342">
        <v>0</v>
      </c>
      <c r="T342" t="s">
        <v>49</v>
      </c>
      <c r="U342" t="s">
        <v>85</v>
      </c>
      <c r="V342">
        <v>0</v>
      </c>
      <c r="W342">
        <v>10</v>
      </c>
      <c r="X342" t="s">
        <v>44</v>
      </c>
      <c r="Y342" t="s">
        <v>38</v>
      </c>
      <c r="Z342" t="s">
        <v>86</v>
      </c>
      <c r="AA342" s="2">
        <v>45468</v>
      </c>
      <c r="AB342" t="b">
        <v>1</v>
      </c>
      <c r="AC342" t="b">
        <v>0</v>
      </c>
      <c r="AD342" t="s">
        <v>74</v>
      </c>
      <c r="AE342" t="s">
        <v>41</v>
      </c>
      <c r="AF342">
        <v>2</v>
      </c>
    </row>
    <row r="343" spans="1:32" x14ac:dyDescent="0.25">
      <c r="A343" t="s">
        <v>765</v>
      </c>
      <c r="B343">
        <v>341</v>
      </c>
      <c r="C343">
        <v>43</v>
      </c>
      <c r="D343" t="str">
        <f>IF(tbl_Original[[#This Row],[Gender2]]="Female","Female",IF(tbl_Original[[#This Row],[Gender2]]="Male","Male","Other"))</f>
        <v>Female</v>
      </c>
      <c r="E343" t="s">
        <v>29</v>
      </c>
      <c r="F343" t="s">
        <v>44</v>
      </c>
      <c r="G343" t="s">
        <v>69</v>
      </c>
      <c r="H343" t="s">
        <v>32</v>
      </c>
      <c r="I343" t="s">
        <v>44</v>
      </c>
      <c r="J343" t="str">
        <f>PROPER(TRIM(CLEAN(tbl_Original[[#This Row],[Column1]])))</f>
        <v>Qingyun</v>
      </c>
      <c r="K343" t="s">
        <v>766</v>
      </c>
      <c r="L343" t="s">
        <v>766</v>
      </c>
      <c r="M343" t="s">
        <v>47</v>
      </c>
      <c r="N343" s="1">
        <v>427.82</v>
      </c>
      <c r="O343">
        <v>9</v>
      </c>
      <c r="P343" t="s">
        <v>48</v>
      </c>
      <c r="Q343">
        <v>5</v>
      </c>
      <c r="R343">
        <v>5</v>
      </c>
      <c r="S343">
        <v>0</v>
      </c>
      <c r="T343" t="s">
        <v>49</v>
      </c>
      <c r="U343" t="s">
        <v>37</v>
      </c>
      <c r="V343">
        <v>1</v>
      </c>
      <c r="W343">
        <v>2</v>
      </c>
      <c r="X343" t="s">
        <v>49</v>
      </c>
      <c r="Y343" t="s">
        <v>79</v>
      </c>
      <c r="Z343" t="s">
        <v>51</v>
      </c>
      <c r="AA343" s="2">
        <v>45386</v>
      </c>
      <c r="AB343" t="b">
        <v>1</v>
      </c>
      <c r="AC343" t="b">
        <v>0</v>
      </c>
      <c r="AD343" t="s">
        <v>52</v>
      </c>
      <c r="AE343" t="s">
        <v>41</v>
      </c>
      <c r="AF343">
        <v>14</v>
      </c>
    </row>
    <row r="344" spans="1:32" x14ac:dyDescent="0.25">
      <c r="A344" t="s">
        <v>767</v>
      </c>
      <c r="B344">
        <v>342</v>
      </c>
      <c r="C344">
        <v>29</v>
      </c>
      <c r="D344" t="str">
        <f>IF(tbl_Original[[#This Row],[Gender2]]="Female","Female",IF(tbl_Original[[#This Row],[Gender2]]="Male","Male","Other"))</f>
        <v>Female</v>
      </c>
      <c r="E344" t="s">
        <v>29</v>
      </c>
      <c r="F344" t="s">
        <v>44</v>
      </c>
      <c r="G344" t="s">
        <v>76</v>
      </c>
      <c r="H344" t="s">
        <v>32</v>
      </c>
      <c r="I344" t="s">
        <v>30</v>
      </c>
      <c r="J344" t="str">
        <f>PROPER(TRIM(CLEAN(tbl_Original[[#This Row],[Column1]])))</f>
        <v>Jiuxian</v>
      </c>
      <c r="K344" t="s">
        <v>768</v>
      </c>
      <c r="L344" t="s">
        <v>768</v>
      </c>
      <c r="M344" t="s">
        <v>114</v>
      </c>
      <c r="N344" s="1">
        <v>282.82</v>
      </c>
      <c r="O344">
        <v>6</v>
      </c>
      <c r="P344" t="s">
        <v>48</v>
      </c>
      <c r="Q344">
        <v>5</v>
      </c>
      <c r="R344">
        <v>3</v>
      </c>
      <c r="S344">
        <v>2</v>
      </c>
      <c r="T344" t="s">
        <v>49</v>
      </c>
      <c r="U344" t="s">
        <v>85</v>
      </c>
      <c r="V344">
        <v>2</v>
      </c>
      <c r="W344">
        <v>7</v>
      </c>
      <c r="X344" t="s">
        <v>36</v>
      </c>
      <c r="Y344" t="s">
        <v>79</v>
      </c>
      <c r="Z344" t="s">
        <v>66</v>
      </c>
      <c r="AA344" s="2">
        <v>45351</v>
      </c>
      <c r="AB344" t="b">
        <v>0</v>
      </c>
      <c r="AC344" t="b">
        <v>1</v>
      </c>
      <c r="AD344" t="s">
        <v>52</v>
      </c>
      <c r="AE344" t="s">
        <v>53</v>
      </c>
      <c r="AF344">
        <v>3</v>
      </c>
    </row>
    <row r="345" spans="1:32" x14ac:dyDescent="0.25">
      <c r="A345" t="s">
        <v>769</v>
      </c>
      <c r="B345">
        <v>343</v>
      </c>
      <c r="C345">
        <v>28</v>
      </c>
      <c r="D345" t="str">
        <f>IF(tbl_Original[[#This Row],[Gender2]]="Female","Female",IF(tbl_Original[[#This Row],[Gender2]]="Male","Male","Other"))</f>
        <v>Male</v>
      </c>
      <c r="E345" t="s">
        <v>43</v>
      </c>
      <c r="F345" t="s">
        <v>30</v>
      </c>
      <c r="G345" t="s">
        <v>76</v>
      </c>
      <c r="H345" t="s">
        <v>56</v>
      </c>
      <c r="I345" t="s">
        <v>30</v>
      </c>
      <c r="J345" t="str">
        <f>PROPER(TRIM(CLEAN(tbl_Original[[#This Row],[Column1]])))</f>
        <v>Ndungu</v>
      </c>
      <c r="K345" t="s">
        <v>770</v>
      </c>
      <c r="L345" t="s">
        <v>770</v>
      </c>
      <c r="M345" t="s">
        <v>117</v>
      </c>
      <c r="N345" s="1">
        <v>215.31</v>
      </c>
      <c r="O345">
        <v>7</v>
      </c>
      <c r="P345" t="s">
        <v>78</v>
      </c>
      <c r="Q345">
        <v>5</v>
      </c>
      <c r="R345">
        <v>5</v>
      </c>
      <c r="S345">
        <v>2</v>
      </c>
      <c r="T345" t="s">
        <v>49</v>
      </c>
      <c r="U345" t="s">
        <v>37</v>
      </c>
      <c r="V345">
        <v>1</v>
      </c>
      <c r="W345">
        <v>8</v>
      </c>
      <c r="X345" t="s">
        <v>49</v>
      </c>
      <c r="Y345" t="s">
        <v>60</v>
      </c>
      <c r="Z345" t="s">
        <v>66</v>
      </c>
      <c r="AA345" s="2">
        <v>45391</v>
      </c>
      <c r="AB345" t="b">
        <v>0</v>
      </c>
      <c r="AC345" t="b">
        <v>1</v>
      </c>
      <c r="AD345" t="s">
        <v>62</v>
      </c>
      <c r="AE345" t="s">
        <v>41</v>
      </c>
      <c r="AF345">
        <v>7</v>
      </c>
    </row>
    <row r="346" spans="1:32" x14ac:dyDescent="0.25">
      <c r="A346" t="s">
        <v>771</v>
      </c>
      <c r="B346">
        <v>344</v>
      </c>
      <c r="C346">
        <v>43</v>
      </c>
      <c r="D346" t="str">
        <f>IF(tbl_Original[[#This Row],[Gender2]]="Female","Female",IF(tbl_Original[[#This Row],[Gender2]]="Male","Male","Other"))</f>
        <v>Male</v>
      </c>
      <c r="E346" t="s">
        <v>43</v>
      </c>
      <c r="F346" t="s">
        <v>30</v>
      </c>
      <c r="G346" t="s">
        <v>69</v>
      </c>
      <c r="H346" t="s">
        <v>56</v>
      </c>
      <c r="I346" t="s">
        <v>44</v>
      </c>
      <c r="J346" t="str">
        <f>PROPER(TRIM(CLEAN(tbl_Original[[#This Row],[Column1]])))</f>
        <v>Emiliano Zapata</v>
      </c>
      <c r="K346" t="s">
        <v>772</v>
      </c>
      <c r="L346" t="s">
        <v>772</v>
      </c>
      <c r="M346" t="s">
        <v>71</v>
      </c>
      <c r="N346" s="1">
        <v>183.66</v>
      </c>
      <c r="O346">
        <v>11</v>
      </c>
      <c r="P346" t="s">
        <v>78</v>
      </c>
      <c r="Q346">
        <v>3</v>
      </c>
      <c r="R346">
        <v>1</v>
      </c>
      <c r="S346">
        <v>1</v>
      </c>
      <c r="T346" t="s">
        <v>59</v>
      </c>
      <c r="U346" t="s">
        <v>85</v>
      </c>
      <c r="V346">
        <v>0</v>
      </c>
      <c r="W346">
        <v>10</v>
      </c>
      <c r="X346" t="s">
        <v>49</v>
      </c>
      <c r="Y346" t="s">
        <v>38</v>
      </c>
      <c r="Z346" t="s">
        <v>39</v>
      </c>
      <c r="AA346" s="2">
        <v>45400</v>
      </c>
      <c r="AB346" t="b">
        <v>1</v>
      </c>
      <c r="AC346" t="b">
        <v>1</v>
      </c>
      <c r="AD346" t="s">
        <v>74</v>
      </c>
      <c r="AE346" t="s">
        <v>41</v>
      </c>
      <c r="AF346">
        <v>6</v>
      </c>
    </row>
    <row r="347" spans="1:32" x14ac:dyDescent="0.25">
      <c r="A347" t="s">
        <v>773</v>
      </c>
      <c r="B347">
        <v>345</v>
      </c>
      <c r="C347">
        <v>48</v>
      </c>
      <c r="D347" t="str">
        <f>IF(tbl_Original[[#This Row],[Gender2]]="Female","Female",IF(tbl_Original[[#This Row],[Gender2]]="Male","Male","Other"))</f>
        <v>Female</v>
      </c>
      <c r="E347" t="s">
        <v>29</v>
      </c>
      <c r="F347" t="s">
        <v>44</v>
      </c>
      <c r="G347" t="s">
        <v>76</v>
      </c>
      <c r="H347" t="s">
        <v>45</v>
      </c>
      <c r="I347" t="s">
        <v>30</v>
      </c>
      <c r="J347" t="str">
        <f>PROPER(TRIM(CLEAN(tbl_Original[[#This Row],[Column1]])))</f>
        <v>Spasskoye</v>
      </c>
      <c r="K347" t="s">
        <v>774</v>
      </c>
      <c r="L347" t="s">
        <v>774</v>
      </c>
      <c r="M347" t="s">
        <v>123</v>
      </c>
      <c r="N347" s="1">
        <v>198.73</v>
      </c>
      <c r="O347">
        <v>10</v>
      </c>
      <c r="P347" t="s">
        <v>48</v>
      </c>
      <c r="Q347">
        <v>1</v>
      </c>
      <c r="R347">
        <v>5</v>
      </c>
      <c r="S347">
        <v>2</v>
      </c>
      <c r="T347" t="s">
        <v>44</v>
      </c>
      <c r="U347" t="s">
        <v>85</v>
      </c>
      <c r="V347">
        <v>1</v>
      </c>
      <c r="W347">
        <v>5</v>
      </c>
      <c r="X347" t="s">
        <v>36</v>
      </c>
      <c r="Y347" t="s">
        <v>79</v>
      </c>
      <c r="Z347" t="s">
        <v>66</v>
      </c>
      <c r="AA347" s="2">
        <v>45324</v>
      </c>
      <c r="AB347" t="b">
        <v>1</v>
      </c>
      <c r="AC347" t="b">
        <v>0</v>
      </c>
      <c r="AD347" t="s">
        <v>62</v>
      </c>
      <c r="AE347" t="s">
        <v>53</v>
      </c>
      <c r="AF347">
        <v>4</v>
      </c>
    </row>
    <row r="348" spans="1:32" x14ac:dyDescent="0.25">
      <c r="A348" t="s">
        <v>775</v>
      </c>
      <c r="B348">
        <v>346</v>
      </c>
      <c r="C348">
        <v>26</v>
      </c>
      <c r="D348" t="str">
        <f>IF(tbl_Original[[#This Row],[Gender2]]="Female","Female",IF(tbl_Original[[#This Row],[Gender2]]="Male","Male","Other"))</f>
        <v>Female</v>
      </c>
      <c r="E348" t="s">
        <v>29</v>
      </c>
      <c r="F348" t="s">
        <v>30</v>
      </c>
      <c r="G348" t="s">
        <v>31</v>
      </c>
      <c r="H348" t="s">
        <v>45</v>
      </c>
      <c r="I348" t="s">
        <v>44</v>
      </c>
      <c r="J348" t="str">
        <f>PROPER(TRIM(CLEAN(tbl_Original[[#This Row],[Column1]])))</f>
        <v>Giero</v>
      </c>
      <c r="K348" t="s">
        <v>2184</v>
      </c>
      <c r="L348" t="s">
        <v>776</v>
      </c>
      <c r="M348" t="s">
        <v>194</v>
      </c>
      <c r="N348" s="1">
        <v>265.72000000000003</v>
      </c>
      <c r="O348">
        <v>5</v>
      </c>
      <c r="P348" t="s">
        <v>35</v>
      </c>
      <c r="Q348">
        <v>5</v>
      </c>
      <c r="R348">
        <v>4</v>
      </c>
      <c r="S348">
        <v>0</v>
      </c>
      <c r="T348" t="s">
        <v>36</v>
      </c>
      <c r="U348" t="s">
        <v>85</v>
      </c>
      <c r="V348">
        <v>0</v>
      </c>
      <c r="W348">
        <v>9</v>
      </c>
      <c r="X348" t="s">
        <v>36</v>
      </c>
      <c r="Y348" t="s">
        <v>38</v>
      </c>
      <c r="Z348" t="s">
        <v>61</v>
      </c>
      <c r="AA348" s="2">
        <v>45404</v>
      </c>
      <c r="AB348" t="b">
        <v>1</v>
      </c>
      <c r="AC348" t="b">
        <v>1</v>
      </c>
      <c r="AD348" t="s">
        <v>74</v>
      </c>
      <c r="AE348" t="s">
        <v>67</v>
      </c>
      <c r="AF348">
        <v>13</v>
      </c>
    </row>
    <row r="349" spans="1:32" x14ac:dyDescent="0.25">
      <c r="A349" t="s">
        <v>777</v>
      </c>
      <c r="B349">
        <v>347</v>
      </c>
      <c r="C349">
        <v>42</v>
      </c>
      <c r="D349" t="str">
        <f>IF(tbl_Original[[#This Row],[Gender2]]="Female","Female",IF(tbl_Original[[#This Row],[Gender2]]="Male","Male","Other"))</f>
        <v>Male</v>
      </c>
      <c r="E349" t="s">
        <v>43</v>
      </c>
      <c r="F349" t="s">
        <v>30</v>
      </c>
      <c r="G349" t="s">
        <v>31</v>
      </c>
      <c r="H349" t="s">
        <v>56</v>
      </c>
      <c r="I349" t="s">
        <v>44</v>
      </c>
      <c r="J349" t="str">
        <f>PROPER(TRIM(CLEAN(tbl_Original[[#This Row],[Column1]])))</f>
        <v>Sobue</v>
      </c>
      <c r="K349" t="s">
        <v>778</v>
      </c>
      <c r="L349" t="s">
        <v>778</v>
      </c>
      <c r="M349" t="s">
        <v>120</v>
      </c>
      <c r="N349" s="1">
        <v>138.35</v>
      </c>
      <c r="O349">
        <v>2</v>
      </c>
      <c r="P349" t="s">
        <v>78</v>
      </c>
      <c r="Q349">
        <v>4</v>
      </c>
      <c r="R349">
        <v>5</v>
      </c>
      <c r="S349">
        <v>2</v>
      </c>
      <c r="T349" t="s">
        <v>59</v>
      </c>
      <c r="U349" t="s">
        <v>50</v>
      </c>
      <c r="V349">
        <v>0</v>
      </c>
      <c r="W349">
        <v>2</v>
      </c>
      <c r="X349" t="s">
        <v>59</v>
      </c>
      <c r="Y349" t="s">
        <v>60</v>
      </c>
      <c r="Z349" t="s">
        <v>66</v>
      </c>
      <c r="AA349" s="2">
        <v>45487</v>
      </c>
      <c r="AB349" t="b">
        <v>1</v>
      </c>
      <c r="AC349" t="b">
        <v>1</v>
      </c>
      <c r="AD349" t="s">
        <v>52</v>
      </c>
      <c r="AE349" t="s">
        <v>41</v>
      </c>
      <c r="AF349">
        <v>8</v>
      </c>
    </row>
    <row r="350" spans="1:32" x14ac:dyDescent="0.25">
      <c r="A350" t="s">
        <v>779</v>
      </c>
      <c r="B350">
        <v>348</v>
      </c>
      <c r="C350">
        <v>27</v>
      </c>
      <c r="D350" t="str">
        <f>IF(tbl_Original[[#This Row],[Gender2]]="Female","Female",IF(tbl_Original[[#This Row],[Gender2]]="Male","Male","Other"))</f>
        <v>Male</v>
      </c>
      <c r="E350" t="s">
        <v>43</v>
      </c>
      <c r="F350" t="s">
        <v>30</v>
      </c>
      <c r="G350" t="s">
        <v>76</v>
      </c>
      <c r="H350" t="s">
        <v>32</v>
      </c>
      <c r="I350" t="s">
        <v>30</v>
      </c>
      <c r="J350" t="str">
        <f>PROPER(TRIM(CLEAN(tbl_Original[[#This Row],[Column1]])))</f>
        <v>High Point</v>
      </c>
      <c r="K350" t="s">
        <v>780</v>
      </c>
      <c r="L350" t="s">
        <v>780</v>
      </c>
      <c r="M350" t="s">
        <v>158</v>
      </c>
      <c r="N350" s="1">
        <v>441.87</v>
      </c>
      <c r="O350">
        <v>3</v>
      </c>
      <c r="P350" t="s">
        <v>35</v>
      </c>
      <c r="Q350">
        <v>1</v>
      </c>
      <c r="R350">
        <v>2</v>
      </c>
      <c r="S350">
        <v>1</v>
      </c>
      <c r="T350" t="s">
        <v>44</v>
      </c>
      <c r="U350" t="s">
        <v>37</v>
      </c>
      <c r="V350">
        <v>0</v>
      </c>
      <c r="W350">
        <v>10</v>
      </c>
      <c r="X350" t="s">
        <v>49</v>
      </c>
      <c r="Y350" t="s">
        <v>60</v>
      </c>
      <c r="Z350" t="s">
        <v>51</v>
      </c>
      <c r="AA350" s="2">
        <v>45545</v>
      </c>
      <c r="AB350" t="b">
        <v>1</v>
      </c>
      <c r="AC350" t="b">
        <v>0</v>
      </c>
      <c r="AD350" t="s">
        <v>52</v>
      </c>
      <c r="AE350" t="s">
        <v>41</v>
      </c>
      <c r="AF350">
        <v>13</v>
      </c>
    </row>
    <row r="351" spans="1:32" x14ac:dyDescent="0.25">
      <c r="A351" t="s">
        <v>781</v>
      </c>
      <c r="B351">
        <v>349</v>
      </c>
      <c r="C351">
        <v>40</v>
      </c>
      <c r="D351" t="str">
        <f>IF(tbl_Original[[#This Row],[Gender2]]="Female","Female",IF(tbl_Original[[#This Row],[Gender2]]="Male","Male","Other"))</f>
        <v>Female</v>
      </c>
      <c r="E351" t="s">
        <v>29</v>
      </c>
      <c r="F351" t="s">
        <v>30</v>
      </c>
      <c r="G351" t="s">
        <v>31</v>
      </c>
      <c r="H351" t="s">
        <v>56</v>
      </c>
      <c r="I351" t="s">
        <v>30</v>
      </c>
      <c r="J351" t="str">
        <f>PROPER(TRIM(CLEAN(tbl_Original[[#This Row],[Column1]])))</f>
        <v>Qiankeng</v>
      </c>
      <c r="K351" t="s">
        <v>782</v>
      </c>
      <c r="L351" t="s">
        <v>782</v>
      </c>
      <c r="M351" t="s">
        <v>183</v>
      </c>
      <c r="N351" s="1">
        <v>178.29</v>
      </c>
      <c r="O351">
        <v>4</v>
      </c>
      <c r="P351" t="s">
        <v>35</v>
      </c>
      <c r="Q351">
        <v>4</v>
      </c>
      <c r="R351">
        <v>3</v>
      </c>
      <c r="S351">
        <v>2</v>
      </c>
      <c r="T351" t="s">
        <v>59</v>
      </c>
      <c r="U351" t="s">
        <v>85</v>
      </c>
      <c r="V351">
        <v>2</v>
      </c>
      <c r="W351">
        <v>10</v>
      </c>
      <c r="X351" t="s">
        <v>44</v>
      </c>
      <c r="Y351" t="s">
        <v>79</v>
      </c>
      <c r="Z351" t="s">
        <v>86</v>
      </c>
      <c r="AA351" s="2">
        <v>45502</v>
      </c>
      <c r="AB351" t="b">
        <v>0</v>
      </c>
      <c r="AC351" t="b">
        <v>1</v>
      </c>
      <c r="AD351" t="s">
        <v>74</v>
      </c>
      <c r="AE351" t="s">
        <v>41</v>
      </c>
      <c r="AF351">
        <v>8</v>
      </c>
    </row>
    <row r="352" spans="1:32" x14ac:dyDescent="0.25">
      <c r="A352" t="s">
        <v>783</v>
      </c>
      <c r="B352">
        <v>350</v>
      </c>
      <c r="C352">
        <v>23</v>
      </c>
      <c r="D352" t="str">
        <f>IF(tbl_Original[[#This Row],[Gender2]]="Female","Female",IF(tbl_Original[[#This Row],[Gender2]]="Male","Male","Other"))</f>
        <v>Male</v>
      </c>
      <c r="E352" t="s">
        <v>43</v>
      </c>
      <c r="F352" t="s">
        <v>30</v>
      </c>
      <c r="G352" t="s">
        <v>69</v>
      </c>
      <c r="H352" t="s">
        <v>45</v>
      </c>
      <c r="I352" t="s">
        <v>44</v>
      </c>
      <c r="J352" t="str">
        <f>PROPER(TRIM(CLEAN(tbl_Original[[#This Row],[Column1]])))</f>
        <v>Pandean</v>
      </c>
      <c r="K352" t="s">
        <v>784</v>
      </c>
      <c r="L352" t="s">
        <v>784</v>
      </c>
      <c r="M352" t="s">
        <v>90</v>
      </c>
      <c r="N352" s="1">
        <v>77.08</v>
      </c>
      <c r="O352">
        <v>10</v>
      </c>
      <c r="P352" t="s">
        <v>35</v>
      </c>
      <c r="Q352">
        <v>2</v>
      </c>
      <c r="R352">
        <v>1</v>
      </c>
      <c r="S352">
        <v>0</v>
      </c>
      <c r="T352" t="s">
        <v>44</v>
      </c>
      <c r="U352" t="s">
        <v>50</v>
      </c>
      <c r="V352">
        <v>0</v>
      </c>
      <c r="W352">
        <v>8</v>
      </c>
      <c r="X352" t="s">
        <v>36</v>
      </c>
      <c r="Y352" t="s">
        <v>38</v>
      </c>
      <c r="Z352" t="s">
        <v>51</v>
      </c>
      <c r="AA352" s="2">
        <v>45580</v>
      </c>
      <c r="AB352" t="b">
        <v>1</v>
      </c>
      <c r="AC352" t="b">
        <v>1</v>
      </c>
      <c r="AD352" t="s">
        <v>62</v>
      </c>
      <c r="AE352" t="s">
        <v>53</v>
      </c>
      <c r="AF352">
        <v>1</v>
      </c>
    </row>
    <row r="353" spans="1:32" x14ac:dyDescent="0.25">
      <c r="A353" t="s">
        <v>785</v>
      </c>
      <c r="B353">
        <v>351</v>
      </c>
      <c r="C353">
        <v>46</v>
      </c>
      <c r="D353" t="str">
        <f>IF(tbl_Original[[#This Row],[Gender2]]="Female","Female",IF(tbl_Original[[#This Row],[Gender2]]="Male","Male","Other"))</f>
        <v>Male</v>
      </c>
      <c r="E353" t="s">
        <v>43</v>
      </c>
      <c r="F353" t="s">
        <v>44</v>
      </c>
      <c r="G353" t="s">
        <v>31</v>
      </c>
      <c r="H353" t="s">
        <v>45</v>
      </c>
      <c r="I353" t="s">
        <v>44</v>
      </c>
      <c r="J353" t="str">
        <f>PROPER(TRIM(CLEAN(tbl_Original[[#This Row],[Column1]])))</f>
        <v>Phongn</v>
      </c>
      <c r="K353" t="s">
        <v>2185</v>
      </c>
      <c r="L353" t="s">
        <v>786</v>
      </c>
      <c r="M353" t="s">
        <v>58</v>
      </c>
      <c r="N353" s="1">
        <v>266.89999999999998</v>
      </c>
      <c r="O353">
        <v>11</v>
      </c>
      <c r="P353" t="s">
        <v>35</v>
      </c>
      <c r="Q353">
        <v>4</v>
      </c>
      <c r="R353">
        <v>2</v>
      </c>
      <c r="S353">
        <v>2</v>
      </c>
      <c r="T353" t="s">
        <v>59</v>
      </c>
      <c r="U353" t="s">
        <v>50</v>
      </c>
      <c r="V353">
        <v>1</v>
      </c>
      <c r="W353">
        <v>8</v>
      </c>
      <c r="X353" t="s">
        <v>49</v>
      </c>
      <c r="Y353" t="s">
        <v>79</v>
      </c>
      <c r="Z353" t="s">
        <v>51</v>
      </c>
      <c r="AA353" s="2">
        <v>45474</v>
      </c>
      <c r="AB353" t="b">
        <v>0</v>
      </c>
      <c r="AC353" t="b">
        <v>1</v>
      </c>
      <c r="AD353" t="s">
        <v>52</v>
      </c>
      <c r="AE353" t="s">
        <v>67</v>
      </c>
      <c r="AF353">
        <v>13</v>
      </c>
    </row>
    <row r="354" spans="1:32" x14ac:dyDescent="0.25">
      <c r="A354" t="s">
        <v>787</v>
      </c>
      <c r="B354">
        <v>352</v>
      </c>
      <c r="C354">
        <v>38</v>
      </c>
      <c r="D354" t="str">
        <f>IF(tbl_Original[[#This Row],[Gender2]]="Female","Female",IF(tbl_Original[[#This Row],[Gender2]]="Male","Male","Other"))</f>
        <v>Female</v>
      </c>
      <c r="E354" t="s">
        <v>29</v>
      </c>
      <c r="F354" t="s">
        <v>30</v>
      </c>
      <c r="G354" t="s">
        <v>76</v>
      </c>
      <c r="H354" t="s">
        <v>32</v>
      </c>
      <c r="I354" t="s">
        <v>44</v>
      </c>
      <c r="J354" t="str">
        <f>PROPER(TRIM(CLEAN(tbl_Original[[#This Row],[Column1]])))</f>
        <v>Mirw</v>
      </c>
      <c r="K354" t="s">
        <v>2186</v>
      </c>
      <c r="L354" t="s">
        <v>788</v>
      </c>
      <c r="M354" t="s">
        <v>117</v>
      </c>
      <c r="N354" s="1">
        <v>269.83999999999997</v>
      </c>
      <c r="O354">
        <v>4</v>
      </c>
      <c r="P354" t="s">
        <v>48</v>
      </c>
      <c r="Q354">
        <v>5</v>
      </c>
      <c r="R354">
        <v>4</v>
      </c>
      <c r="S354">
        <v>0</v>
      </c>
      <c r="T354" t="s">
        <v>59</v>
      </c>
      <c r="U354" t="s">
        <v>50</v>
      </c>
      <c r="V354">
        <v>2</v>
      </c>
      <c r="W354">
        <v>9</v>
      </c>
      <c r="X354" t="s">
        <v>59</v>
      </c>
      <c r="Y354" t="s">
        <v>38</v>
      </c>
      <c r="Z354" t="s">
        <v>39</v>
      </c>
      <c r="AA354" s="2">
        <v>45416</v>
      </c>
      <c r="AB354" t="b">
        <v>1</v>
      </c>
      <c r="AC354" t="b">
        <v>1</v>
      </c>
      <c r="AD354" t="s">
        <v>52</v>
      </c>
      <c r="AE354" t="s">
        <v>41</v>
      </c>
      <c r="AF354">
        <v>2</v>
      </c>
    </row>
    <row r="355" spans="1:32" x14ac:dyDescent="0.25">
      <c r="A355" t="s">
        <v>789</v>
      </c>
      <c r="B355">
        <v>353</v>
      </c>
      <c r="C355">
        <v>23</v>
      </c>
      <c r="D355" t="str">
        <f>IF(tbl_Original[[#This Row],[Gender2]]="Female","Female",IF(tbl_Original[[#This Row],[Gender2]]="Male","Male","Other"))</f>
        <v>Male</v>
      </c>
      <c r="E355" t="s">
        <v>43</v>
      </c>
      <c r="F355" t="s">
        <v>30</v>
      </c>
      <c r="G355" t="s">
        <v>31</v>
      </c>
      <c r="H355" t="s">
        <v>56</v>
      </c>
      <c r="I355" t="s">
        <v>44</v>
      </c>
      <c r="J355" t="str">
        <f>PROPER(TRIM(CLEAN(tbl_Original[[#This Row],[Column1]])))</f>
        <v>Franceville</v>
      </c>
      <c r="K355" t="s">
        <v>790</v>
      </c>
      <c r="L355" t="s">
        <v>790</v>
      </c>
      <c r="M355" t="s">
        <v>65</v>
      </c>
      <c r="N355" s="1">
        <v>334.22</v>
      </c>
      <c r="O355">
        <v>8</v>
      </c>
      <c r="P355" t="s">
        <v>78</v>
      </c>
      <c r="Q355">
        <v>2</v>
      </c>
      <c r="R355">
        <v>2</v>
      </c>
      <c r="S355">
        <v>2</v>
      </c>
      <c r="T355" t="s">
        <v>36</v>
      </c>
      <c r="U355" t="s">
        <v>85</v>
      </c>
      <c r="V355">
        <v>2</v>
      </c>
      <c r="W355">
        <v>8</v>
      </c>
      <c r="X355" t="s">
        <v>36</v>
      </c>
      <c r="Y355" t="s">
        <v>38</v>
      </c>
      <c r="Z355" t="s">
        <v>86</v>
      </c>
      <c r="AA355" s="2">
        <v>45353</v>
      </c>
      <c r="AB355" t="b">
        <v>0</v>
      </c>
      <c r="AC355" t="b">
        <v>0</v>
      </c>
      <c r="AD355" t="s">
        <v>40</v>
      </c>
      <c r="AE355" t="s">
        <v>53</v>
      </c>
      <c r="AF355">
        <v>1</v>
      </c>
    </row>
    <row r="356" spans="1:32" x14ac:dyDescent="0.25">
      <c r="A356" t="s">
        <v>791</v>
      </c>
      <c r="B356">
        <v>354</v>
      </c>
      <c r="C356">
        <v>40</v>
      </c>
      <c r="D356" t="str">
        <f>IF(tbl_Original[[#This Row],[Gender2]]="Female","Female",IF(tbl_Original[[#This Row],[Gender2]]="Male","Male","Other"))</f>
        <v>Female</v>
      </c>
      <c r="E356" t="s">
        <v>29</v>
      </c>
      <c r="F356" t="s">
        <v>30</v>
      </c>
      <c r="G356" t="s">
        <v>31</v>
      </c>
      <c r="H356" t="s">
        <v>45</v>
      </c>
      <c r="I356" t="s">
        <v>44</v>
      </c>
      <c r="J356" t="str">
        <f>PROPER(TRIM(CLEAN(tbl_Original[[#This Row],[Column1]])))</f>
        <v>Bordeaux</v>
      </c>
      <c r="K356" t="s">
        <v>792</v>
      </c>
      <c r="L356" t="s">
        <v>792</v>
      </c>
      <c r="M356" t="s">
        <v>194</v>
      </c>
      <c r="N356" s="1">
        <v>474.56</v>
      </c>
      <c r="O356">
        <v>8</v>
      </c>
      <c r="P356" t="s">
        <v>48</v>
      </c>
      <c r="Q356">
        <v>1</v>
      </c>
      <c r="R356">
        <v>5</v>
      </c>
      <c r="S356">
        <v>2</v>
      </c>
      <c r="T356" t="s">
        <v>59</v>
      </c>
      <c r="U356" t="s">
        <v>50</v>
      </c>
      <c r="V356">
        <v>1</v>
      </c>
      <c r="W356">
        <v>6</v>
      </c>
      <c r="X356" t="s">
        <v>44</v>
      </c>
      <c r="Y356" t="s">
        <v>60</v>
      </c>
      <c r="Z356" t="s">
        <v>51</v>
      </c>
      <c r="AA356" s="2">
        <v>45399</v>
      </c>
      <c r="AB356" t="b">
        <v>1</v>
      </c>
      <c r="AC356" t="b">
        <v>0</v>
      </c>
      <c r="AD356" t="s">
        <v>74</v>
      </c>
      <c r="AE356" t="s">
        <v>53</v>
      </c>
      <c r="AF356">
        <v>12</v>
      </c>
    </row>
    <row r="357" spans="1:32" x14ac:dyDescent="0.25">
      <c r="A357" t="s">
        <v>793</v>
      </c>
      <c r="B357">
        <v>355</v>
      </c>
      <c r="C357">
        <v>34</v>
      </c>
      <c r="D357" t="str">
        <f>IF(tbl_Original[[#This Row],[Gender2]]="Female","Female",IF(tbl_Original[[#This Row],[Gender2]]="Male","Male","Other"))</f>
        <v>Male</v>
      </c>
      <c r="E357" t="s">
        <v>43</v>
      </c>
      <c r="F357" t="s">
        <v>44</v>
      </c>
      <c r="G357" t="s">
        <v>31</v>
      </c>
      <c r="H357" t="s">
        <v>56</v>
      </c>
      <c r="I357" t="s">
        <v>44</v>
      </c>
      <c r="J357" t="str">
        <f>PROPER(TRIM(CLEAN(tbl_Original[[#This Row],[Column1]])))</f>
        <v>Zamora</v>
      </c>
      <c r="K357" t="s">
        <v>794</v>
      </c>
      <c r="L357" t="s">
        <v>794</v>
      </c>
      <c r="M357" t="s">
        <v>117</v>
      </c>
      <c r="N357" s="1">
        <v>360.91</v>
      </c>
      <c r="O357">
        <v>4</v>
      </c>
      <c r="P357" t="s">
        <v>35</v>
      </c>
      <c r="Q357">
        <v>3</v>
      </c>
      <c r="R357">
        <v>5</v>
      </c>
      <c r="S357">
        <v>1</v>
      </c>
      <c r="T357" t="s">
        <v>44</v>
      </c>
      <c r="U357" t="s">
        <v>37</v>
      </c>
      <c r="V357">
        <v>0</v>
      </c>
      <c r="W357">
        <v>8</v>
      </c>
      <c r="X357" t="s">
        <v>44</v>
      </c>
      <c r="Y357" t="s">
        <v>79</v>
      </c>
      <c r="Z357" t="s">
        <v>39</v>
      </c>
      <c r="AA357" s="2">
        <v>45534</v>
      </c>
      <c r="AB357" t="b">
        <v>1</v>
      </c>
      <c r="AC357" t="b">
        <v>1</v>
      </c>
      <c r="AD357" t="s">
        <v>74</v>
      </c>
      <c r="AE357" t="s">
        <v>41</v>
      </c>
      <c r="AF357">
        <v>4</v>
      </c>
    </row>
    <row r="358" spans="1:32" x14ac:dyDescent="0.25">
      <c r="A358" t="s">
        <v>795</v>
      </c>
      <c r="B358">
        <v>356</v>
      </c>
      <c r="C358">
        <v>44</v>
      </c>
      <c r="D358" t="str">
        <f>IF(tbl_Original[[#This Row],[Gender2]]="Female","Female",IF(tbl_Original[[#This Row],[Gender2]]="Male","Male","Other"))</f>
        <v>Female</v>
      </c>
      <c r="E358" t="s">
        <v>29</v>
      </c>
      <c r="F358" t="s">
        <v>30</v>
      </c>
      <c r="G358" t="s">
        <v>69</v>
      </c>
      <c r="H358" t="s">
        <v>32</v>
      </c>
      <c r="I358" t="s">
        <v>44</v>
      </c>
      <c r="J358" t="str">
        <f>PROPER(TRIM(CLEAN(tbl_Original[[#This Row],[Column1]])))</f>
        <v>Jubaoshan</v>
      </c>
      <c r="K358" t="s">
        <v>796</v>
      </c>
      <c r="L358" t="s">
        <v>796</v>
      </c>
      <c r="M358" t="s">
        <v>158</v>
      </c>
      <c r="N358" s="1">
        <v>373.49</v>
      </c>
      <c r="O358">
        <v>6</v>
      </c>
      <c r="P358" t="s">
        <v>78</v>
      </c>
      <c r="Q358">
        <v>4</v>
      </c>
      <c r="R358">
        <v>1</v>
      </c>
      <c r="S358">
        <v>0</v>
      </c>
      <c r="T358" t="s">
        <v>49</v>
      </c>
      <c r="U358" t="s">
        <v>85</v>
      </c>
      <c r="V358">
        <v>0</v>
      </c>
      <c r="W358">
        <v>10</v>
      </c>
      <c r="X358" t="s">
        <v>59</v>
      </c>
      <c r="Y358" t="s">
        <v>38</v>
      </c>
      <c r="Z358" t="s">
        <v>86</v>
      </c>
      <c r="AA358" s="2">
        <v>45405</v>
      </c>
      <c r="AB358" t="b">
        <v>1</v>
      </c>
      <c r="AC358" t="b">
        <v>1</v>
      </c>
      <c r="AD358" t="s">
        <v>62</v>
      </c>
      <c r="AE358" t="s">
        <v>53</v>
      </c>
      <c r="AF358">
        <v>1</v>
      </c>
    </row>
    <row r="359" spans="1:32" x14ac:dyDescent="0.25">
      <c r="A359" t="s">
        <v>797</v>
      </c>
      <c r="B359">
        <v>357</v>
      </c>
      <c r="C359">
        <v>32</v>
      </c>
      <c r="D359" t="str">
        <f>IF(tbl_Original[[#This Row],[Gender2]]="Female","Female",IF(tbl_Original[[#This Row],[Gender2]]="Male","Male","Other"))</f>
        <v>Female</v>
      </c>
      <c r="E359" t="s">
        <v>29</v>
      </c>
      <c r="F359" t="s">
        <v>44</v>
      </c>
      <c r="G359" t="s">
        <v>31</v>
      </c>
      <c r="H359" t="s">
        <v>56</v>
      </c>
      <c r="I359" t="s">
        <v>30</v>
      </c>
      <c r="J359" t="str">
        <f>PROPER(TRIM(CLEAN(tbl_Original[[#This Row],[Column1]])))</f>
        <v>Shdegn</v>
      </c>
      <c r="K359" t="s">
        <v>2187</v>
      </c>
      <c r="L359" t="s">
        <v>798</v>
      </c>
      <c r="M359" t="s">
        <v>90</v>
      </c>
      <c r="N359" s="1">
        <v>462.3</v>
      </c>
      <c r="O359">
        <v>5</v>
      </c>
      <c r="P359" t="s">
        <v>35</v>
      </c>
      <c r="Q359">
        <v>3</v>
      </c>
      <c r="R359">
        <v>3</v>
      </c>
      <c r="S359">
        <v>2</v>
      </c>
      <c r="T359" t="s">
        <v>36</v>
      </c>
      <c r="U359" t="s">
        <v>50</v>
      </c>
      <c r="V359">
        <v>2</v>
      </c>
      <c r="W359">
        <v>4</v>
      </c>
      <c r="X359" t="s">
        <v>49</v>
      </c>
      <c r="Y359" t="s">
        <v>38</v>
      </c>
      <c r="Z359" t="s">
        <v>86</v>
      </c>
      <c r="AA359" s="2">
        <v>45621</v>
      </c>
      <c r="AB359" t="b">
        <v>1</v>
      </c>
      <c r="AC359" t="b">
        <v>1</v>
      </c>
      <c r="AD359" t="s">
        <v>62</v>
      </c>
      <c r="AE359" t="s">
        <v>53</v>
      </c>
      <c r="AF359">
        <v>4</v>
      </c>
    </row>
    <row r="360" spans="1:32" x14ac:dyDescent="0.25">
      <c r="A360" t="s">
        <v>799</v>
      </c>
      <c r="B360">
        <v>358</v>
      </c>
      <c r="C360">
        <v>42</v>
      </c>
      <c r="D360" t="str">
        <f>IF(tbl_Original[[#This Row],[Gender2]]="Female","Female",IF(tbl_Original[[#This Row],[Gender2]]="Male","Male","Other"))</f>
        <v>Female</v>
      </c>
      <c r="E360" t="s">
        <v>29</v>
      </c>
      <c r="F360" t="s">
        <v>30</v>
      </c>
      <c r="G360" t="s">
        <v>55</v>
      </c>
      <c r="H360" t="s">
        <v>56</v>
      </c>
      <c r="I360" t="s">
        <v>30</v>
      </c>
      <c r="J360" t="str">
        <f>PROPER(TRIM(CLEAN(tbl_Original[[#This Row],[Column1]])))</f>
        <v>Gueltat Zemmour</v>
      </c>
      <c r="K360" t="s">
        <v>800</v>
      </c>
      <c r="L360" t="s">
        <v>800</v>
      </c>
      <c r="M360" t="s">
        <v>126</v>
      </c>
      <c r="N360" s="1">
        <v>332.67</v>
      </c>
      <c r="O360">
        <v>8</v>
      </c>
      <c r="P360" t="s">
        <v>48</v>
      </c>
      <c r="Q360">
        <v>1</v>
      </c>
      <c r="R360">
        <v>4</v>
      </c>
      <c r="S360">
        <v>2</v>
      </c>
      <c r="T360" t="s">
        <v>49</v>
      </c>
      <c r="U360" t="s">
        <v>37</v>
      </c>
      <c r="V360">
        <v>1</v>
      </c>
      <c r="W360">
        <v>2</v>
      </c>
      <c r="X360" t="s">
        <v>44</v>
      </c>
      <c r="Y360" t="s">
        <v>60</v>
      </c>
      <c r="Z360" t="s">
        <v>66</v>
      </c>
      <c r="AA360" s="2">
        <v>45637</v>
      </c>
      <c r="AB360" t="b">
        <v>0</v>
      </c>
      <c r="AC360" t="b">
        <v>1</v>
      </c>
      <c r="AD360" t="s">
        <v>62</v>
      </c>
      <c r="AE360" t="s">
        <v>67</v>
      </c>
      <c r="AF360">
        <v>4</v>
      </c>
    </row>
    <row r="361" spans="1:32" x14ac:dyDescent="0.25">
      <c r="A361" t="s">
        <v>801</v>
      </c>
      <c r="B361">
        <v>359</v>
      </c>
      <c r="C361">
        <v>22</v>
      </c>
      <c r="D361" t="str">
        <f>IF(tbl_Original[[#This Row],[Gender2]]="Female","Female",IF(tbl_Original[[#This Row],[Gender2]]="Male","Male","Other"))</f>
        <v>Female</v>
      </c>
      <c r="E361" t="s">
        <v>29</v>
      </c>
      <c r="F361" t="s">
        <v>44</v>
      </c>
      <c r="G361" t="s">
        <v>76</v>
      </c>
      <c r="H361" t="s">
        <v>56</v>
      </c>
      <c r="I361" t="s">
        <v>30</v>
      </c>
      <c r="J361" t="str">
        <f>PROPER(TRIM(CLEAN(tbl_Original[[#This Row],[Column1]])))</f>
        <v>Mosalask</v>
      </c>
      <c r="K361" t="s">
        <v>2188</v>
      </c>
      <c r="L361" t="s">
        <v>802</v>
      </c>
      <c r="M361" t="s">
        <v>65</v>
      </c>
      <c r="N361" s="1">
        <v>235.39</v>
      </c>
      <c r="O361">
        <v>9</v>
      </c>
      <c r="P361" t="s">
        <v>78</v>
      </c>
      <c r="Q361">
        <v>5</v>
      </c>
      <c r="R361">
        <v>4</v>
      </c>
      <c r="S361">
        <v>1</v>
      </c>
      <c r="T361" t="s">
        <v>36</v>
      </c>
      <c r="U361" t="s">
        <v>50</v>
      </c>
      <c r="V361">
        <v>0</v>
      </c>
      <c r="W361">
        <v>6</v>
      </c>
      <c r="X361" t="s">
        <v>36</v>
      </c>
      <c r="Y361" t="s">
        <v>60</v>
      </c>
      <c r="Z361" t="s">
        <v>39</v>
      </c>
      <c r="AA361" s="2">
        <v>45437</v>
      </c>
      <c r="AB361" t="b">
        <v>0</v>
      </c>
      <c r="AC361" t="b">
        <v>1</v>
      </c>
      <c r="AD361" t="s">
        <v>74</v>
      </c>
      <c r="AE361" t="s">
        <v>41</v>
      </c>
      <c r="AF361">
        <v>6</v>
      </c>
    </row>
    <row r="362" spans="1:32" x14ac:dyDescent="0.25">
      <c r="A362" t="s">
        <v>803</v>
      </c>
      <c r="B362">
        <v>360</v>
      </c>
      <c r="C362">
        <v>44</v>
      </c>
      <c r="D362" t="str">
        <f>IF(tbl_Original[[#This Row],[Gender2]]="Female","Female",IF(tbl_Original[[#This Row],[Gender2]]="Male","Male","Other"))</f>
        <v>Female</v>
      </c>
      <c r="E362" t="s">
        <v>29</v>
      </c>
      <c r="F362" t="s">
        <v>30</v>
      </c>
      <c r="G362" t="s">
        <v>31</v>
      </c>
      <c r="H362" t="s">
        <v>45</v>
      </c>
      <c r="I362" t="s">
        <v>30</v>
      </c>
      <c r="J362" t="str">
        <f>PROPER(TRIM(CLEAN(tbl_Original[[#This Row],[Column1]])))</f>
        <v>Kokstad</v>
      </c>
      <c r="K362" t="s">
        <v>804</v>
      </c>
      <c r="L362" t="s">
        <v>804</v>
      </c>
      <c r="M362" t="s">
        <v>114</v>
      </c>
      <c r="N362" s="1">
        <v>269.77999999999997</v>
      </c>
      <c r="O362">
        <v>7</v>
      </c>
      <c r="P362" t="s">
        <v>48</v>
      </c>
      <c r="Q362">
        <v>2</v>
      </c>
      <c r="R362">
        <v>3</v>
      </c>
      <c r="S362">
        <v>1</v>
      </c>
      <c r="T362" t="s">
        <v>49</v>
      </c>
      <c r="U362" t="s">
        <v>37</v>
      </c>
      <c r="V362">
        <v>2</v>
      </c>
      <c r="W362">
        <v>7</v>
      </c>
      <c r="X362" t="s">
        <v>49</v>
      </c>
      <c r="Y362" t="s">
        <v>79</v>
      </c>
      <c r="Z362" t="s">
        <v>66</v>
      </c>
      <c r="AA362" s="2">
        <v>45498</v>
      </c>
      <c r="AB362" t="b">
        <v>1</v>
      </c>
      <c r="AC362" t="b">
        <v>1</v>
      </c>
      <c r="AD362" t="s">
        <v>40</v>
      </c>
      <c r="AE362" t="s">
        <v>41</v>
      </c>
      <c r="AF362">
        <v>5</v>
      </c>
    </row>
    <row r="363" spans="1:32" x14ac:dyDescent="0.25">
      <c r="A363" t="s">
        <v>805</v>
      </c>
      <c r="B363">
        <v>361</v>
      </c>
      <c r="C363">
        <v>29</v>
      </c>
      <c r="D363" t="str">
        <f>IF(tbl_Original[[#This Row],[Gender2]]="Female","Female",IF(tbl_Original[[#This Row],[Gender2]]="Male","Male","Other"))</f>
        <v>Male</v>
      </c>
      <c r="E363" t="s">
        <v>43</v>
      </c>
      <c r="F363" t="s">
        <v>30</v>
      </c>
      <c r="G363" t="s">
        <v>31</v>
      </c>
      <c r="H363" t="s">
        <v>32</v>
      </c>
      <c r="I363" t="s">
        <v>30</v>
      </c>
      <c r="J363" t="str">
        <f>PROPER(TRIM(CLEAN(tbl_Original[[#This Row],[Column1]])))</f>
        <v>Malasin</v>
      </c>
      <c r="K363" t="s">
        <v>806</v>
      </c>
      <c r="L363" t="s">
        <v>806</v>
      </c>
      <c r="M363" t="s">
        <v>34</v>
      </c>
      <c r="N363" s="1">
        <v>498.33</v>
      </c>
      <c r="O363">
        <v>2</v>
      </c>
      <c r="P363" t="s">
        <v>78</v>
      </c>
      <c r="Q363">
        <v>3</v>
      </c>
      <c r="R363">
        <v>5</v>
      </c>
      <c r="S363">
        <v>2</v>
      </c>
      <c r="T363" t="s">
        <v>49</v>
      </c>
      <c r="U363" t="s">
        <v>85</v>
      </c>
      <c r="V363">
        <v>1</v>
      </c>
      <c r="W363">
        <v>9</v>
      </c>
      <c r="X363" t="s">
        <v>49</v>
      </c>
      <c r="Y363" t="s">
        <v>60</v>
      </c>
      <c r="Z363" t="s">
        <v>51</v>
      </c>
      <c r="AA363" s="2">
        <v>45420</v>
      </c>
      <c r="AB363" t="b">
        <v>1</v>
      </c>
      <c r="AC363" t="b">
        <v>1</v>
      </c>
      <c r="AD363" t="s">
        <v>52</v>
      </c>
      <c r="AE363" t="s">
        <v>67</v>
      </c>
      <c r="AF363">
        <v>1</v>
      </c>
    </row>
    <row r="364" spans="1:32" x14ac:dyDescent="0.25">
      <c r="A364" t="s">
        <v>807</v>
      </c>
      <c r="B364">
        <v>362</v>
      </c>
      <c r="C364">
        <v>30</v>
      </c>
      <c r="D364" t="str">
        <f>IF(tbl_Original[[#This Row],[Gender2]]="Female","Female",IF(tbl_Original[[#This Row],[Gender2]]="Male","Male","Other"))</f>
        <v>Female</v>
      </c>
      <c r="E364" t="s">
        <v>29</v>
      </c>
      <c r="F364" t="s">
        <v>44</v>
      </c>
      <c r="G364" t="s">
        <v>55</v>
      </c>
      <c r="H364" t="s">
        <v>45</v>
      </c>
      <c r="I364" t="s">
        <v>44</v>
      </c>
      <c r="J364" t="str">
        <f>PROPER(TRIM(CLEAN(tbl_Original[[#This Row],[Column1]])))</f>
        <v>Huaqiu</v>
      </c>
      <c r="K364" t="s">
        <v>808</v>
      </c>
      <c r="L364" t="s">
        <v>808</v>
      </c>
      <c r="M364" t="s">
        <v>142</v>
      </c>
      <c r="N364" s="1">
        <v>182.94</v>
      </c>
      <c r="O364">
        <v>7</v>
      </c>
      <c r="P364" t="s">
        <v>35</v>
      </c>
      <c r="Q364">
        <v>1</v>
      </c>
      <c r="R364">
        <v>5</v>
      </c>
      <c r="S364">
        <v>2</v>
      </c>
      <c r="T364" t="s">
        <v>36</v>
      </c>
      <c r="U364" t="s">
        <v>50</v>
      </c>
      <c r="V364">
        <v>2</v>
      </c>
      <c r="W364">
        <v>7</v>
      </c>
      <c r="X364" t="s">
        <v>59</v>
      </c>
      <c r="Y364" t="s">
        <v>79</v>
      </c>
      <c r="Z364" t="s">
        <v>66</v>
      </c>
      <c r="AA364" s="2">
        <v>45440</v>
      </c>
      <c r="AB364" t="b">
        <v>1</v>
      </c>
      <c r="AC364" t="b">
        <v>1</v>
      </c>
      <c r="AD364" t="s">
        <v>40</v>
      </c>
      <c r="AE364" t="s">
        <v>67</v>
      </c>
      <c r="AF364">
        <v>12</v>
      </c>
    </row>
    <row r="365" spans="1:32" x14ac:dyDescent="0.25">
      <c r="A365" t="s">
        <v>809</v>
      </c>
      <c r="B365">
        <v>363</v>
      </c>
      <c r="C365">
        <v>19</v>
      </c>
      <c r="D365" t="str">
        <f>IF(tbl_Original[[#This Row],[Gender2]]="Female","Female",IF(tbl_Original[[#This Row],[Gender2]]="Male","Male","Other"))</f>
        <v>Female</v>
      </c>
      <c r="E365" t="s">
        <v>29</v>
      </c>
      <c r="F365" t="s">
        <v>30</v>
      </c>
      <c r="G365" t="s">
        <v>76</v>
      </c>
      <c r="H365" t="s">
        <v>56</v>
      </c>
      <c r="I365" t="s">
        <v>44</v>
      </c>
      <c r="J365" t="str">
        <f>PROPER(TRIM(CLEAN(tbl_Original[[#This Row],[Column1]])))</f>
        <v>Loket</v>
      </c>
      <c r="K365" t="s">
        <v>810</v>
      </c>
      <c r="L365" t="s">
        <v>810</v>
      </c>
      <c r="M365" t="s">
        <v>142</v>
      </c>
      <c r="N365" s="1">
        <v>121.7</v>
      </c>
      <c r="O365">
        <v>7</v>
      </c>
      <c r="P365" t="s">
        <v>35</v>
      </c>
      <c r="Q365">
        <v>4</v>
      </c>
      <c r="R365">
        <v>3</v>
      </c>
      <c r="S365">
        <v>0</v>
      </c>
      <c r="T365" t="s">
        <v>44</v>
      </c>
      <c r="U365" t="s">
        <v>85</v>
      </c>
      <c r="V365">
        <v>2</v>
      </c>
      <c r="W365">
        <v>5</v>
      </c>
      <c r="X365" t="s">
        <v>36</v>
      </c>
      <c r="Y365" t="s">
        <v>60</v>
      </c>
      <c r="Z365" t="s">
        <v>39</v>
      </c>
      <c r="AA365" s="2">
        <v>45467</v>
      </c>
      <c r="AB365" t="b">
        <v>1</v>
      </c>
      <c r="AC365" t="b">
        <v>1</v>
      </c>
      <c r="AD365" t="s">
        <v>74</v>
      </c>
      <c r="AE365" t="s">
        <v>53</v>
      </c>
      <c r="AF365">
        <v>8</v>
      </c>
    </row>
    <row r="366" spans="1:32" x14ac:dyDescent="0.25">
      <c r="A366" t="s">
        <v>811</v>
      </c>
      <c r="B366">
        <v>364</v>
      </c>
      <c r="C366">
        <v>45</v>
      </c>
      <c r="D366" t="str">
        <f>IF(tbl_Original[[#This Row],[Gender2]]="Female","Female",IF(tbl_Original[[#This Row],[Gender2]]="Male","Male","Other"))</f>
        <v>Female</v>
      </c>
      <c r="E366" t="s">
        <v>29</v>
      </c>
      <c r="F366" t="s">
        <v>44</v>
      </c>
      <c r="G366" t="s">
        <v>69</v>
      </c>
      <c r="H366" t="s">
        <v>56</v>
      </c>
      <c r="I366" t="s">
        <v>30</v>
      </c>
      <c r="J366" t="str">
        <f>PROPER(TRIM(CLEAN(tbl_Original[[#This Row],[Column1]])))</f>
        <v>Santa Maria Do Souto</v>
      </c>
      <c r="K366" t="s">
        <v>812</v>
      </c>
      <c r="L366" t="s">
        <v>812</v>
      </c>
      <c r="M366" t="s">
        <v>120</v>
      </c>
      <c r="N366" s="1">
        <v>489.27</v>
      </c>
      <c r="O366">
        <v>4</v>
      </c>
      <c r="P366" t="s">
        <v>35</v>
      </c>
      <c r="Q366">
        <v>1</v>
      </c>
      <c r="R366">
        <v>4</v>
      </c>
      <c r="S366">
        <v>1</v>
      </c>
      <c r="T366" t="s">
        <v>44</v>
      </c>
      <c r="U366" t="s">
        <v>37</v>
      </c>
      <c r="V366">
        <v>1</v>
      </c>
      <c r="W366">
        <v>3</v>
      </c>
      <c r="X366" t="s">
        <v>36</v>
      </c>
      <c r="Y366" t="s">
        <v>38</v>
      </c>
      <c r="Z366" t="s">
        <v>61</v>
      </c>
      <c r="AA366" s="2">
        <v>45304</v>
      </c>
      <c r="AB366" t="b">
        <v>0</v>
      </c>
      <c r="AC366" t="b">
        <v>0</v>
      </c>
      <c r="AD366" t="s">
        <v>52</v>
      </c>
      <c r="AE366" t="s">
        <v>53</v>
      </c>
      <c r="AF366">
        <v>3</v>
      </c>
    </row>
    <row r="367" spans="1:32" x14ac:dyDescent="0.25">
      <c r="A367" t="s">
        <v>813</v>
      </c>
      <c r="B367">
        <v>365</v>
      </c>
      <c r="C367">
        <v>38</v>
      </c>
      <c r="D367" t="str">
        <f>IF(tbl_Original[[#This Row],[Gender2]]="Female","Female",IF(tbl_Original[[#This Row],[Gender2]]="Male","Male","Other"))</f>
        <v>Male</v>
      </c>
      <c r="E367" t="s">
        <v>43</v>
      </c>
      <c r="F367" t="s">
        <v>30</v>
      </c>
      <c r="G367" t="s">
        <v>31</v>
      </c>
      <c r="H367" t="s">
        <v>32</v>
      </c>
      <c r="I367" t="s">
        <v>30</v>
      </c>
      <c r="J367" t="str">
        <f>PROPER(TRIM(CLEAN(tbl_Original[[#This Row],[Column1]])))</f>
        <v>Yanshang</v>
      </c>
      <c r="K367" t="s">
        <v>814</v>
      </c>
      <c r="L367" t="s">
        <v>814</v>
      </c>
      <c r="M367" t="s">
        <v>120</v>
      </c>
      <c r="N367" s="1">
        <v>303.93</v>
      </c>
      <c r="O367">
        <v>6</v>
      </c>
      <c r="P367" t="s">
        <v>35</v>
      </c>
      <c r="Q367">
        <v>3</v>
      </c>
      <c r="R367">
        <v>2</v>
      </c>
      <c r="S367">
        <v>0</v>
      </c>
      <c r="T367" t="s">
        <v>44</v>
      </c>
      <c r="U367" t="s">
        <v>50</v>
      </c>
      <c r="V367">
        <v>1</v>
      </c>
      <c r="W367">
        <v>10</v>
      </c>
      <c r="X367" t="s">
        <v>59</v>
      </c>
      <c r="Y367" t="s">
        <v>60</v>
      </c>
      <c r="Z367" t="s">
        <v>61</v>
      </c>
      <c r="AA367" s="2">
        <v>45364</v>
      </c>
      <c r="AB367" t="b">
        <v>1</v>
      </c>
      <c r="AC367" t="b">
        <v>0</v>
      </c>
      <c r="AD367" t="s">
        <v>40</v>
      </c>
      <c r="AE367" t="s">
        <v>41</v>
      </c>
      <c r="AF367">
        <v>2</v>
      </c>
    </row>
    <row r="368" spans="1:32" x14ac:dyDescent="0.25">
      <c r="A368" t="s">
        <v>815</v>
      </c>
      <c r="B368">
        <v>366</v>
      </c>
      <c r="C368">
        <v>24</v>
      </c>
      <c r="D368" t="str">
        <f>IF(tbl_Original[[#This Row],[Gender2]]="Female","Female",IF(tbl_Original[[#This Row],[Gender2]]="Male","Male","Other"))</f>
        <v>Female</v>
      </c>
      <c r="E368" t="s">
        <v>29</v>
      </c>
      <c r="F368" t="s">
        <v>30</v>
      </c>
      <c r="G368" t="s">
        <v>31</v>
      </c>
      <c r="H368" t="s">
        <v>32</v>
      </c>
      <c r="I368" t="s">
        <v>30</v>
      </c>
      <c r="J368" t="str">
        <f>PROPER(TRIM(CLEAN(tbl_Original[[#This Row],[Column1]])))</f>
        <v>Tempuran</v>
      </c>
      <c r="K368" t="s">
        <v>816</v>
      </c>
      <c r="L368" t="s">
        <v>816</v>
      </c>
      <c r="M368" t="s">
        <v>47</v>
      </c>
      <c r="N368" s="1">
        <v>302.74</v>
      </c>
      <c r="O368">
        <v>11</v>
      </c>
      <c r="P368" t="s">
        <v>35</v>
      </c>
      <c r="Q368">
        <v>1</v>
      </c>
      <c r="R368">
        <v>5</v>
      </c>
      <c r="S368">
        <v>0</v>
      </c>
      <c r="T368" t="s">
        <v>44</v>
      </c>
      <c r="U368" t="s">
        <v>85</v>
      </c>
      <c r="V368">
        <v>0</v>
      </c>
      <c r="W368">
        <v>6</v>
      </c>
      <c r="X368" t="s">
        <v>44</v>
      </c>
      <c r="Y368" t="s">
        <v>60</v>
      </c>
      <c r="Z368" t="s">
        <v>51</v>
      </c>
      <c r="AA368" s="2">
        <v>45471</v>
      </c>
      <c r="AB368" t="b">
        <v>1</v>
      </c>
      <c r="AC368" t="b">
        <v>1</v>
      </c>
      <c r="AD368" t="s">
        <v>52</v>
      </c>
      <c r="AE368" t="s">
        <v>67</v>
      </c>
      <c r="AF368">
        <v>5</v>
      </c>
    </row>
    <row r="369" spans="1:32" x14ac:dyDescent="0.25">
      <c r="A369" t="s">
        <v>817</v>
      </c>
      <c r="B369">
        <v>367</v>
      </c>
      <c r="C369">
        <v>42</v>
      </c>
      <c r="D369" t="str">
        <f>IF(tbl_Original[[#This Row],[Gender2]]="Female","Female",IF(tbl_Original[[#This Row],[Gender2]]="Male","Male","Other"))</f>
        <v>Other</v>
      </c>
      <c r="E369" t="s">
        <v>352</v>
      </c>
      <c r="F369" t="s">
        <v>44</v>
      </c>
      <c r="G369" t="s">
        <v>55</v>
      </c>
      <c r="H369" t="s">
        <v>32</v>
      </c>
      <c r="I369" t="s">
        <v>44</v>
      </c>
      <c r="J369" t="str">
        <f>PROPER(TRIM(CLEAN(tbl_Original[[#This Row],[Column1]])))</f>
        <v>Karafao</v>
      </c>
      <c r="K369" t="s">
        <v>818</v>
      </c>
      <c r="L369" t="s">
        <v>818</v>
      </c>
      <c r="M369" t="s">
        <v>188</v>
      </c>
      <c r="N369" s="1">
        <v>157.21</v>
      </c>
      <c r="O369">
        <v>11</v>
      </c>
      <c r="P369" t="s">
        <v>78</v>
      </c>
      <c r="Q369">
        <v>3</v>
      </c>
      <c r="R369">
        <v>3</v>
      </c>
      <c r="S369">
        <v>0</v>
      </c>
      <c r="T369" t="s">
        <v>49</v>
      </c>
      <c r="U369" t="s">
        <v>50</v>
      </c>
      <c r="V369">
        <v>0</v>
      </c>
      <c r="W369">
        <v>3</v>
      </c>
      <c r="X369" t="s">
        <v>44</v>
      </c>
      <c r="Y369" t="s">
        <v>38</v>
      </c>
      <c r="Z369" t="s">
        <v>61</v>
      </c>
      <c r="AA369" s="2">
        <v>45412</v>
      </c>
      <c r="AB369" t="b">
        <v>1</v>
      </c>
      <c r="AC369" t="b">
        <v>0</v>
      </c>
      <c r="AD369" t="s">
        <v>52</v>
      </c>
      <c r="AE369" t="s">
        <v>67</v>
      </c>
      <c r="AF369">
        <v>5</v>
      </c>
    </row>
    <row r="370" spans="1:32" x14ac:dyDescent="0.25">
      <c r="A370" t="s">
        <v>819</v>
      </c>
      <c r="B370">
        <v>368</v>
      </c>
      <c r="C370">
        <v>46</v>
      </c>
      <c r="D370" t="str">
        <f>IF(tbl_Original[[#This Row],[Gender2]]="Female","Female",IF(tbl_Original[[#This Row],[Gender2]]="Male","Male","Other"))</f>
        <v>Female</v>
      </c>
      <c r="E370" t="s">
        <v>29</v>
      </c>
      <c r="F370" t="s">
        <v>44</v>
      </c>
      <c r="G370" t="s">
        <v>69</v>
      </c>
      <c r="H370" t="s">
        <v>45</v>
      </c>
      <c r="I370" t="s">
        <v>44</v>
      </c>
      <c r="J370" t="str">
        <f>PROPER(TRIM(CLEAN(tbl_Original[[#This Row],[Column1]])))</f>
        <v>So Cristvo</v>
      </c>
      <c r="K370" t="s">
        <v>2189</v>
      </c>
      <c r="L370" t="s">
        <v>820</v>
      </c>
      <c r="M370" t="s">
        <v>90</v>
      </c>
      <c r="N370" s="1">
        <v>159.44999999999999</v>
      </c>
      <c r="O370">
        <v>2</v>
      </c>
      <c r="P370" t="s">
        <v>78</v>
      </c>
      <c r="Q370">
        <v>3</v>
      </c>
      <c r="R370">
        <v>2</v>
      </c>
      <c r="S370">
        <v>2</v>
      </c>
      <c r="T370" t="s">
        <v>49</v>
      </c>
      <c r="U370" t="s">
        <v>85</v>
      </c>
      <c r="V370">
        <v>0</v>
      </c>
      <c r="W370">
        <v>5</v>
      </c>
      <c r="X370" t="s">
        <v>36</v>
      </c>
      <c r="Y370" t="s">
        <v>60</v>
      </c>
      <c r="Z370" t="s">
        <v>61</v>
      </c>
      <c r="AA370" s="2">
        <v>45457</v>
      </c>
      <c r="AB370" t="b">
        <v>1</v>
      </c>
      <c r="AC370" t="b">
        <v>0</v>
      </c>
      <c r="AD370" t="s">
        <v>62</v>
      </c>
      <c r="AE370" t="s">
        <v>53</v>
      </c>
      <c r="AF370">
        <v>14</v>
      </c>
    </row>
    <row r="371" spans="1:32" x14ac:dyDescent="0.25">
      <c r="A371" t="s">
        <v>821</v>
      </c>
      <c r="B371">
        <v>369</v>
      </c>
      <c r="C371">
        <v>44</v>
      </c>
      <c r="D371" t="str">
        <f>IF(tbl_Original[[#This Row],[Gender2]]="Female","Female",IF(tbl_Original[[#This Row],[Gender2]]="Male","Male","Other"))</f>
        <v>Female</v>
      </c>
      <c r="E371" t="s">
        <v>29</v>
      </c>
      <c r="F371" t="s">
        <v>44</v>
      </c>
      <c r="G371" t="s">
        <v>69</v>
      </c>
      <c r="H371" t="s">
        <v>45</v>
      </c>
      <c r="I371" t="s">
        <v>30</v>
      </c>
      <c r="J371" t="str">
        <f>PROPER(TRIM(CLEAN(tbl_Original[[#This Row],[Column1]])))</f>
        <v>Buensuseso</v>
      </c>
      <c r="K371" t="s">
        <v>822</v>
      </c>
      <c r="L371" t="s">
        <v>822</v>
      </c>
      <c r="M371" t="s">
        <v>98</v>
      </c>
      <c r="N371" s="1">
        <v>312.93</v>
      </c>
      <c r="O371">
        <v>2</v>
      </c>
      <c r="P371" t="s">
        <v>48</v>
      </c>
      <c r="Q371">
        <v>2</v>
      </c>
      <c r="R371">
        <v>2</v>
      </c>
      <c r="S371">
        <v>1</v>
      </c>
      <c r="T371" t="s">
        <v>44</v>
      </c>
      <c r="U371" t="s">
        <v>85</v>
      </c>
      <c r="V371">
        <v>0</v>
      </c>
      <c r="W371">
        <v>7</v>
      </c>
      <c r="X371" t="s">
        <v>36</v>
      </c>
      <c r="Y371" t="s">
        <v>60</v>
      </c>
      <c r="Z371" t="s">
        <v>51</v>
      </c>
      <c r="AA371" s="2">
        <v>45508</v>
      </c>
      <c r="AB371" t="b">
        <v>1</v>
      </c>
      <c r="AC371" t="b">
        <v>1</v>
      </c>
      <c r="AD371" t="s">
        <v>52</v>
      </c>
      <c r="AE371" t="s">
        <v>41</v>
      </c>
      <c r="AF371">
        <v>3</v>
      </c>
    </row>
    <row r="372" spans="1:32" x14ac:dyDescent="0.25">
      <c r="A372" t="s">
        <v>823</v>
      </c>
      <c r="B372">
        <v>370</v>
      </c>
      <c r="C372">
        <v>38</v>
      </c>
      <c r="D372" t="str">
        <f>IF(tbl_Original[[#This Row],[Gender2]]="Female","Female",IF(tbl_Original[[#This Row],[Gender2]]="Male","Male","Other"))</f>
        <v>Male</v>
      </c>
      <c r="E372" t="s">
        <v>43</v>
      </c>
      <c r="F372" t="s">
        <v>44</v>
      </c>
      <c r="G372" t="s">
        <v>31</v>
      </c>
      <c r="H372" t="s">
        <v>56</v>
      </c>
      <c r="I372" t="s">
        <v>30</v>
      </c>
      <c r="J372" t="str">
        <f>PROPER(TRIM(CLEAN(tbl_Original[[#This Row],[Column1]])))</f>
        <v>Blantyre</v>
      </c>
      <c r="K372" t="s">
        <v>824</v>
      </c>
      <c r="L372" t="s">
        <v>824</v>
      </c>
      <c r="M372" t="s">
        <v>107</v>
      </c>
      <c r="N372" s="1">
        <v>65.680000000000007</v>
      </c>
      <c r="O372">
        <v>4</v>
      </c>
      <c r="P372" t="s">
        <v>48</v>
      </c>
      <c r="Q372">
        <v>4</v>
      </c>
      <c r="R372">
        <v>4</v>
      </c>
      <c r="S372">
        <v>0</v>
      </c>
      <c r="T372" t="s">
        <v>49</v>
      </c>
      <c r="U372" t="s">
        <v>50</v>
      </c>
      <c r="V372">
        <v>0</v>
      </c>
      <c r="W372">
        <v>8</v>
      </c>
      <c r="X372" t="s">
        <v>49</v>
      </c>
      <c r="Y372" t="s">
        <v>60</v>
      </c>
      <c r="Z372" t="s">
        <v>66</v>
      </c>
      <c r="AA372" s="2">
        <v>45419</v>
      </c>
      <c r="AB372" t="b">
        <v>0</v>
      </c>
      <c r="AC372" t="b">
        <v>0</v>
      </c>
      <c r="AD372" t="s">
        <v>62</v>
      </c>
      <c r="AE372" t="s">
        <v>53</v>
      </c>
      <c r="AF372">
        <v>12</v>
      </c>
    </row>
    <row r="373" spans="1:32" x14ac:dyDescent="0.25">
      <c r="A373" t="s">
        <v>825</v>
      </c>
      <c r="B373">
        <v>371</v>
      </c>
      <c r="C373">
        <v>44</v>
      </c>
      <c r="D373" t="str">
        <f>IF(tbl_Original[[#This Row],[Gender2]]="Female","Female",IF(tbl_Original[[#This Row],[Gender2]]="Male","Male","Other"))</f>
        <v>Male</v>
      </c>
      <c r="E373" t="s">
        <v>43</v>
      </c>
      <c r="F373" t="s">
        <v>30</v>
      </c>
      <c r="G373" t="s">
        <v>55</v>
      </c>
      <c r="H373" t="s">
        <v>56</v>
      </c>
      <c r="I373" t="s">
        <v>30</v>
      </c>
      <c r="J373" t="str">
        <f>PROPER(TRIM(CLEAN(tbl_Original[[#This Row],[Column1]])))</f>
        <v>Kozelashchyna</v>
      </c>
      <c r="K373" t="s">
        <v>2190</v>
      </c>
      <c r="L373" t="s">
        <v>826</v>
      </c>
      <c r="M373" t="s">
        <v>120</v>
      </c>
      <c r="N373" s="1">
        <v>61.86</v>
      </c>
      <c r="O373">
        <v>5</v>
      </c>
      <c r="P373" t="s">
        <v>48</v>
      </c>
      <c r="Q373">
        <v>4</v>
      </c>
      <c r="R373">
        <v>5</v>
      </c>
      <c r="S373">
        <v>2</v>
      </c>
      <c r="T373" t="s">
        <v>36</v>
      </c>
      <c r="U373" t="s">
        <v>50</v>
      </c>
      <c r="V373">
        <v>2</v>
      </c>
      <c r="W373">
        <v>8</v>
      </c>
      <c r="X373" t="s">
        <v>36</v>
      </c>
      <c r="Y373" t="s">
        <v>60</v>
      </c>
      <c r="Z373" t="s">
        <v>86</v>
      </c>
      <c r="AA373" s="2">
        <v>45611</v>
      </c>
      <c r="AB373" t="b">
        <v>0</v>
      </c>
      <c r="AC373" t="b">
        <v>1</v>
      </c>
      <c r="AD373" t="s">
        <v>40</v>
      </c>
      <c r="AE373" t="s">
        <v>53</v>
      </c>
      <c r="AF373">
        <v>9</v>
      </c>
    </row>
    <row r="374" spans="1:32" x14ac:dyDescent="0.25">
      <c r="A374" t="s">
        <v>827</v>
      </c>
      <c r="B374">
        <v>372</v>
      </c>
      <c r="C374">
        <v>18</v>
      </c>
      <c r="D374" t="str">
        <f>IF(tbl_Original[[#This Row],[Gender2]]="Female","Female",IF(tbl_Original[[#This Row],[Gender2]]="Male","Male","Other"))</f>
        <v>Female</v>
      </c>
      <c r="E374" t="s">
        <v>29</v>
      </c>
      <c r="F374" t="s">
        <v>44</v>
      </c>
      <c r="G374" t="s">
        <v>55</v>
      </c>
      <c r="H374" t="s">
        <v>56</v>
      </c>
      <c r="I374" t="s">
        <v>30</v>
      </c>
      <c r="J374" t="str">
        <f>PROPER(TRIM(CLEAN(tbl_Original[[#This Row],[Column1]])))</f>
        <v>Cibuah</v>
      </c>
      <c r="K374" t="s">
        <v>828</v>
      </c>
      <c r="L374" t="s">
        <v>828</v>
      </c>
      <c r="M374" t="s">
        <v>117</v>
      </c>
      <c r="N374" s="1">
        <v>343.77</v>
      </c>
      <c r="O374">
        <v>6</v>
      </c>
      <c r="P374" t="s">
        <v>35</v>
      </c>
      <c r="Q374">
        <v>5</v>
      </c>
      <c r="R374">
        <v>4</v>
      </c>
      <c r="S374">
        <v>2</v>
      </c>
      <c r="T374" t="s">
        <v>36</v>
      </c>
      <c r="U374" t="s">
        <v>50</v>
      </c>
      <c r="V374">
        <v>2</v>
      </c>
      <c r="W374">
        <v>4</v>
      </c>
      <c r="X374" t="s">
        <v>49</v>
      </c>
      <c r="Y374" t="s">
        <v>79</v>
      </c>
      <c r="Z374" t="s">
        <v>39</v>
      </c>
      <c r="AA374" s="2">
        <v>45338</v>
      </c>
      <c r="AB374" t="b">
        <v>1</v>
      </c>
      <c r="AC374" t="b">
        <v>0</v>
      </c>
      <c r="AD374" t="s">
        <v>62</v>
      </c>
      <c r="AE374" t="s">
        <v>41</v>
      </c>
      <c r="AF374">
        <v>3</v>
      </c>
    </row>
    <row r="375" spans="1:32" x14ac:dyDescent="0.25">
      <c r="A375" t="s">
        <v>829</v>
      </c>
      <c r="B375">
        <v>373</v>
      </c>
      <c r="C375">
        <v>37</v>
      </c>
      <c r="D375" t="str">
        <f>IF(tbl_Original[[#This Row],[Gender2]]="Female","Female",IF(tbl_Original[[#This Row],[Gender2]]="Male","Male","Other"))</f>
        <v>Male</v>
      </c>
      <c r="E375" t="s">
        <v>43</v>
      </c>
      <c r="F375" t="s">
        <v>30</v>
      </c>
      <c r="G375" t="s">
        <v>76</v>
      </c>
      <c r="H375" t="s">
        <v>56</v>
      </c>
      <c r="I375" t="s">
        <v>44</v>
      </c>
      <c r="J375" t="str">
        <f>PROPER(TRIM(CLEAN(tbl_Original[[#This Row],[Column1]])))</f>
        <v>Cockburn Town</v>
      </c>
      <c r="K375" t="s">
        <v>830</v>
      </c>
      <c r="L375" t="s">
        <v>830</v>
      </c>
      <c r="M375" t="s">
        <v>65</v>
      </c>
      <c r="N375" s="1">
        <v>107.21</v>
      </c>
      <c r="O375">
        <v>2</v>
      </c>
      <c r="P375" t="s">
        <v>78</v>
      </c>
      <c r="Q375">
        <v>4</v>
      </c>
      <c r="R375">
        <v>2</v>
      </c>
      <c r="S375">
        <v>1</v>
      </c>
      <c r="T375" t="s">
        <v>36</v>
      </c>
      <c r="U375" t="s">
        <v>50</v>
      </c>
      <c r="V375">
        <v>2</v>
      </c>
      <c r="W375">
        <v>9</v>
      </c>
      <c r="X375" t="s">
        <v>49</v>
      </c>
      <c r="Y375" t="s">
        <v>79</v>
      </c>
      <c r="Z375" t="s">
        <v>66</v>
      </c>
      <c r="AA375" s="2">
        <v>45509</v>
      </c>
      <c r="AB375" t="b">
        <v>1</v>
      </c>
      <c r="AC375" t="b">
        <v>1</v>
      </c>
      <c r="AD375" t="s">
        <v>74</v>
      </c>
      <c r="AE375" t="s">
        <v>53</v>
      </c>
      <c r="AF375">
        <v>6</v>
      </c>
    </row>
    <row r="376" spans="1:32" x14ac:dyDescent="0.25">
      <c r="A376" t="s">
        <v>831</v>
      </c>
      <c r="B376">
        <v>374</v>
      </c>
      <c r="C376">
        <v>31</v>
      </c>
      <c r="D376" t="str">
        <f>IF(tbl_Original[[#This Row],[Gender2]]="Female","Female",IF(tbl_Original[[#This Row],[Gender2]]="Male","Male","Other"))</f>
        <v>Other</v>
      </c>
      <c r="E376" t="s">
        <v>148</v>
      </c>
      <c r="F376" t="s">
        <v>44</v>
      </c>
      <c r="G376" t="s">
        <v>55</v>
      </c>
      <c r="H376" t="s">
        <v>56</v>
      </c>
      <c r="I376" t="s">
        <v>30</v>
      </c>
      <c r="J376" t="str">
        <f>PROPER(TRIM(CLEAN(tbl_Original[[#This Row],[Column1]])))</f>
        <v>Maslog</v>
      </c>
      <c r="K376" t="s">
        <v>832</v>
      </c>
      <c r="L376" t="s">
        <v>832</v>
      </c>
      <c r="M376" t="s">
        <v>65</v>
      </c>
      <c r="N376" s="1">
        <v>148.97999999999999</v>
      </c>
      <c r="O376">
        <v>12</v>
      </c>
      <c r="P376" t="s">
        <v>78</v>
      </c>
      <c r="Q376">
        <v>5</v>
      </c>
      <c r="R376">
        <v>1</v>
      </c>
      <c r="S376">
        <v>2</v>
      </c>
      <c r="T376" t="s">
        <v>36</v>
      </c>
      <c r="U376" t="s">
        <v>85</v>
      </c>
      <c r="V376">
        <v>0</v>
      </c>
      <c r="W376">
        <v>8</v>
      </c>
      <c r="X376" t="s">
        <v>59</v>
      </c>
      <c r="Y376" t="s">
        <v>38</v>
      </c>
      <c r="Z376" t="s">
        <v>61</v>
      </c>
      <c r="AA376" s="2">
        <v>45515</v>
      </c>
      <c r="AB376" t="b">
        <v>1</v>
      </c>
      <c r="AC376" t="b">
        <v>1</v>
      </c>
      <c r="AD376" t="s">
        <v>52</v>
      </c>
      <c r="AE376" t="s">
        <v>53</v>
      </c>
      <c r="AF376">
        <v>13</v>
      </c>
    </row>
    <row r="377" spans="1:32" x14ac:dyDescent="0.25">
      <c r="A377" t="s">
        <v>833</v>
      </c>
      <c r="B377">
        <v>375</v>
      </c>
      <c r="C377">
        <v>22</v>
      </c>
      <c r="D377" t="str">
        <f>IF(tbl_Original[[#This Row],[Gender2]]="Female","Female",IF(tbl_Original[[#This Row],[Gender2]]="Male","Male","Other"))</f>
        <v>Female</v>
      </c>
      <c r="E377" t="s">
        <v>29</v>
      </c>
      <c r="F377" t="s">
        <v>44</v>
      </c>
      <c r="G377" t="s">
        <v>69</v>
      </c>
      <c r="H377" t="s">
        <v>56</v>
      </c>
      <c r="I377" t="s">
        <v>30</v>
      </c>
      <c r="J377" t="str">
        <f>PROPER(TRIM(CLEAN(tbl_Original[[#This Row],[Column1]])))</f>
        <v>Faqqah</v>
      </c>
      <c r="K377" t="s">
        <v>2191</v>
      </c>
      <c r="L377" t="s">
        <v>834</v>
      </c>
      <c r="M377" t="s">
        <v>104</v>
      </c>
      <c r="N377" s="1">
        <v>490.41</v>
      </c>
      <c r="O377">
        <v>4</v>
      </c>
      <c r="P377" t="s">
        <v>35</v>
      </c>
      <c r="Q377">
        <v>3</v>
      </c>
      <c r="R377">
        <v>4</v>
      </c>
      <c r="S377">
        <v>0</v>
      </c>
      <c r="T377" t="s">
        <v>59</v>
      </c>
      <c r="U377" t="s">
        <v>37</v>
      </c>
      <c r="V377">
        <v>0</v>
      </c>
      <c r="W377">
        <v>2</v>
      </c>
      <c r="X377" t="s">
        <v>44</v>
      </c>
      <c r="Y377" t="s">
        <v>38</v>
      </c>
      <c r="Z377" t="s">
        <v>66</v>
      </c>
      <c r="AA377" s="2">
        <v>45641</v>
      </c>
      <c r="AB377" t="b">
        <v>0</v>
      </c>
      <c r="AC377" t="b">
        <v>1</v>
      </c>
      <c r="AD377" t="s">
        <v>74</v>
      </c>
      <c r="AE377" t="s">
        <v>67</v>
      </c>
      <c r="AF377">
        <v>3</v>
      </c>
    </row>
    <row r="378" spans="1:32" x14ac:dyDescent="0.25">
      <c r="A378" t="s">
        <v>835</v>
      </c>
      <c r="B378">
        <v>376</v>
      </c>
      <c r="C378">
        <v>33</v>
      </c>
      <c r="D378" t="str">
        <f>IF(tbl_Original[[#This Row],[Gender2]]="Female","Female",IF(tbl_Original[[#This Row],[Gender2]]="Male","Male","Other"))</f>
        <v>Male</v>
      </c>
      <c r="E378" t="s">
        <v>43</v>
      </c>
      <c r="F378" t="s">
        <v>44</v>
      </c>
      <c r="G378" t="s">
        <v>31</v>
      </c>
      <c r="H378" t="s">
        <v>45</v>
      </c>
      <c r="I378" t="s">
        <v>30</v>
      </c>
      <c r="J378" t="str">
        <f>PROPER(TRIM(CLEAN(tbl_Original[[#This Row],[Column1]])))</f>
        <v>Yelyzavethradka</v>
      </c>
      <c r="K378" t="s">
        <v>836</v>
      </c>
      <c r="L378" t="s">
        <v>836</v>
      </c>
      <c r="M378" t="s">
        <v>158</v>
      </c>
      <c r="N378" s="1">
        <v>461.34</v>
      </c>
      <c r="O378">
        <v>4</v>
      </c>
      <c r="P378" t="s">
        <v>48</v>
      </c>
      <c r="Q378">
        <v>3</v>
      </c>
      <c r="R378">
        <v>1</v>
      </c>
      <c r="S378">
        <v>0</v>
      </c>
      <c r="T378" t="s">
        <v>44</v>
      </c>
      <c r="U378" t="s">
        <v>37</v>
      </c>
      <c r="V378">
        <v>1</v>
      </c>
      <c r="W378">
        <v>9</v>
      </c>
      <c r="X378" t="s">
        <v>59</v>
      </c>
      <c r="Y378" t="s">
        <v>79</v>
      </c>
      <c r="Z378" t="s">
        <v>86</v>
      </c>
      <c r="AA378" s="2">
        <v>45357</v>
      </c>
      <c r="AB378" t="b">
        <v>0</v>
      </c>
      <c r="AC378" t="b">
        <v>1</v>
      </c>
      <c r="AD378" t="s">
        <v>52</v>
      </c>
      <c r="AE378" t="s">
        <v>67</v>
      </c>
      <c r="AF378">
        <v>7</v>
      </c>
    </row>
    <row r="379" spans="1:32" x14ac:dyDescent="0.25">
      <c r="A379" t="s">
        <v>837</v>
      </c>
      <c r="B379">
        <v>377</v>
      </c>
      <c r="C379">
        <v>20</v>
      </c>
      <c r="D379" t="str">
        <f>IF(tbl_Original[[#This Row],[Gender2]]="Female","Female",IF(tbl_Original[[#This Row],[Gender2]]="Male","Male","Other"))</f>
        <v>Female</v>
      </c>
      <c r="E379" t="s">
        <v>29</v>
      </c>
      <c r="F379" t="s">
        <v>44</v>
      </c>
      <c r="G379" t="s">
        <v>55</v>
      </c>
      <c r="H379" t="s">
        <v>56</v>
      </c>
      <c r="I379" t="s">
        <v>44</v>
      </c>
      <c r="J379" t="str">
        <f>PROPER(TRIM(CLEAN(tbl_Original[[#This Row],[Column1]])))</f>
        <v>Jackson</v>
      </c>
      <c r="K379" t="s">
        <v>838</v>
      </c>
      <c r="L379" t="s">
        <v>838</v>
      </c>
      <c r="M379" t="s">
        <v>58</v>
      </c>
      <c r="N379" s="1">
        <v>338.89</v>
      </c>
      <c r="O379">
        <v>7</v>
      </c>
      <c r="P379" t="s">
        <v>48</v>
      </c>
      <c r="Q379">
        <v>4</v>
      </c>
      <c r="R379">
        <v>2</v>
      </c>
      <c r="S379">
        <v>1</v>
      </c>
      <c r="T379" t="s">
        <v>59</v>
      </c>
      <c r="U379" t="s">
        <v>37</v>
      </c>
      <c r="V379">
        <v>2</v>
      </c>
      <c r="W379">
        <v>6</v>
      </c>
      <c r="X379" t="s">
        <v>36</v>
      </c>
      <c r="Y379" t="s">
        <v>79</v>
      </c>
      <c r="Z379" t="s">
        <v>39</v>
      </c>
      <c r="AA379" s="2">
        <v>45433</v>
      </c>
      <c r="AB379" t="b">
        <v>1</v>
      </c>
      <c r="AC379" t="b">
        <v>1</v>
      </c>
      <c r="AD379" t="s">
        <v>52</v>
      </c>
      <c r="AE379" t="s">
        <v>67</v>
      </c>
      <c r="AF379">
        <v>3</v>
      </c>
    </row>
    <row r="380" spans="1:32" x14ac:dyDescent="0.25">
      <c r="A380" t="s">
        <v>839</v>
      </c>
      <c r="B380">
        <v>378</v>
      </c>
      <c r="C380">
        <v>26</v>
      </c>
      <c r="D380" t="str">
        <f>IF(tbl_Original[[#This Row],[Gender2]]="Female","Female",IF(tbl_Original[[#This Row],[Gender2]]="Male","Male","Other"))</f>
        <v>Male</v>
      </c>
      <c r="E380" t="s">
        <v>43</v>
      </c>
      <c r="F380" t="s">
        <v>44</v>
      </c>
      <c r="G380" t="s">
        <v>31</v>
      </c>
      <c r="H380" t="s">
        <v>45</v>
      </c>
      <c r="I380" t="s">
        <v>44</v>
      </c>
      <c r="J380" t="str">
        <f>PROPER(TRIM(CLEAN(tbl_Original[[#This Row],[Column1]])))</f>
        <v>Itagua</v>
      </c>
      <c r="K380" t="s">
        <v>2192</v>
      </c>
      <c r="L380" t="s">
        <v>840</v>
      </c>
      <c r="M380" t="s">
        <v>34</v>
      </c>
      <c r="N380" s="1">
        <v>222.63</v>
      </c>
      <c r="O380">
        <v>3</v>
      </c>
      <c r="P380" t="s">
        <v>35</v>
      </c>
      <c r="Q380">
        <v>1</v>
      </c>
      <c r="R380">
        <v>1</v>
      </c>
      <c r="S380">
        <v>0</v>
      </c>
      <c r="T380" t="s">
        <v>49</v>
      </c>
      <c r="U380" t="s">
        <v>37</v>
      </c>
      <c r="V380">
        <v>2</v>
      </c>
      <c r="W380">
        <v>2</v>
      </c>
      <c r="X380" t="s">
        <v>36</v>
      </c>
      <c r="Y380" t="s">
        <v>38</v>
      </c>
      <c r="Z380" t="s">
        <v>86</v>
      </c>
      <c r="AA380" s="2">
        <v>45374</v>
      </c>
      <c r="AB380" t="b">
        <v>0</v>
      </c>
      <c r="AC380" t="b">
        <v>1</v>
      </c>
      <c r="AD380" t="s">
        <v>62</v>
      </c>
      <c r="AE380" t="s">
        <v>67</v>
      </c>
      <c r="AF380">
        <v>6</v>
      </c>
    </row>
    <row r="381" spans="1:32" x14ac:dyDescent="0.25">
      <c r="A381" t="s">
        <v>841</v>
      </c>
      <c r="B381">
        <v>379</v>
      </c>
      <c r="C381">
        <v>26</v>
      </c>
      <c r="D381" t="str">
        <f>IF(tbl_Original[[#This Row],[Gender2]]="Female","Female",IF(tbl_Original[[#This Row],[Gender2]]="Male","Male","Other"))</f>
        <v>Male</v>
      </c>
      <c r="E381" t="s">
        <v>43</v>
      </c>
      <c r="F381" t="s">
        <v>44</v>
      </c>
      <c r="G381" t="s">
        <v>31</v>
      </c>
      <c r="H381" t="s">
        <v>45</v>
      </c>
      <c r="I381" t="s">
        <v>44</v>
      </c>
      <c r="J381" t="str">
        <f>PROPER(TRIM(CLEAN(tbl_Original[[#This Row],[Column1]])))</f>
        <v>Fteli</v>
      </c>
      <c r="K381" t="s">
        <v>2193</v>
      </c>
      <c r="L381" t="s">
        <v>842</v>
      </c>
      <c r="M381" t="s">
        <v>126</v>
      </c>
      <c r="N381" s="1">
        <v>71.95</v>
      </c>
      <c r="O381">
        <v>2</v>
      </c>
      <c r="P381" t="s">
        <v>35</v>
      </c>
      <c r="Q381">
        <v>3</v>
      </c>
      <c r="R381">
        <v>5</v>
      </c>
      <c r="S381">
        <v>2</v>
      </c>
      <c r="T381" t="s">
        <v>36</v>
      </c>
      <c r="U381" t="s">
        <v>85</v>
      </c>
      <c r="V381">
        <v>2</v>
      </c>
      <c r="W381">
        <v>10</v>
      </c>
      <c r="X381" t="s">
        <v>36</v>
      </c>
      <c r="Y381" t="s">
        <v>79</v>
      </c>
      <c r="Z381" t="s">
        <v>61</v>
      </c>
      <c r="AA381" s="2">
        <v>45557</v>
      </c>
      <c r="AB381" t="b">
        <v>0</v>
      </c>
      <c r="AC381" t="b">
        <v>1</v>
      </c>
      <c r="AD381" t="s">
        <v>74</v>
      </c>
      <c r="AE381" t="s">
        <v>41</v>
      </c>
      <c r="AF381">
        <v>13</v>
      </c>
    </row>
    <row r="382" spans="1:32" x14ac:dyDescent="0.25">
      <c r="A382" t="s">
        <v>843</v>
      </c>
      <c r="B382">
        <v>380</v>
      </c>
      <c r="C382">
        <v>21</v>
      </c>
      <c r="D382" t="str">
        <f>IF(tbl_Original[[#This Row],[Gender2]]="Female","Female",IF(tbl_Original[[#This Row],[Gender2]]="Male","Male","Other"))</f>
        <v>Male</v>
      </c>
      <c r="E382" t="s">
        <v>43</v>
      </c>
      <c r="F382" t="s">
        <v>44</v>
      </c>
      <c r="G382" t="s">
        <v>76</v>
      </c>
      <c r="H382" t="s">
        <v>45</v>
      </c>
      <c r="I382" t="s">
        <v>30</v>
      </c>
      <c r="J382" t="str">
        <f>PROPER(TRIM(CLEAN(tbl_Original[[#This Row],[Column1]])))</f>
        <v>Kiambu</v>
      </c>
      <c r="K382" t="s">
        <v>844</v>
      </c>
      <c r="L382" t="s">
        <v>844</v>
      </c>
      <c r="M382" t="s">
        <v>120</v>
      </c>
      <c r="N382" s="1">
        <v>264.52</v>
      </c>
      <c r="O382">
        <v>9</v>
      </c>
      <c r="P382" t="s">
        <v>78</v>
      </c>
      <c r="Q382">
        <v>3</v>
      </c>
      <c r="R382">
        <v>3</v>
      </c>
      <c r="S382">
        <v>1</v>
      </c>
      <c r="T382" t="s">
        <v>36</v>
      </c>
      <c r="U382" t="s">
        <v>50</v>
      </c>
      <c r="V382">
        <v>0</v>
      </c>
      <c r="W382">
        <v>10</v>
      </c>
      <c r="X382" t="s">
        <v>36</v>
      </c>
      <c r="Y382" t="s">
        <v>60</v>
      </c>
      <c r="Z382" t="s">
        <v>61</v>
      </c>
      <c r="AA382" s="2">
        <v>45384</v>
      </c>
      <c r="AB382" t="b">
        <v>1</v>
      </c>
      <c r="AC382" t="b">
        <v>1</v>
      </c>
      <c r="AD382" t="s">
        <v>74</v>
      </c>
      <c r="AE382" t="s">
        <v>41</v>
      </c>
      <c r="AF382">
        <v>6</v>
      </c>
    </row>
    <row r="383" spans="1:32" x14ac:dyDescent="0.25">
      <c r="A383" t="s">
        <v>845</v>
      </c>
      <c r="B383">
        <v>381</v>
      </c>
      <c r="C383">
        <v>43</v>
      </c>
      <c r="D383" t="str">
        <f>IF(tbl_Original[[#This Row],[Gender2]]="Female","Female",IF(tbl_Original[[#This Row],[Gender2]]="Male","Male","Other"))</f>
        <v>Male</v>
      </c>
      <c r="E383" t="s">
        <v>43</v>
      </c>
      <c r="F383" t="s">
        <v>44</v>
      </c>
      <c r="G383" t="s">
        <v>76</v>
      </c>
      <c r="H383" t="s">
        <v>45</v>
      </c>
      <c r="I383" t="s">
        <v>44</v>
      </c>
      <c r="J383" t="str">
        <f>PROPER(TRIM(CLEAN(tbl_Original[[#This Row],[Column1]])))</f>
        <v>Xibr-Murriz</v>
      </c>
      <c r="K383" t="s">
        <v>2194</v>
      </c>
      <c r="L383" t="s">
        <v>846</v>
      </c>
      <c r="M383" t="s">
        <v>47</v>
      </c>
      <c r="N383" s="1">
        <v>414.8</v>
      </c>
      <c r="O383">
        <v>9</v>
      </c>
      <c r="P383" t="s">
        <v>35</v>
      </c>
      <c r="Q383">
        <v>2</v>
      </c>
      <c r="R383">
        <v>3</v>
      </c>
      <c r="S383">
        <v>2</v>
      </c>
      <c r="T383" t="s">
        <v>59</v>
      </c>
      <c r="U383" t="s">
        <v>85</v>
      </c>
      <c r="V383">
        <v>2</v>
      </c>
      <c r="W383">
        <v>9</v>
      </c>
      <c r="X383" t="s">
        <v>36</v>
      </c>
      <c r="Y383" t="s">
        <v>79</v>
      </c>
      <c r="Z383" t="s">
        <v>51</v>
      </c>
      <c r="AA383" s="2">
        <v>45321</v>
      </c>
      <c r="AB383" t="b">
        <v>0</v>
      </c>
      <c r="AC383" t="b">
        <v>1</v>
      </c>
      <c r="AD383" t="s">
        <v>74</v>
      </c>
      <c r="AE383" t="s">
        <v>41</v>
      </c>
      <c r="AF383">
        <v>7</v>
      </c>
    </row>
    <row r="384" spans="1:32" x14ac:dyDescent="0.25">
      <c r="A384" t="s">
        <v>847</v>
      </c>
      <c r="B384">
        <v>382</v>
      </c>
      <c r="C384">
        <v>50</v>
      </c>
      <c r="D384" t="str">
        <f>IF(tbl_Original[[#This Row],[Gender2]]="Female","Female",IF(tbl_Original[[#This Row],[Gender2]]="Male","Male","Other"))</f>
        <v>Male</v>
      </c>
      <c r="E384" t="s">
        <v>43</v>
      </c>
      <c r="F384" t="s">
        <v>30</v>
      </c>
      <c r="G384" t="s">
        <v>55</v>
      </c>
      <c r="H384" t="s">
        <v>32</v>
      </c>
      <c r="I384" t="s">
        <v>44</v>
      </c>
      <c r="J384" t="str">
        <f>PROPER(TRIM(CLEAN(tbl_Original[[#This Row],[Column1]])))</f>
        <v>Xudat</v>
      </c>
      <c r="K384" t="s">
        <v>848</v>
      </c>
      <c r="L384" t="s">
        <v>848</v>
      </c>
      <c r="M384" t="s">
        <v>158</v>
      </c>
      <c r="N384" s="1">
        <v>50.79</v>
      </c>
      <c r="O384">
        <v>12</v>
      </c>
      <c r="P384" t="s">
        <v>35</v>
      </c>
      <c r="Q384">
        <v>5</v>
      </c>
      <c r="R384">
        <v>1</v>
      </c>
      <c r="S384">
        <v>0</v>
      </c>
      <c r="T384" t="s">
        <v>49</v>
      </c>
      <c r="U384" t="s">
        <v>37</v>
      </c>
      <c r="V384">
        <v>0</v>
      </c>
      <c r="W384">
        <v>2</v>
      </c>
      <c r="X384" t="s">
        <v>49</v>
      </c>
      <c r="Y384" t="s">
        <v>79</v>
      </c>
      <c r="Z384" t="s">
        <v>66</v>
      </c>
      <c r="AA384" s="2">
        <v>45440</v>
      </c>
      <c r="AB384" t="b">
        <v>1</v>
      </c>
      <c r="AC384" t="b">
        <v>0</v>
      </c>
      <c r="AD384" t="s">
        <v>74</v>
      </c>
      <c r="AE384" t="s">
        <v>53</v>
      </c>
      <c r="AF384">
        <v>3</v>
      </c>
    </row>
    <row r="385" spans="1:32" x14ac:dyDescent="0.25">
      <c r="A385" t="s">
        <v>849</v>
      </c>
      <c r="B385">
        <v>383</v>
      </c>
      <c r="C385">
        <v>42</v>
      </c>
      <c r="D385" t="str">
        <f>IF(tbl_Original[[#This Row],[Gender2]]="Female","Female",IF(tbl_Original[[#This Row],[Gender2]]="Male","Male","Other"))</f>
        <v>Female</v>
      </c>
      <c r="E385" t="s">
        <v>29</v>
      </c>
      <c r="F385" t="s">
        <v>30</v>
      </c>
      <c r="G385" t="s">
        <v>31</v>
      </c>
      <c r="H385" t="s">
        <v>45</v>
      </c>
      <c r="I385" t="s">
        <v>30</v>
      </c>
      <c r="J385" t="str">
        <f>PROPER(TRIM(CLEAN(tbl_Original[[#This Row],[Column1]])))</f>
        <v>Yaodu</v>
      </c>
      <c r="K385" t="s">
        <v>850</v>
      </c>
      <c r="L385" t="s">
        <v>850</v>
      </c>
      <c r="M385" t="s">
        <v>107</v>
      </c>
      <c r="N385" s="1">
        <v>264.3</v>
      </c>
      <c r="O385">
        <v>10</v>
      </c>
      <c r="P385" t="s">
        <v>48</v>
      </c>
      <c r="Q385">
        <v>5</v>
      </c>
      <c r="R385">
        <v>4</v>
      </c>
      <c r="S385">
        <v>1</v>
      </c>
      <c r="T385" t="s">
        <v>59</v>
      </c>
      <c r="U385" t="s">
        <v>50</v>
      </c>
      <c r="V385">
        <v>2</v>
      </c>
      <c r="W385">
        <v>2</v>
      </c>
      <c r="X385" t="s">
        <v>44</v>
      </c>
      <c r="Y385" t="s">
        <v>60</v>
      </c>
      <c r="Z385" t="s">
        <v>51</v>
      </c>
      <c r="AA385" s="2">
        <v>45524</v>
      </c>
      <c r="AB385" t="b">
        <v>1</v>
      </c>
      <c r="AC385" t="b">
        <v>1</v>
      </c>
      <c r="AD385" t="s">
        <v>74</v>
      </c>
      <c r="AE385" t="s">
        <v>41</v>
      </c>
      <c r="AF385">
        <v>5</v>
      </c>
    </row>
    <row r="386" spans="1:32" x14ac:dyDescent="0.25">
      <c r="A386" t="s">
        <v>851</v>
      </c>
      <c r="B386">
        <v>384</v>
      </c>
      <c r="C386">
        <v>29</v>
      </c>
      <c r="D386" t="str">
        <f>IF(tbl_Original[[#This Row],[Gender2]]="Female","Female",IF(tbl_Original[[#This Row],[Gender2]]="Male","Male","Other"))</f>
        <v>Male</v>
      </c>
      <c r="E386" t="s">
        <v>43</v>
      </c>
      <c r="F386" t="s">
        <v>44</v>
      </c>
      <c r="G386" t="s">
        <v>31</v>
      </c>
      <c r="H386" t="s">
        <v>32</v>
      </c>
      <c r="I386" t="s">
        <v>30</v>
      </c>
      <c r="J386" t="str">
        <f>PROPER(TRIM(CLEAN(tbl_Original[[#This Row],[Column1]])))</f>
        <v>Saint-Gratien</v>
      </c>
      <c r="K386" t="s">
        <v>852</v>
      </c>
      <c r="L386" t="s">
        <v>852</v>
      </c>
      <c r="M386" t="s">
        <v>101</v>
      </c>
      <c r="N386" s="1">
        <v>122.46</v>
      </c>
      <c r="O386">
        <v>12</v>
      </c>
      <c r="P386" t="s">
        <v>35</v>
      </c>
      <c r="Q386">
        <v>2</v>
      </c>
      <c r="R386">
        <v>3</v>
      </c>
      <c r="S386">
        <v>0</v>
      </c>
      <c r="T386" t="s">
        <v>44</v>
      </c>
      <c r="U386" t="s">
        <v>50</v>
      </c>
      <c r="V386">
        <v>0</v>
      </c>
      <c r="W386">
        <v>3</v>
      </c>
      <c r="X386" t="s">
        <v>59</v>
      </c>
      <c r="Y386" t="s">
        <v>38</v>
      </c>
      <c r="Z386" t="s">
        <v>39</v>
      </c>
      <c r="AA386" s="2">
        <v>45337</v>
      </c>
      <c r="AB386" t="b">
        <v>0</v>
      </c>
      <c r="AC386" t="b">
        <v>1</v>
      </c>
      <c r="AD386" t="s">
        <v>52</v>
      </c>
      <c r="AE386" t="s">
        <v>53</v>
      </c>
      <c r="AF386">
        <v>6</v>
      </c>
    </row>
    <row r="387" spans="1:32" x14ac:dyDescent="0.25">
      <c r="A387" t="s">
        <v>853</v>
      </c>
      <c r="B387">
        <v>385</v>
      </c>
      <c r="C387">
        <v>20</v>
      </c>
      <c r="D387" t="str">
        <f>IF(tbl_Original[[#This Row],[Gender2]]="Female","Female",IF(tbl_Original[[#This Row],[Gender2]]="Male","Male","Other"))</f>
        <v>Male</v>
      </c>
      <c r="E387" t="s">
        <v>43</v>
      </c>
      <c r="F387" t="s">
        <v>30</v>
      </c>
      <c r="G387" t="s">
        <v>69</v>
      </c>
      <c r="H387" t="s">
        <v>45</v>
      </c>
      <c r="I387" t="s">
        <v>30</v>
      </c>
      <c r="J387" t="str">
        <f>PROPER(TRIM(CLEAN(tbl_Original[[#This Row],[Column1]])))</f>
        <v>Totora</v>
      </c>
      <c r="K387" t="s">
        <v>854</v>
      </c>
      <c r="L387" t="s">
        <v>854</v>
      </c>
      <c r="M387" t="s">
        <v>120</v>
      </c>
      <c r="N387" s="1">
        <v>238.01</v>
      </c>
      <c r="O387">
        <v>8</v>
      </c>
      <c r="P387" t="s">
        <v>48</v>
      </c>
      <c r="Q387">
        <v>2</v>
      </c>
      <c r="R387">
        <v>2</v>
      </c>
      <c r="S387">
        <v>0</v>
      </c>
      <c r="T387" t="s">
        <v>44</v>
      </c>
      <c r="U387" t="s">
        <v>37</v>
      </c>
      <c r="V387">
        <v>0</v>
      </c>
      <c r="W387">
        <v>9</v>
      </c>
      <c r="X387" t="s">
        <v>59</v>
      </c>
      <c r="Y387" t="s">
        <v>79</v>
      </c>
      <c r="Z387" t="s">
        <v>86</v>
      </c>
      <c r="AA387" s="2">
        <v>45486</v>
      </c>
      <c r="AB387" t="b">
        <v>0</v>
      </c>
      <c r="AC387" t="b">
        <v>1</v>
      </c>
      <c r="AD387" t="s">
        <v>40</v>
      </c>
      <c r="AE387" t="s">
        <v>53</v>
      </c>
      <c r="AF387">
        <v>5</v>
      </c>
    </row>
    <row r="388" spans="1:32" x14ac:dyDescent="0.25">
      <c r="A388" t="s">
        <v>855</v>
      </c>
      <c r="B388">
        <v>386</v>
      </c>
      <c r="C388">
        <v>40</v>
      </c>
      <c r="D388" t="str">
        <f>IF(tbl_Original[[#This Row],[Gender2]]="Female","Female",IF(tbl_Original[[#This Row],[Gender2]]="Male","Male","Other"))</f>
        <v>Other</v>
      </c>
      <c r="E388" t="s">
        <v>190</v>
      </c>
      <c r="F388" t="s">
        <v>44</v>
      </c>
      <c r="G388" t="s">
        <v>31</v>
      </c>
      <c r="H388" t="s">
        <v>56</v>
      </c>
      <c r="I388" t="s">
        <v>30</v>
      </c>
      <c r="J388" t="str">
        <f>PROPER(TRIM(CLEAN(tbl_Original[[#This Row],[Column1]])))</f>
        <v>Gteborg</v>
      </c>
      <c r="K388" t="s">
        <v>2195</v>
      </c>
      <c r="L388" t="s">
        <v>856</v>
      </c>
      <c r="M388" t="s">
        <v>65</v>
      </c>
      <c r="N388" s="1">
        <v>490.34</v>
      </c>
      <c r="O388">
        <v>4</v>
      </c>
      <c r="P388" t="s">
        <v>48</v>
      </c>
      <c r="Q388">
        <v>5</v>
      </c>
      <c r="R388">
        <v>2</v>
      </c>
      <c r="S388">
        <v>2</v>
      </c>
      <c r="T388" t="s">
        <v>36</v>
      </c>
      <c r="U388" t="s">
        <v>50</v>
      </c>
      <c r="V388">
        <v>2</v>
      </c>
      <c r="W388">
        <v>7</v>
      </c>
      <c r="X388" t="s">
        <v>44</v>
      </c>
      <c r="Y388" t="s">
        <v>38</v>
      </c>
      <c r="Z388" t="s">
        <v>66</v>
      </c>
      <c r="AA388" s="2">
        <v>45399</v>
      </c>
      <c r="AB388" t="b">
        <v>0</v>
      </c>
      <c r="AC388" t="b">
        <v>1</v>
      </c>
      <c r="AD388" t="s">
        <v>40</v>
      </c>
      <c r="AE388" t="s">
        <v>41</v>
      </c>
      <c r="AF388">
        <v>2</v>
      </c>
    </row>
    <row r="389" spans="1:32" x14ac:dyDescent="0.25">
      <c r="A389" t="s">
        <v>857</v>
      </c>
      <c r="B389">
        <v>387</v>
      </c>
      <c r="C389">
        <v>38</v>
      </c>
      <c r="D389" t="str">
        <f>IF(tbl_Original[[#This Row],[Gender2]]="Female","Female",IF(tbl_Original[[#This Row],[Gender2]]="Male","Male","Other"))</f>
        <v>Male</v>
      </c>
      <c r="E389" t="s">
        <v>43</v>
      </c>
      <c r="F389" t="s">
        <v>44</v>
      </c>
      <c r="G389" t="s">
        <v>76</v>
      </c>
      <c r="H389" t="s">
        <v>32</v>
      </c>
      <c r="I389" t="s">
        <v>30</v>
      </c>
      <c r="J389" t="str">
        <f>PROPER(TRIM(CLEAN(tbl_Original[[#This Row],[Column1]])))</f>
        <v>Slav</v>
      </c>
      <c r="K389" t="s">
        <v>2284</v>
      </c>
      <c r="L389" t="s">
        <v>858</v>
      </c>
      <c r="M389" t="s">
        <v>246</v>
      </c>
      <c r="N389" s="1">
        <v>245.98</v>
      </c>
      <c r="O389">
        <v>4</v>
      </c>
      <c r="P389" t="s">
        <v>35</v>
      </c>
      <c r="Q389">
        <v>5</v>
      </c>
      <c r="R389">
        <v>1</v>
      </c>
      <c r="S389">
        <v>1</v>
      </c>
      <c r="T389" t="s">
        <v>44</v>
      </c>
      <c r="U389" t="s">
        <v>50</v>
      </c>
      <c r="V389">
        <v>0</v>
      </c>
      <c r="W389">
        <v>1</v>
      </c>
      <c r="X389" t="s">
        <v>49</v>
      </c>
      <c r="Y389" t="s">
        <v>79</v>
      </c>
      <c r="Z389" t="s">
        <v>51</v>
      </c>
      <c r="AA389" s="2">
        <v>45625</v>
      </c>
      <c r="AB389" t="b">
        <v>0</v>
      </c>
      <c r="AC389" t="b">
        <v>0</v>
      </c>
      <c r="AD389" t="s">
        <v>74</v>
      </c>
      <c r="AE389" t="s">
        <v>53</v>
      </c>
      <c r="AF389">
        <v>10</v>
      </c>
    </row>
    <row r="390" spans="1:32" x14ac:dyDescent="0.25">
      <c r="A390" t="s">
        <v>859</v>
      </c>
      <c r="B390">
        <v>388</v>
      </c>
      <c r="C390">
        <v>45</v>
      </c>
      <c r="D390" t="str">
        <f>IF(tbl_Original[[#This Row],[Gender2]]="Female","Female",IF(tbl_Original[[#This Row],[Gender2]]="Male","Male","Other"))</f>
        <v>Other</v>
      </c>
      <c r="E390" t="s">
        <v>212</v>
      </c>
      <c r="F390" t="s">
        <v>30</v>
      </c>
      <c r="G390" t="s">
        <v>69</v>
      </c>
      <c r="H390" t="s">
        <v>45</v>
      </c>
      <c r="I390" t="s">
        <v>44</v>
      </c>
      <c r="J390" t="str">
        <f>PROPER(TRIM(CLEAN(tbl_Original[[#This Row],[Column1]])))</f>
        <v>Rudnogorsk</v>
      </c>
      <c r="K390" t="s">
        <v>860</v>
      </c>
      <c r="L390" t="s">
        <v>860</v>
      </c>
      <c r="M390" t="s">
        <v>107</v>
      </c>
      <c r="N390" s="1">
        <v>390.83</v>
      </c>
      <c r="O390">
        <v>9</v>
      </c>
      <c r="P390" t="s">
        <v>78</v>
      </c>
      <c r="Q390">
        <v>5</v>
      </c>
      <c r="R390">
        <v>5</v>
      </c>
      <c r="S390">
        <v>0</v>
      </c>
      <c r="T390" t="s">
        <v>49</v>
      </c>
      <c r="U390" t="s">
        <v>37</v>
      </c>
      <c r="V390">
        <v>0</v>
      </c>
      <c r="W390">
        <v>5</v>
      </c>
      <c r="X390" t="s">
        <v>44</v>
      </c>
      <c r="Y390" t="s">
        <v>79</v>
      </c>
      <c r="Z390" t="s">
        <v>86</v>
      </c>
      <c r="AA390" s="2">
        <v>45593</v>
      </c>
      <c r="AB390" t="b">
        <v>0</v>
      </c>
      <c r="AC390" t="b">
        <v>1</v>
      </c>
      <c r="AD390" t="s">
        <v>62</v>
      </c>
      <c r="AE390" t="s">
        <v>41</v>
      </c>
      <c r="AF390">
        <v>8</v>
      </c>
    </row>
    <row r="391" spans="1:32" x14ac:dyDescent="0.25">
      <c r="A391" t="s">
        <v>861</v>
      </c>
      <c r="B391">
        <v>389</v>
      </c>
      <c r="C391">
        <v>49</v>
      </c>
      <c r="D391" t="str">
        <f>IF(tbl_Original[[#This Row],[Gender2]]="Female","Female",IF(tbl_Original[[#This Row],[Gender2]]="Male","Male","Other"))</f>
        <v>Male</v>
      </c>
      <c r="E391" t="s">
        <v>43</v>
      </c>
      <c r="F391" t="s">
        <v>44</v>
      </c>
      <c r="G391" t="s">
        <v>69</v>
      </c>
      <c r="H391" t="s">
        <v>45</v>
      </c>
      <c r="I391" t="s">
        <v>30</v>
      </c>
      <c r="J391" t="str">
        <f>PROPER(TRIM(CLEAN(tbl_Original[[#This Row],[Column1]])))</f>
        <v>Pindiga</v>
      </c>
      <c r="K391" t="s">
        <v>862</v>
      </c>
      <c r="L391" t="s">
        <v>862</v>
      </c>
      <c r="M391" t="s">
        <v>246</v>
      </c>
      <c r="N391" s="1">
        <v>158.84</v>
      </c>
      <c r="O391">
        <v>6</v>
      </c>
      <c r="P391" t="s">
        <v>78</v>
      </c>
      <c r="Q391">
        <v>2</v>
      </c>
      <c r="R391">
        <v>1</v>
      </c>
      <c r="S391">
        <v>1</v>
      </c>
      <c r="T391" t="s">
        <v>36</v>
      </c>
      <c r="U391" t="s">
        <v>50</v>
      </c>
      <c r="V391">
        <v>1</v>
      </c>
      <c r="W391">
        <v>8</v>
      </c>
      <c r="X391" t="s">
        <v>59</v>
      </c>
      <c r="Y391" t="s">
        <v>79</v>
      </c>
      <c r="Z391" t="s">
        <v>86</v>
      </c>
      <c r="AA391" s="2">
        <v>45485</v>
      </c>
      <c r="AB391" t="b">
        <v>1</v>
      </c>
      <c r="AC391" t="b">
        <v>1</v>
      </c>
      <c r="AD391" t="s">
        <v>40</v>
      </c>
      <c r="AE391" t="s">
        <v>67</v>
      </c>
      <c r="AF391">
        <v>5</v>
      </c>
    </row>
    <row r="392" spans="1:32" x14ac:dyDescent="0.25">
      <c r="A392" t="s">
        <v>863</v>
      </c>
      <c r="B392">
        <v>390</v>
      </c>
      <c r="C392">
        <v>37</v>
      </c>
      <c r="D392" t="str">
        <f>IF(tbl_Original[[#This Row],[Gender2]]="Female","Female",IF(tbl_Original[[#This Row],[Gender2]]="Male","Male","Other"))</f>
        <v>Male</v>
      </c>
      <c r="E392" t="s">
        <v>43</v>
      </c>
      <c r="F392" t="s">
        <v>30</v>
      </c>
      <c r="G392" t="s">
        <v>55</v>
      </c>
      <c r="H392" t="s">
        <v>45</v>
      </c>
      <c r="I392" t="s">
        <v>30</v>
      </c>
      <c r="J392" t="str">
        <f>PROPER(TRIM(CLEAN(tbl_Original[[#This Row],[Column1]])))</f>
        <v>Adela</v>
      </c>
      <c r="K392" t="s">
        <v>864</v>
      </c>
      <c r="L392" t="s">
        <v>864</v>
      </c>
      <c r="M392" t="s">
        <v>123</v>
      </c>
      <c r="N392" s="1">
        <v>439.24</v>
      </c>
      <c r="O392">
        <v>8</v>
      </c>
      <c r="P392" t="s">
        <v>35</v>
      </c>
      <c r="Q392">
        <v>3</v>
      </c>
      <c r="R392">
        <v>3</v>
      </c>
      <c r="S392">
        <v>1</v>
      </c>
      <c r="T392" t="s">
        <v>44</v>
      </c>
      <c r="U392" t="s">
        <v>37</v>
      </c>
      <c r="V392">
        <v>2</v>
      </c>
      <c r="W392">
        <v>9</v>
      </c>
      <c r="X392" t="s">
        <v>49</v>
      </c>
      <c r="Y392" t="s">
        <v>38</v>
      </c>
      <c r="Z392" t="s">
        <v>66</v>
      </c>
      <c r="AA392" s="2">
        <v>45499</v>
      </c>
      <c r="AB392" t="b">
        <v>0</v>
      </c>
      <c r="AC392" t="b">
        <v>0</v>
      </c>
      <c r="AD392" t="s">
        <v>52</v>
      </c>
      <c r="AE392" t="s">
        <v>53</v>
      </c>
      <c r="AF392">
        <v>10</v>
      </c>
    </row>
    <row r="393" spans="1:32" x14ac:dyDescent="0.25">
      <c r="A393" t="s">
        <v>865</v>
      </c>
      <c r="B393">
        <v>391</v>
      </c>
      <c r="C393">
        <v>23</v>
      </c>
      <c r="D393" t="str">
        <f>IF(tbl_Original[[#This Row],[Gender2]]="Female","Female",IF(tbl_Original[[#This Row],[Gender2]]="Male","Male","Other"))</f>
        <v>Other</v>
      </c>
      <c r="E393" t="s">
        <v>212</v>
      </c>
      <c r="F393" t="s">
        <v>30</v>
      </c>
      <c r="G393" t="s">
        <v>69</v>
      </c>
      <c r="H393" t="s">
        <v>56</v>
      </c>
      <c r="I393" t="s">
        <v>44</v>
      </c>
      <c r="J393" t="str">
        <f>PROPER(TRIM(CLEAN(tbl_Original[[#This Row],[Column1]])))</f>
        <v>Krajan Baru</v>
      </c>
      <c r="K393" t="s">
        <v>866</v>
      </c>
      <c r="L393" t="s">
        <v>866</v>
      </c>
      <c r="M393" t="s">
        <v>126</v>
      </c>
      <c r="N393" s="1">
        <v>92.43</v>
      </c>
      <c r="O393">
        <v>12</v>
      </c>
      <c r="P393" t="s">
        <v>35</v>
      </c>
      <c r="Q393">
        <v>4</v>
      </c>
      <c r="R393">
        <v>1</v>
      </c>
      <c r="S393">
        <v>0</v>
      </c>
      <c r="T393" t="s">
        <v>49</v>
      </c>
      <c r="U393" t="s">
        <v>37</v>
      </c>
      <c r="V393">
        <v>2</v>
      </c>
      <c r="W393">
        <v>9</v>
      </c>
      <c r="X393" t="s">
        <v>36</v>
      </c>
      <c r="Y393" t="s">
        <v>60</v>
      </c>
      <c r="Z393" t="s">
        <v>66</v>
      </c>
      <c r="AA393" s="2">
        <v>45631</v>
      </c>
      <c r="AB393" t="b">
        <v>0</v>
      </c>
      <c r="AC393" t="b">
        <v>1</v>
      </c>
      <c r="AD393" t="s">
        <v>40</v>
      </c>
      <c r="AE393" t="s">
        <v>53</v>
      </c>
      <c r="AF393">
        <v>6</v>
      </c>
    </row>
    <row r="394" spans="1:32" x14ac:dyDescent="0.25">
      <c r="A394" t="s">
        <v>867</v>
      </c>
      <c r="B394">
        <v>392</v>
      </c>
      <c r="C394">
        <v>48</v>
      </c>
      <c r="D394" t="str">
        <f>IF(tbl_Original[[#This Row],[Gender2]]="Female","Female",IF(tbl_Original[[#This Row],[Gender2]]="Male","Male","Other"))</f>
        <v>Female</v>
      </c>
      <c r="E394" t="s">
        <v>29</v>
      </c>
      <c r="F394" t="s">
        <v>44</v>
      </c>
      <c r="G394" t="s">
        <v>31</v>
      </c>
      <c r="H394" t="s">
        <v>56</v>
      </c>
      <c r="I394" t="s">
        <v>30</v>
      </c>
      <c r="J394" t="str">
        <f>PROPER(TRIM(CLEAN(tbl_Original[[#This Row],[Column1]])))</f>
        <v>Jinqiao</v>
      </c>
      <c r="K394" t="s">
        <v>868</v>
      </c>
      <c r="L394" t="s">
        <v>868</v>
      </c>
      <c r="M394" t="s">
        <v>183</v>
      </c>
      <c r="N394" s="1">
        <v>333.15</v>
      </c>
      <c r="O394">
        <v>9</v>
      </c>
      <c r="P394" t="s">
        <v>35</v>
      </c>
      <c r="Q394">
        <v>1</v>
      </c>
      <c r="R394">
        <v>5</v>
      </c>
      <c r="S394">
        <v>1</v>
      </c>
      <c r="T394" t="s">
        <v>44</v>
      </c>
      <c r="U394" t="s">
        <v>85</v>
      </c>
      <c r="V394">
        <v>1</v>
      </c>
      <c r="W394">
        <v>8</v>
      </c>
      <c r="X394" t="s">
        <v>44</v>
      </c>
      <c r="Y394" t="s">
        <v>60</v>
      </c>
      <c r="Z394" t="s">
        <v>66</v>
      </c>
      <c r="AA394" s="2">
        <v>45516</v>
      </c>
      <c r="AB394" t="b">
        <v>0</v>
      </c>
      <c r="AC394" t="b">
        <v>0</v>
      </c>
      <c r="AD394" t="s">
        <v>62</v>
      </c>
      <c r="AE394" t="s">
        <v>53</v>
      </c>
      <c r="AF394">
        <v>14</v>
      </c>
    </row>
    <row r="395" spans="1:32" x14ac:dyDescent="0.25">
      <c r="A395" t="s">
        <v>869</v>
      </c>
      <c r="B395">
        <v>393</v>
      </c>
      <c r="C395">
        <v>19</v>
      </c>
      <c r="D395" t="str">
        <f>IF(tbl_Original[[#This Row],[Gender2]]="Female","Female",IF(tbl_Original[[#This Row],[Gender2]]="Male","Male","Other"))</f>
        <v>Male</v>
      </c>
      <c r="E395" t="s">
        <v>43</v>
      </c>
      <c r="F395" t="s">
        <v>30</v>
      </c>
      <c r="G395" t="s">
        <v>76</v>
      </c>
      <c r="H395" t="s">
        <v>56</v>
      </c>
      <c r="I395" t="s">
        <v>30</v>
      </c>
      <c r="J395" t="str">
        <f>PROPER(TRIM(CLEAN(tbl_Original[[#This Row],[Column1]])))</f>
        <v>Barge Mat</v>
      </c>
      <c r="K395" t="s">
        <v>2141</v>
      </c>
      <c r="L395" t="s">
        <v>870</v>
      </c>
      <c r="M395" t="s">
        <v>98</v>
      </c>
      <c r="N395" s="1">
        <v>64.22</v>
      </c>
      <c r="O395">
        <v>9</v>
      </c>
      <c r="P395" t="s">
        <v>78</v>
      </c>
      <c r="Q395">
        <v>1</v>
      </c>
      <c r="R395">
        <v>1</v>
      </c>
      <c r="S395">
        <v>2</v>
      </c>
      <c r="T395" t="s">
        <v>44</v>
      </c>
      <c r="U395" t="s">
        <v>37</v>
      </c>
      <c r="V395">
        <v>1</v>
      </c>
      <c r="W395">
        <v>9</v>
      </c>
      <c r="X395" t="s">
        <v>49</v>
      </c>
      <c r="Y395" t="s">
        <v>60</v>
      </c>
      <c r="Z395" t="s">
        <v>51</v>
      </c>
      <c r="AA395" s="2">
        <v>45293</v>
      </c>
      <c r="AB395" t="b">
        <v>1</v>
      </c>
      <c r="AC395" t="b">
        <v>0</v>
      </c>
      <c r="AD395" t="s">
        <v>62</v>
      </c>
      <c r="AE395" t="s">
        <v>41</v>
      </c>
      <c r="AF395">
        <v>10</v>
      </c>
    </row>
    <row r="396" spans="1:32" x14ac:dyDescent="0.25">
      <c r="A396" t="s">
        <v>871</v>
      </c>
      <c r="B396">
        <v>394</v>
      </c>
      <c r="C396">
        <v>46</v>
      </c>
      <c r="D396" t="str">
        <f>IF(tbl_Original[[#This Row],[Gender2]]="Female","Female",IF(tbl_Original[[#This Row],[Gender2]]="Male","Male","Other"))</f>
        <v>Female</v>
      </c>
      <c r="E396" t="s">
        <v>29</v>
      </c>
      <c r="F396" t="s">
        <v>44</v>
      </c>
      <c r="G396" t="s">
        <v>55</v>
      </c>
      <c r="H396" t="s">
        <v>45</v>
      </c>
      <c r="I396" t="s">
        <v>44</v>
      </c>
      <c r="J396" t="str">
        <f>PROPER(TRIM(CLEAN(tbl_Original[[#This Row],[Column1]])))</f>
        <v>Argenteuil</v>
      </c>
      <c r="K396" t="s">
        <v>872</v>
      </c>
      <c r="L396" t="s">
        <v>872</v>
      </c>
      <c r="M396" t="s">
        <v>65</v>
      </c>
      <c r="N396" s="1">
        <v>290.52999999999997</v>
      </c>
      <c r="O396">
        <v>3</v>
      </c>
      <c r="P396" t="s">
        <v>78</v>
      </c>
      <c r="Q396">
        <v>3</v>
      </c>
      <c r="R396">
        <v>2</v>
      </c>
      <c r="S396">
        <v>1</v>
      </c>
      <c r="T396" t="s">
        <v>59</v>
      </c>
      <c r="U396" t="s">
        <v>85</v>
      </c>
      <c r="V396">
        <v>0</v>
      </c>
      <c r="W396">
        <v>6</v>
      </c>
      <c r="X396" t="s">
        <v>44</v>
      </c>
      <c r="Y396" t="s">
        <v>79</v>
      </c>
      <c r="Z396" t="s">
        <v>61</v>
      </c>
      <c r="AA396" s="2">
        <v>45600</v>
      </c>
      <c r="AB396" t="b">
        <v>1</v>
      </c>
      <c r="AC396" t="b">
        <v>0</v>
      </c>
      <c r="AD396" t="s">
        <v>74</v>
      </c>
      <c r="AE396" t="s">
        <v>41</v>
      </c>
      <c r="AF396">
        <v>10</v>
      </c>
    </row>
    <row r="397" spans="1:32" x14ac:dyDescent="0.25">
      <c r="A397" t="s">
        <v>873</v>
      </c>
      <c r="B397">
        <v>395</v>
      </c>
      <c r="C397">
        <v>39</v>
      </c>
      <c r="D397" t="str">
        <f>IF(tbl_Original[[#This Row],[Gender2]]="Female","Female",IF(tbl_Original[[#This Row],[Gender2]]="Male","Male","Other"))</f>
        <v>Male</v>
      </c>
      <c r="E397" t="s">
        <v>43</v>
      </c>
      <c r="F397" t="s">
        <v>30</v>
      </c>
      <c r="G397" t="s">
        <v>76</v>
      </c>
      <c r="H397" t="s">
        <v>32</v>
      </c>
      <c r="I397" t="s">
        <v>44</v>
      </c>
      <c r="J397" t="str">
        <f>PROPER(TRIM(CLEAN(tbl_Original[[#This Row],[Column1]])))</f>
        <v>Daying</v>
      </c>
      <c r="K397" t="s">
        <v>874</v>
      </c>
      <c r="L397" t="s">
        <v>874</v>
      </c>
      <c r="M397" t="s">
        <v>123</v>
      </c>
      <c r="N397" s="1">
        <v>251.8</v>
      </c>
      <c r="O397">
        <v>6</v>
      </c>
      <c r="P397" t="s">
        <v>35</v>
      </c>
      <c r="Q397">
        <v>5</v>
      </c>
      <c r="R397">
        <v>1</v>
      </c>
      <c r="S397">
        <v>2</v>
      </c>
      <c r="T397" t="s">
        <v>44</v>
      </c>
      <c r="U397" t="s">
        <v>85</v>
      </c>
      <c r="V397">
        <v>1</v>
      </c>
      <c r="W397">
        <v>8</v>
      </c>
      <c r="X397" t="s">
        <v>59</v>
      </c>
      <c r="Y397" t="s">
        <v>60</v>
      </c>
      <c r="Z397" t="s">
        <v>61</v>
      </c>
      <c r="AA397" s="2">
        <v>45478</v>
      </c>
      <c r="AB397" t="b">
        <v>1</v>
      </c>
      <c r="AC397" t="b">
        <v>1</v>
      </c>
      <c r="AD397" t="s">
        <v>62</v>
      </c>
      <c r="AE397" t="s">
        <v>41</v>
      </c>
      <c r="AF397">
        <v>11</v>
      </c>
    </row>
    <row r="398" spans="1:32" x14ac:dyDescent="0.25">
      <c r="A398" t="s">
        <v>875</v>
      </c>
      <c r="B398">
        <v>396</v>
      </c>
      <c r="C398">
        <v>27</v>
      </c>
      <c r="D398" t="str">
        <f>IF(tbl_Original[[#This Row],[Gender2]]="Female","Female",IF(tbl_Original[[#This Row],[Gender2]]="Male","Male","Other"))</f>
        <v>Other</v>
      </c>
      <c r="E398" t="s">
        <v>212</v>
      </c>
      <c r="F398" t="s">
        <v>30</v>
      </c>
      <c r="G398" t="s">
        <v>76</v>
      </c>
      <c r="H398" t="s">
        <v>56</v>
      </c>
      <c r="I398" t="s">
        <v>30</v>
      </c>
      <c r="J398" t="str">
        <f>PROPER(TRIM(CLEAN(tbl_Original[[#This Row],[Column1]])))</f>
        <v>Ngrejo</v>
      </c>
      <c r="K398" t="s">
        <v>876</v>
      </c>
      <c r="L398" t="s">
        <v>876</v>
      </c>
      <c r="M398" t="s">
        <v>90</v>
      </c>
      <c r="N398" s="1">
        <v>480.52</v>
      </c>
      <c r="O398">
        <v>3</v>
      </c>
      <c r="P398" t="s">
        <v>78</v>
      </c>
      <c r="Q398">
        <v>5</v>
      </c>
      <c r="R398">
        <v>4</v>
      </c>
      <c r="S398">
        <v>2</v>
      </c>
      <c r="T398" t="s">
        <v>59</v>
      </c>
      <c r="U398" t="s">
        <v>37</v>
      </c>
      <c r="V398">
        <v>1</v>
      </c>
      <c r="W398">
        <v>5</v>
      </c>
      <c r="X398" t="s">
        <v>36</v>
      </c>
      <c r="Y398" t="s">
        <v>60</v>
      </c>
      <c r="Z398" t="s">
        <v>86</v>
      </c>
      <c r="AA398" s="2">
        <v>45412</v>
      </c>
      <c r="AB398" t="b">
        <v>0</v>
      </c>
      <c r="AC398" t="b">
        <v>0</v>
      </c>
      <c r="AD398" t="s">
        <v>74</v>
      </c>
      <c r="AE398" t="s">
        <v>41</v>
      </c>
      <c r="AF398">
        <v>13</v>
      </c>
    </row>
    <row r="399" spans="1:32" x14ac:dyDescent="0.25">
      <c r="A399" t="s">
        <v>877</v>
      </c>
      <c r="B399">
        <v>397</v>
      </c>
      <c r="C399">
        <v>28</v>
      </c>
      <c r="D399" t="str">
        <f>IF(tbl_Original[[#This Row],[Gender2]]="Female","Female",IF(tbl_Original[[#This Row],[Gender2]]="Male","Male","Other"))</f>
        <v>Female</v>
      </c>
      <c r="E399" t="s">
        <v>29</v>
      </c>
      <c r="F399" t="s">
        <v>30</v>
      </c>
      <c r="G399" t="s">
        <v>31</v>
      </c>
      <c r="H399" t="s">
        <v>45</v>
      </c>
      <c r="I399" t="s">
        <v>44</v>
      </c>
      <c r="J399" t="str">
        <f>PROPER(TRIM(CLEAN(tbl_Original[[#This Row],[Column1]])))</f>
        <v>Xieba</v>
      </c>
      <c r="K399" t="s">
        <v>878</v>
      </c>
      <c r="L399" t="s">
        <v>878</v>
      </c>
      <c r="M399" t="s">
        <v>114</v>
      </c>
      <c r="N399" s="1">
        <v>461.71</v>
      </c>
      <c r="O399">
        <v>10</v>
      </c>
      <c r="P399" t="s">
        <v>35</v>
      </c>
      <c r="Q399">
        <v>3</v>
      </c>
      <c r="R399">
        <v>1</v>
      </c>
      <c r="S399">
        <v>0</v>
      </c>
      <c r="T399" t="s">
        <v>59</v>
      </c>
      <c r="U399" t="s">
        <v>50</v>
      </c>
      <c r="V399">
        <v>0</v>
      </c>
      <c r="W399">
        <v>9</v>
      </c>
      <c r="X399" t="s">
        <v>44</v>
      </c>
      <c r="Y399" t="s">
        <v>60</v>
      </c>
      <c r="Z399" t="s">
        <v>86</v>
      </c>
      <c r="AA399" s="2">
        <v>45338</v>
      </c>
      <c r="AB399" t="b">
        <v>0</v>
      </c>
      <c r="AC399" t="b">
        <v>0</v>
      </c>
      <c r="AD399" t="s">
        <v>74</v>
      </c>
      <c r="AE399" t="s">
        <v>53</v>
      </c>
      <c r="AF399">
        <v>11</v>
      </c>
    </row>
    <row r="400" spans="1:32" x14ac:dyDescent="0.25">
      <c r="A400" t="s">
        <v>879</v>
      </c>
      <c r="B400">
        <v>398</v>
      </c>
      <c r="C400">
        <v>50</v>
      </c>
      <c r="D400" t="str">
        <f>IF(tbl_Original[[#This Row],[Gender2]]="Female","Female",IF(tbl_Original[[#This Row],[Gender2]]="Male","Male","Other"))</f>
        <v>Female</v>
      </c>
      <c r="E400" t="s">
        <v>29</v>
      </c>
      <c r="F400" t="s">
        <v>44</v>
      </c>
      <c r="G400" t="s">
        <v>31</v>
      </c>
      <c r="H400" t="s">
        <v>45</v>
      </c>
      <c r="I400" t="s">
        <v>30</v>
      </c>
      <c r="J400" t="str">
        <f>PROPER(TRIM(CLEAN(tbl_Original[[#This Row],[Column1]])))</f>
        <v>Sigli</v>
      </c>
      <c r="K400" t="s">
        <v>880</v>
      </c>
      <c r="L400" t="s">
        <v>880</v>
      </c>
      <c r="M400" t="s">
        <v>120</v>
      </c>
      <c r="N400" s="1">
        <v>288.33999999999997</v>
      </c>
      <c r="O400">
        <v>12</v>
      </c>
      <c r="P400" t="s">
        <v>35</v>
      </c>
      <c r="Q400">
        <v>5</v>
      </c>
      <c r="R400">
        <v>2</v>
      </c>
      <c r="S400">
        <v>2</v>
      </c>
      <c r="T400" t="s">
        <v>36</v>
      </c>
      <c r="U400" t="s">
        <v>85</v>
      </c>
      <c r="V400">
        <v>0</v>
      </c>
      <c r="W400">
        <v>8</v>
      </c>
      <c r="X400" t="s">
        <v>59</v>
      </c>
      <c r="Y400" t="s">
        <v>38</v>
      </c>
      <c r="Z400" t="s">
        <v>86</v>
      </c>
      <c r="AA400" s="2">
        <v>45371</v>
      </c>
      <c r="AB400" t="b">
        <v>0</v>
      </c>
      <c r="AC400" t="b">
        <v>0</v>
      </c>
      <c r="AD400" t="s">
        <v>40</v>
      </c>
      <c r="AE400" t="s">
        <v>67</v>
      </c>
      <c r="AF400">
        <v>6</v>
      </c>
    </row>
    <row r="401" spans="1:32" x14ac:dyDescent="0.25">
      <c r="A401" t="s">
        <v>881</v>
      </c>
      <c r="B401">
        <v>399</v>
      </c>
      <c r="C401">
        <v>19</v>
      </c>
      <c r="D401" t="str">
        <f>IF(tbl_Original[[#This Row],[Gender2]]="Female","Female",IF(tbl_Original[[#This Row],[Gender2]]="Male","Male","Other"))</f>
        <v>Female</v>
      </c>
      <c r="E401" t="s">
        <v>29</v>
      </c>
      <c r="F401" t="s">
        <v>44</v>
      </c>
      <c r="G401" t="s">
        <v>76</v>
      </c>
      <c r="H401" t="s">
        <v>32</v>
      </c>
      <c r="I401" t="s">
        <v>44</v>
      </c>
      <c r="J401" t="str">
        <f>PROPER(TRIM(CLEAN(tbl_Original[[#This Row],[Column1]])))</f>
        <v>Aristbulo Del Valle</v>
      </c>
      <c r="K401" t="s">
        <v>2142</v>
      </c>
      <c r="L401" t="s">
        <v>882</v>
      </c>
      <c r="M401" t="s">
        <v>34</v>
      </c>
      <c r="N401" s="1">
        <v>194.08</v>
      </c>
      <c r="O401">
        <v>3</v>
      </c>
      <c r="P401" t="s">
        <v>48</v>
      </c>
      <c r="Q401">
        <v>5</v>
      </c>
      <c r="R401">
        <v>5</v>
      </c>
      <c r="S401">
        <v>1</v>
      </c>
      <c r="T401" t="s">
        <v>59</v>
      </c>
      <c r="U401" t="s">
        <v>50</v>
      </c>
      <c r="V401">
        <v>0</v>
      </c>
      <c r="W401">
        <v>2</v>
      </c>
      <c r="X401" t="s">
        <v>36</v>
      </c>
      <c r="Y401" t="s">
        <v>60</v>
      </c>
      <c r="Z401" t="s">
        <v>51</v>
      </c>
      <c r="AA401" s="2">
        <v>45592</v>
      </c>
      <c r="AB401" t="b">
        <v>1</v>
      </c>
      <c r="AC401" t="b">
        <v>1</v>
      </c>
      <c r="AD401" t="s">
        <v>52</v>
      </c>
      <c r="AE401" t="s">
        <v>53</v>
      </c>
      <c r="AF401">
        <v>13</v>
      </c>
    </row>
    <row r="402" spans="1:32" x14ac:dyDescent="0.25">
      <c r="A402" t="s">
        <v>883</v>
      </c>
      <c r="B402">
        <v>400</v>
      </c>
      <c r="C402">
        <v>27</v>
      </c>
      <c r="D402" t="str">
        <f>IF(tbl_Original[[#This Row],[Gender2]]="Female","Female",IF(tbl_Original[[#This Row],[Gender2]]="Male","Male","Other"))</f>
        <v>Other</v>
      </c>
      <c r="E402" t="s">
        <v>274</v>
      </c>
      <c r="F402" t="s">
        <v>30</v>
      </c>
      <c r="G402" t="s">
        <v>69</v>
      </c>
      <c r="H402" t="s">
        <v>45</v>
      </c>
      <c r="I402" t="s">
        <v>44</v>
      </c>
      <c r="J402" t="str">
        <f>PROPER(TRIM(CLEAN(tbl_Original[[#This Row],[Column1]])))</f>
        <v>Cane</v>
      </c>
      <c r="K402" t="s">
        <v>884</v>
      </c>
      <c r="L402" t="s">
        <v>884</v>
      </c>
      <c r="M402" t="s">
        <v>194</v>
      </c>
      <c r="N402" s="1">
        <v>198.45</v>
      </c>
      <c r="O402">
        <v>11</v>
      </c>
      <c r="P402" t="s">
        <v>78</v>
      </c>
      <c r="Q402">
        <v>3</v>
      </c>
      <c r="R402">
        <v>5</v>
      </c>
      <c r="S402">
        <v>1</v>
      </c>
      <c r="T402" t="s">
        <v>44</v>
      </c>
      <c r="U402" t="s">
        <v>50</v>
      </c>
      <c r="V402">
        <v>2</v>
      </c>
      <c r="W402">
        <v>8</v>
      </c>
      <c r="X402" t="s">
        <v>44</v>
      </c>
      <c r="Y402" t="s">
        <v>38</v>
      </c>
      <c r="Z402" t="s">
        <v>51</v>
      </c>
      <c r="AA402" s="2">
        <v>45416</v>
      </c>
      <c r="AB402" t="b">
        <v>1</v>
      </c>
      <c r="AC402" t="b">
        <v>0</v>
      </c>
      <c r="AD402" t="s">
        <v>52</v>
      </c>
      <c r="AE402" t="s">
        <v>41</v>
      </c>
      <c r="AF402">
        <v>5</v>
      </c>
    </row>
    <row r="403" spans="1:32" x14ac:dyDescent="0.25">
      <c r="A403" t="s">
        <v>885</v>
      </c>
      <c r="B403">
        <v>401</v>
      </c>
      <c r="C403">
        <v>23</v>
      </c>
      <c r="D403" t="str">
        <f>IF(tbl_Original[[#This Row],[Gender2]]="Female","Female",IF(tbl_Original[[#This Row],[Gender2]]="Male","Male","Other"))</f>
        <v>Male</v>
      </c>
      <c r="E403" t="s">
        <v>43</v>
      </c>
      <c r="F403" t="s">
        <v>44</v>
      </c>
      <c r="G403" t="s">
        <v>31</v>
      </c>
      <c r="H403" t="s">
        <v>56</v>
      </c>
      <c r="I403" t="s">
        <v>30</v>
      </c>
      <c r="J403" t="str">
        <f>PROPER(TRIM(CLEAN(tbl_Original[[#This Row],[Column1]])))</f>
        <v>Podhum</v>
      </c>
      <c r="K403" t="s">
        <v>886</v>
      </c>
      <c r="L403" t="s">
        <v>886</v>
      </c>
      <c r="M403" t="s">
        <v>123</v>
      </c>
      <c r="N403" s="1">
        <v>216.45</v>
      </c>
      <c r="O403">
        <v>5</v>
      </c>
      <c r="P403" t="s">
        <v>35</v>
      </c>
      <c r="Q403">
        <v>5</v>
      </c>
      <c r="R403">
        <v>2</v>
      </c>
      <c r="S403">
        <v>0</v>
      </c>
      <c r="T403" t="s">
        <v>49</v>
      </c>
      <c r="U403" t="s">
        <v>85</v>
      </c>
      <c r="V403">
        <v>2</v>
      </c>
      <c r="W403">
        <v>7</v>
      </c>
      <c r="X403" t="s">
        <v>59</v>
      </c>
      <c r="Y403" t="s">
        <v>38</v>
      </c>
      <c r="Z403" t="s">
        <v>39</v>
      </c>
      <c r="AA403" s="2">
        <v>45596</v>
      </c>
      <c r="AB403" t="b">
        <v>0</v>
      </c>
      <c r="AC403" t="b">
        <v>0</v>
      </c>
      <c r="AD403" t="s">
        <v>40</v>
      </c>
      <c r="AE403" t="s">
        <v>41</v>
      </c>
      <c r="AF403">
        <v>3</v>
      </c>
    </row>
    <row r="404" spans="1:32" x14ac:dyDescent="0.25">
      <c r="A404" t="s">
        <v>887</v>
      </c>
      <c r="B404">
        <v>402</v>
      </c>
      <c r="C404">
        <v>19</v>
      </c>
      <c r="D404" t="str">
        <f>IF(tbl_Original[[#This Row],[Gender2]]="Female","Female",IF(tbl_Original[[#This Row],[Gender2]]="Male","Male","Other"))</f>
        <v>Female</v>
      </c>
      <c r="E404" t="s">
        <v>29</v>
      </c>
      <c r="F404" t="s">
        <v>44</v>
      </c>
      <c r="G404" t="s">
        <v>69</v>
      </c>
      <c r="H404" t="s">
        <v>32</v>
      </c>
      <c r="I404" t="s">
        <v>44</v>
      </c>
      <c r="J404" t="str">
        <f>PROPER(TRIM(CLEAN(tbl_Original[[#This Row],[Column1]])))</f>
        <v>Vilar</v>
      </c>
      <c r="K404" t="s">
        <v>888</v>
      </c>
      <c r="L404" t="s">
        <v>888</v>
      </c>
      <c r="M404" t="s">
        <v>123</v>
      </c>
      <c r="N404" s="1">
        <v>358.72</v>
      </c>
      <c r="O404">
        <v>5</v>
      </c>
      <c r="P404" t="s">
        <v>48</v>
      </c>
      <c r="Q404">
        <v>3</v>
      </c>
      <c r="R404">
        <v>5</v>
      </c>
      <c r="S404">
        <v>1</v>
      </c>
      <c r="T404" t="s">
        <v>59</v>
      </c>
      <c r="U404" t="s">
        <v>85</v>
      </c>
      <c r="V404">
        <v>0</v>
      </c>
      <c r="W404">
        <v>8</v>
      </c>
      <c r="X404" t="s">
        <v>59</v>
      </c>
      <c r="Y404" t="s">
        <v>38</v>
      </c>
      <c r="Z404" t="s">
        <v>39</v>
      </c>
      <c r="AA404" s="2">
        <v>45328</v>
      </c>
      <c r="AB404" t="b">
        <v>1</v>
      </c>
      <c r="AC404" t="b">
        <v>1</v>
      </c>
      <c r="AD404" t="s">
        <v>62</v>
      </c>
      <c r="AE404" t="s">
        <v>53</v>
      </c>
      <c r="AF404">
        <v>12</v>
      </c>
    </row>
    <row r="405" spans="1:32" x14ac:dyDescent="0.25">
      <c r="A405" t="s">
        <v>889</v>
      </c>
      <c r="B405">
        <v>403</v>
      </c>
      <c r="C405">
        <v>22</v>
      </c>
      <c r="D405" t="str">
        <f>IF(tbl_Original[[#This Row],[Gender2]]="Female","Female",IF(tbl_Original[[#This Row],[Gender2]]="Male","Male","Other"))</f>
        <v>Female</v>
      </c>
      <c r="E405" t="s">
        <v>29</v>
      </c>
      <c r="F405" t="s">
        <v>30</v>
      </c>
      <c r="G405" t="s">
        <v>69</v>
      </c>
      <c r="H405" t="s">
        <v>32</v>
      </c>
      <c r="I405" t="s">
        <v>44</v>
      </c>
      <c r="J405" t="str">
        <f>PROPER(TRIM(CLEAN(tbl_Original[[#This Row],[Column1]])))</f>
        <v>Portela</v>
      </c>
      <c r="K405" t="s">
        <v>890</v>
      </c>
      <c r="L405" t="s">
        <v>890</v>
      </c>
      <c r="M405" t="s">
        <v>98</v>
      </c>
      <c r="N405" s="1">
        <v>367.56</v>
      </c>
      <c r="O405">
        <v>9</v>
      </c>
      <c r="P405" t="s">
        <v>78</v>
      </c>
      <c r="Q405">
        <v>4</v>
      </c>
      <c r="R405">
        <v>5</v>
      </c>
      <c r="S405">
        <v>1</v>
      </c>
      <c r="T405" t="s">
        <v>36</v>
      </c>
      <c r="U405" t="s">
        <v>50</v>
      </c>
      <c r="V405">
        <v>0</v>
      </c>
      <c r="W405">
        <v>8</v>
      </c>
      <c r="X405" t="s">
        <v>59</v>
      </c>
      <c r="Y405" t="s">
        <v>60</v>
      </c>
      <c r="Z405" t="s">
        <v>66</v>
      </c>
      <c r="AA405" s="2">
        <v>45491</v>
      </c>
      <c r="AB405" t="b">
        <v>0</v>
      </c>
      <c r="AC405" t="b">
        <v>0</v>
      </c>
      <c r="AD405" t="s">
        <v>40</v>
      </c>
      <c r="AE405" t="s">
        <v>53</v>
      </c>
      <c r="AF405">
        <v>14</v>
      </c>
    </row>
    <row r="406" spans="1:32" x14ac:dyDescent="0.25">
      <c r="A406" t="s">
        <v>891</v>
      </c>
      <c r="B406">
        <v>404</v>
      </c>
      <c r="C406">
        <v>40</v>
      </c>
      <c r="D406" t="str">
        <f>IF(tbl_Original[[#This Row],[Gender2]]="Female","Female",IF(tbl_Original[[#This Row],[Gender2]]="Male","Male","Other"))</f>
        <v>Male</v>
      </c>
      <c r="E406" t="s">
        <v>43</v>
      </c>
      <c r="F406" t="s">
        <v>30</v>
      </c>
      <c r="G406" t="s">
        <v>76</v>
      </c>
      <c r="H406" t="s">
        <v>45</v>
      </c>
      <c r="I406" t="s">
        <v>44</v>
      </c>
      <c r="J406" t="str">
        <f>PROPER(TRIM(CLEAN(tbl_Original[[#This Row],[Column1]])))</f>
        <v>Arendal</v>
      </c>
      <c r="K406" t="s">
        <v>892</v>
      </c>
      <c r="L406" t="s">
        <v>892</v>
      </c>
      <c r="M406" t="s">
        <v>183</v>
      </c>
      <c r="N406" s="1">
        <v>88.78</v>
      </c>
      <c r="O406">
        <v>10</v>
      </c>
      <c r="P406" t="s">
        <v>78</v>
      </c>
      <c r="Q406">
        <v>5</v>
      </c>
      <c r="R406">
        <v>3</v>
      </c>
      <c r="S406">
        <v>0</v>
      </c>
      <c r="T406" t="s">
        <v>44</v>
      </c>
      <c r="U406" t="s">
        <v>85</v>
      </c>
      <c r="V406">
        <v>1</v>
      </c>
      <c r="W406">
        <v>7</v>
      </c>
      <c r="X406" t="s">
        <v>49</v>
      </c>
      <c r="Y406" t="s">
        <v>79</v>
      </c>
      <c r="Z406" t="s">
        <v>51</v>
      </c>
      <c r="AA406" s="2">
        <v>45297</v>
      </c>
      <c r="AB406" t="b">
        <v>0</v>
      </c>
      <c r="AC406" t="b">
        <v>0</v>
      </c>
      <c r="AD406" t="s">
        <v>74</v>
      </c>
      <c r="AE406" t="s">
        <v>53</v>
      </c>
      <c r="AF406">
        <v>13</v>
      </c>
    </row>
    <row r="407" spans="1:32" x14ac:dyDescent="0.25">
      <c r="A407" t="s">
        <v>893</v>
      </c>
      <c r="B407">
        <v>405</v>
      </c>
      <c r="C407">
        <v>48</v>
      </c>
      <c r="D407" t="str">
        <f>IF(tbl_Original[[#This Row],[Gender2]]="Female","Female",IF(tbl_Original[[#This Row],[Gender2]]="Male","Male","Other"))</f>
        <v>Male</v>
      </c>
      <c r="E407" t="s">
        <v>43</v>
      </c>
      <c r="F407" t="s">
        <v>30</v>
      </c>
      <c r="G407" t="s">
        <v>31</v>
      </c>
      <c r="H407" t="s">
        <v>32</v>
      </c>
      <c r="I407" t="s">
        <v>30</v>
      </c>
      <c r="J407" t="str">
        <f>PROPER(TRIM(CLEAN(tbl_Original[[#This Row],[Column1]])))</f>
        <v>Nabnagar</v>
      </c>
      <c r="K407" t="s">
        <v>2196</v>
      </c>
      <c r="L407" t="s">
        <v>894</v>
      </c>
      <c r="M407" t="s">
        <v>47</v>
      </c>
      <c r="N407" s="1">
        <v>465.85</v>
      </c>
      <c r="O407">
        <v>10</v>
      </c>
      <c r="P407" t="s">
        <v>78</v>
      </c>
      <c r="Q407">
        <v>5</v>
      </c>
      <c r="R407">
        <v>3</v>
      </c>
      <c r="S407">
        <v>2</v>
      </c>
      <c r="T407" t="s">
        <v>36</v>
      </c>
      <c r="U407" t="s">
        <v>37</v>
      </c>
      <c r="V407">
        <v>2</v>
      </c>
      <c r="W407">
        <v>10</v>
      </c>
      <c r="X407" t="s">
        <v>49</v>
      </c>
      <c r="Y407" t="s">
        <v>79</v>
      </c>
      <c r="Z407" t="s">
        <v>51</v>
      </c>
      <c r="AA407" s="2">
        <v>45386</v>
      </c>
      <c r="AB407" t="b">
        <v>1</v>
      </c>
      <c r="AC407" t="b">
        <v>0</v>
      </c>
      <c r="AD407" t="s">
        <v>52</v>
      </c>
      <c r="AE407" t="s">
        <v>53</v>
      </c>
      <c r="AF407">
        <v>7</v>
      </c>
    </row>
    <row r="408" spans="1:32" x14ac:dyDescent="0.25">
      <c r="A408" t="s">
        <v>895</v>
      </c>
      <c r="B408">
        <v>406</v>
      </c>
      <c r="C408">
        <v>49</v>
      </c>
      <c r="D408" t="str">
        <f>IF(tbl_Original[[#This Row],[Gender2]]="Female","Female",IF(tbl_Original[[#This Row],[Gender2]]="Male","Male","Other"))</f>
        <v>Male</v>
      </c>
      <c r="E408" t="s">
        <v>43</v>
      </c>
      <c r="F408" t="s">
        <v>30</v>
      </c>
      <c r="G408" t="s">
        <v>31</v>
      </c>
      <c r="H408" t="s">
        <v>45</v>
      </c>
      <c r="I408" t="s">
        <v>44</v>
      </c>
      <c r="J408" t="str">
        <f>PROPER(TRIM(CLEAN(tbl_Original[[#This Row],[Column1]])))</f>
        <v>La Ravoire</v>
      </c>
      <c r="K408" t="s">
        <v>896</v>
      </c>
      <c r="L408" t="s">
        <v>896</v>
      </c>
      <c r="M408" t="s">
        <v>183</v>
      </c>
      <c r="N408" s="1">
        <v>262.61</v>
      </c>
      <c r="O408">
        <v>3</v>
      </c>
      <c r="P408" t="s">
        <v>48</v>
      </c>
      <c r="Q408">
        <v>2</v>
      </c>
      <c r="R408">
        <v>5</v>
      </c>
      <c r="S408">
        <v>1</v>
      </c>
      <c r="T408" t="s">
        <v>49</v>
      </c>
      <c r="U408" t="s">
        <v>37</v>
      </c>
      <c r="V408">
        <v>0</v>
      </c>
      <c r="W408">
        <v>10</v>
      </c>
      <c r="X408" t="s">
        <v>49</v>
      </c>
      <c r="Y408" t="s">
        <v>60</v>
      </c>
      <c r="Z408" t="s">
        <v>66</v>
      </c>
      <c r="AA408" s="2">
        <v>45350</v>
      </c>
      <c r="AB408" t="b">
        <v>0</v>
      </c>
      <c r="AC408" t="b">
        <v>1</v>
      </c>
      <c r="AD408" t="s">
        <v>52</v>
      </c>
      <c r="AE408" t="s">
        <v>53</v>
      </c>
      <c r="AF408">
        <v>6</v>
      </c>
    </row>
    <row r="409" spans="1:32" x14ac:dyDescent="0.25">
      <c r="A409" t="s">
        <v>897</v>
      </c>
      <c r="B409">
        <v>407</v>
      </c>
      <c r="C409">
        <v>45</v>
      </c>
      <c r="D409" t="str">
        <f>IF(tbl_Original[[#This Row],[Gender2]]="Female","Female",IF(tbl_Original[[#This Row],[Gender2]]="Male","Male","Other"))</f>
        <v>Other</v>
      </c>
      <c r="E409" t="s">
        <v>274</v>
      </c>
      <c r="F409" t="s">
        <v>30</v>
      </c>
      <c r="G409" t="s">
        <v>69</v>
      </c>
      <c r="H409" t="s">
        <v>56</v>
      </c>
      <c r="I409" t="s">
        <v>30</v>
      </c>
      <c r="J409" t="str">
        <f>PROPER(TRIM(CLEAN(tbl_Original[[#This Row],[Column1]])))</f>
        <v>Dostoyevka</v>
      </c>
      <c r="K409" t="s">
        <v>898</v>
      </c>
      <c r="L409" t="s">
        <v>898</v>
      </c>
      <c r="M409" t="s">
        <v>65</v>
      </c>
      <c r="N409" s="1">
        <v>91.24</v>
      </c>
      <c r="O409">
        <v>8</v>
      </c>
      <c r="P409" t="s">
        <v>48</v>
      </c>
      <c r="Q409">
        <v>4</v>
      </c>
      <c r="R409">
        <v>3</v>
      </c>
      <c r="S409">
        <v>0</v>
      </c>
      <c r="T409" t="s">
        <v>44</v>
      </c>
      <c r="U409" t="s">
        <v>37</v>
      </c>
      <c r="V409">
        <v>0</v>
      </c>
      <c r="W409">
        <v>4</v>
      </c>
      <c r="X409" t="s">
        <v>59</v>
      </c>
      <c r="Y409" t="s">
        <v>38</v>
      </c>
      <c r="Z409" t="s">
        <v>86</v>
      </c>
      <c r="AA409" s="2">
        <v>45593</v>
      </c>
      <c r="AB409" t="b">
        <v>1</v>
      </c>
      <c r="AC409" t="b">
        <v>0</v>
      </c>
      <c r="AD409" t="s">
        <v>52</v>
      </c>
      <c r="AE409" t="s">
        <v>53</v>
      </c>
      <c r="AF409">
        <v>4</v>
      </c>
    </row>
    <row r="410" spans="1:32" x14ac:dyDescent="0.25">
      <c r="A410" t="s">
        <v>899</v>
      </c>
      <c r="B410">
        <v>408</v>
      </c>
      <c r="C410">
        <v>42</v>
      </c>
      <c r="D410" t="str">
        <f>IF(tbl_Original[[#This Row],[Gender2]]="Female","Female",IF(tbl_Original[[#This Row],[Gender2]]="Male","Male","Other"))</f>
        <v>Female</v>
      </c>
      <c r="E410" t="s">
        <v>29</v>
      </c>
      <c r="F410" t="s">
        <v>44</v>
      </c>
      <c r="G410" t="s">
        <v>31</v>
      </c>
      <c r="H410" t="s">
        <v>45</v>
      </c>
      <c r="I410" t="s">
        <v>44</v>
      </c>
      <c r="J410" t="str">
        <f>PROPER(TRIM(CLEAN(tbl_Original[[#This Row],[Column1]])))</f>
        <v>Liuzhou</v>
      </c>
      <c r="K410" t="s">
        <v>900</v>
      </c>
      <c r="L410" t="s">
        <v>900</v>
      </c>
      <c r="M410" t="s">
        <v>98</v>
      </c>
      <c r="N410" s="1">
        <v>425.69</v>
      </c>
      <c r="O410">
        <v>5</v>
      </c>
      <c r="P410" t="s">
        <v>48</v>
      </c>
      <c r="Q410">
        <v>2</v>
      </c>
      <c r="R410">
        <v>5</v>
      </c>
      <c r="S410">
        <v>0</v>
      </c>
      <c r="T410" t="s">
        <v>44</v>
      </c>
      <c r="U410" t="s">
        <v>85</v>
      </c>
      <c r="V410">
        <v>0</v>
      </c>
      <c r="W410">
        <v>4</v>
      </c>
      <c r="X410" t="s">
        <v>49</v>
      </c>
      <c r="Y410" t="s">
        <v>38</v>
      </c>
      <c r="Z410" t="s">
        <v>39</v>
      </c>
      <c r="AA410" s="2">
        <v>45464</v>
      </c>
      <c r="AB410" t="b">
        <v>0</v>
      </c>
      <c r="AC410" t="b">
        <v>1</v>
      </c>
      <c r="AD410" t="s">
        <v>62</v>
      </c>
      <c r="AE410" t="s">
        <v>41</v>
      </c>
      <c r="AF410">
        <v>4</v>
      </c>
    </row>
    <row r="411" spans="1:32" x14ac:dyDescent="0.25">
      <c r="A411" t="s">
        <v>901</v>
      </c>
      <c r="B411">
        <v>409</v>
      </c>
      <c r="C411">
        <v>41</v>
      </c>
      <c r="D411" t="str">
        <f>IF(tbl_Original[[#This Row],[Gender2]]="Female","Female",IF(tbl_Original[[#This Row],[Gender2]]="Male","Male","Other"))</f>
        <v>Female</v>
      </c>
      <c r="E411" t="s">
        <v>29</v>
      </c>
      <c r="F411" t="s">
        <v>44</v>
      </c>
      <c r="G411" t="s">
        <v>31</v>
      </c>
      <c r="H411" t="s">
        <v>32</v>
      </c>
      <c r="I411" t="s">
        <v>44</v>
      </c>
      <c r="J411" t="str">
        <f>PROPER(TRIM(CLEAN(tbl_Original[[#This Row],[Column1]])))</f>
        <v>So Mateus Do Maranho</v>
      </c>
      <c r="K411" t="s">
        <v>2197</v>
      </c>
      <c r="L411" t="s">
        <v>902</v>
      </c>
      <c r="M411" t="s">
        <v>114</v>
      </c>
      <c r="N411" s="1">
        <v>446.11</v>
      </c>
      <c r="O411">
        <v>9</v>
      </c>
      <c r="P411" t="s">
        <v>35</v>
      </c>
      <c r="Q411">
        <v>3</v>
      </c>
      <c r="R411">
        <v>1</v>
      </c>
      <c r="S411">
        <v>1</v>
      </c>
      <c r="T411" t="s">
        <v>49</v>
      </c>
      <c r="U411" t="s">
        <v>85</v>
      </c>
      <c r="V411">
        <v>0</v>
      </c>
      <c r="W411">
        <v>10</v>
      </c>
      <c r="X411" t="s">
        <v>49</v>
      </c>
      <c r="Y411" t="s">
        <v>79</v>
      </c>
      <c r="Z411" t="s">
        <v>51</v>
      </c>
      <c r="AA411" s="2">
        <v>45449</v>
      </c>
      <c r="AB411" t="b">
        <v>1</v>
      </c>
      <c r="AC411" t="b">
        <v>1</v>
      </c>
      <c r="AD411" t="s">
        <v>52</v>
      </c>
      <c r="AE411" t="s">
        <v>67</v>
      </c>
      <c r="AF411">
        <v>11</v>
      </c>
    </row>
    <row r="412" spans="1:32" x14ac:dyDescent="0.25">
      <c r="A412" t="s">
        <v>903</v>
      </c>
      <c r="B412">
        <v>410</v>
      </c>
      <c r="C412">
        <v>23</v>
      </c>
      <c r="D412" t="str">
        <f>IF(tbl_Original[[#This Row],[Gender2]]="Female","Female",IF(tbl_Original[[#This Row],[Gender2]]="Male","Male","Other"))</f>
        <v>Other</v>
      </c>
      <c r="E412" t="s">
        <v>88</v>
      </c>
      <c r="F412" t="s">
        <v>44</v>
      </c>
      <c r="G412" t="s">
        <v>55</v>
      </c>
      <c r="H412" t="s">
        <v>45</v>
      </c>
      <c r="I412" t="s">
        <v>44</v>
      </c>
      <c r="J412" t="str">
        <f>PROPER(TRIM(CLEAN(tbl_Original[[#This Row],[Column1]])))</f>
        <v>Rumbek</v>
      </c>
      <c r="K412" t="s">
        <v>904</v>
      </c>
      <c r="L412" t="s">
        <v>904</v>
      </c>
      <c r="M412" t="s">
        <v>120</v>
      </c>
      <c r="N412" s="1">
        <v>490.11</v>
      </c>
      <c r="O412">
        <v>8</v>
      </c>
      <c r="P412" t="s">
        <v>78</v>
      </c>
      <c r="Q412">
        <v>3</v>
      </c>
      <c r="R412">
        <v>4</v>
      </c>
      <c r="S412">
        <v>2</v>
      </c>
      <c r="T412" t="s">
        <v>59</v>
      </c>
      <c r="U412" t="s">
        <v>50</v>
      </c>
      <c r="V412">
        <v>1</v>
      </c>
      <c r="W412">
        <v>1</v>
      </c>
      <c r="X412" t="s">
        <v>59</v>
      </c>
      <c r="Y412" t="s">
        <v>60</v>
      </c>
      <c r="Z412" t="s">
        <v>66</v>
      </c>
      <c r="AA412" s="2">
        <v>45650</v>
      </c>
      <c r="AB412" t="b">
        <v>0</v>
      </c>
      <c r="AC412" t="b">
        <v>0</v>
      </c>
      <c r="AD412" t="s">
        <v>74</v>
      </c>
      <c r="AE412" t="s">
        <v>53</v>
      </c>
      <c r="AF412">
        <v>14</v>
      </c>
    </row>
    <row r="413" spans="1:32" x14ac:dyDescent="0.25">
      <c r="A413" t="s">
        <v>905</v>
      </c>
      <c r="B413">
        <v>411</v>
      </c>
      <c r="C413">
        <v>44</v>
      </c>
      <c r="D413" t="str">
        <f>IF(tbl_Original[[#This Row],[Gender2]]="Female","Female",IF(tbl_Original[[#This Row],[Gender2]]="Male","Male","Other"))</f>
        <v>Female</v>
      </c>
      <c r="E413" t="s">
        <v>29</v>
      </c>
      <c r="F413" t="s">
        <v>44</v>
      </c>
      <c r="G413" t="s">
        <v>76</v>
      </c>
      <c r="H413" t="s">
        <v>45</v>
      </c>
      <c r="I413" t="s">
        <v>30</v>
      </c>
      <c r="J413" t="str">
        <f>PROPER(TRIM(CLEAN(tbl_Original[[#This Row],[Column1]])))</f>
        <v>Cigedang</v>
      </c>
      <c r="K413" t="s">
        <v>906</v>
      </c>
      <c r="L413" t="s">
        <v>906</v>
      </c>
      <c r="M413" t="s">
        <v>90</v>
      </c>
      <c r="N413" s="1">
        <v>403.57</v>
      </c>
      <c r="O413">
        <v>6</v>
      </c>
      <c r="P413" t="s">
        <v>78</v>
      </c>
      <c r="Q413">
        <v>2</v>
      </c>
      <c r="R413">
        <v>2</v>
      </c>
      <c r="S413">
        <v>2</v>
      </c>
      <c r="T413" t="s">
        <v>44</v>
      </c>
      <c r="U413" t="s">
        <v>50</v>
      </c>
      <c r="V413">
        <v>2</v>
      </c>
      <c r="W413">
        <v>2</v>
      </c>
      <c r="X413" t="s">
        <v>36</v>
      </c>
      <c r="Y413" t="s">
        <v>60</v>
      </c>
      <c r="Z413" t="s">
        <v>66</v>
      </c>
      <c r="AA413" s="2">
        <v>45610</v>
      </c>
      <c r="AB413" t="b">
        <v>0</v>
      </c>
      <c r="AC413" t="b">
        <v>0</v>
      </c>
      <c r="AD413" t="s">
        <v>62</v>
      </c>
      <c r="AE413" t="s">
        <v>67</v>
      </c>
      <c r="AF413">
        <v>1</v>
      </c>
    </row>
    <row r="414" spans="1:32" x14ac:dyDescent="0.25">
      <c r="A414" t="s">
        <v>907</v>
      </c>
      <c r="B414">
        <v>412</v>
      </c>
      <c r="C414">
        <v>42</v>
      </c>
      <c r="D414" t="str">
        <f>IF(tbl_Original[[#This Row],[Gender2]]="Female","Female",IF(tbl_Original[[#This Row],[Gender2]]="Male","Male","Other"))</f>
        <v>Female</v>
      </c>
      <c r="E414" t="s">
        <v>29</v>
      </c>
      <c r="F414" t="s">
        <v>44</v>
      </c>
      <c r="G414" t="s">
        <v>31</v>
      </c>
      <c r="H414" t="s">
        <v>32</v>
      </c>
      <c r="I414" t="s">
        <v>30</v>
      </c>
      <c r="J414" t="str">
        <f>PROPER(TRIM(CLEAN(tbl_Original[[#This Row],[Column1]])))</f>
        <v>Muaralabuh</v>
      </c>
      <c r="K414" t="s">
        <v>908</v>
      </c>
      <c r="L414" t="s">
        <v>908</v>
      </c>
      <c r="M414" t="s">
        <v>114</v>
      </c>
      <c r="N414" s="1">
        <v>442.15</v>
      </c>
      <c r="O414">
        <v>10</v>
      </c>
      <c r="P414" t="s">
        <v>35</v>
      </c>
      <c r="Q414">
        <v>2</v>
      </c>
      <c r="R414">
        <v>3</v>
      </c>
      <c r="S414">
        <v>1</v>
      </c>
      <c r="T414" t="s">
        <v>44</v>
      </c>
      <c r="U414" t="s">
        <v>50</v>
      </c>
      <c r="V414">
        <v>2</v>
      </c>
      <c r="W414">
        <v>1</v>
      </c>
      <c r="X414" t="s">
        <v>36</v>
      </c>
      <c r="Y414" t="s">
        <v>60</v>
      </c>
      <c r="Z414" t="s">
        <v>39</v>
      </c>
      <c r="AA414" s="2">
        <v>45644</v>
      </c>
      <c r="AB414" t="b">
        <v>0</v>
      </c>
      <c r="AC414" t="b">
        <v>1</v>
      </c>
      <c r="AD414" t="s">
        <v>40</v>
      </c>
      <c r="AE414" t="s">
        <v>41</v>
      </c>
      <c r="AF414">
        <v>9</v>
      </c>
    </row>
    <row r="415" spans="1:32" x14ac:dyDescent="0.25">
      <c r="A415" t="s">
        <v>909</v>
      </c>
      <c r="B415">
        <v>413</v>
      </c>
      <c r="C415">
        <v>49</v>
      </c>
      <c r="D415" t="str">
        <f>IF(tbl_Original[[#This Row],[Gender2]]="Female","Female",IF(tbl_Original[[#This Row],[Gender2]]="Male","Male","Other"))</f>
        <v>Female</v>
      </c>
      <c r="E415" t="s">
        <v>29</v>
      </c>
      <c r="F415" t="s">
        <v>30</v>
      </c>
      <c r="G415" t="s">
        <v>69</v>
      </c>
      <c r="H415" t="s">
        <v>32</v>
      </c>
      <c r="I415" t="s">
        <v>44</v>
      </c>
      <c r="J415" t="str">
        <f>PROPER(TRIM(CLEAN(tbl_Original[[#This Row],[Column1]])))</f>
        <v>Chemiec</v>
      </c>
      <c r="K415" t="s">
        <v>2198</v>
      </c>
      <c r="L415" t="s">
        <v>910</v>
      </c>
      <c r="M415" t="s">
        <v>90</v>
      </c>
      <c r="N415" s="1">
        <v>78.709999999999994</v>
      </c>
      <c r="O415">
        <v>5</v>
      </c>
      <c r="P415" t="s">
        <v>78</v>
      </c>
      <c r="Q415">
        <v>4</v>
      </c>
      <c r="R415">
        <v>3</v>
      </c>
      <c r="S415">
        <v>1</v>
      </c>
      <c r="T415" t="s">
        <v>36</v>
      </c>
      <c r="U415" t="s">
        <v>37</v>
      </c>
      <c r="V415">
        <v>1</v>
      </c>
      <c r="W415">
        <v>10</v>
      </c>
      <c r="X415" t="s">
        <v>59</v>
      </c>
      <c r="Y415" t="s">
        <v>60</v>
      </c>
      <c r="Z415" t="s">
        <v>51</v>
      </c>
      <c r="AA415" s="2">
        <v>45392</v>
      </c>
      <c r="AB415" t="b">
        <v>1</v>
      </c>
      <c r="AC415" t="b">
        <v>1</v>
      </c>
      <c r="AD415" t="s">
        <v>74</v>
      </c>
      <c r="AE415" t="s">
        <v>41</v>
      </c>
      <c r="AF415">
        <v>4</v>
      </c>
    </row>
    <row r="416" spans="1:32" x14ac:dyDescent="0.25">
      <c r="A416" t="s">
        <v>911</v>
      </c>
      <c r="B416">
        <v>414</v>
      </c>
      <c r="C416">
        <v>45</v>
      </c>
      <c r="D416" t="str">
        <f>IF(tbl_Original[[#This Row],[Gender2]]="Female","Female",IF(tbl_Original[[#This Row],[Gender2]]="Male","Male","Other"))</f>
        <v>Female</v>
      </c>
      <c r="E416" t="s">
        <v>29</v>
      </c>
      <c r="F416" t="s">
        <v>30</v>
      </c>
      <c r="G416" t="s">
        <v>69</v>
      </c>
      <c r="H416" t="s">
        <v>45</v>
      </c>
      <c r="I416" t="s">
        <v>44</v>
      </c>
      <c r="J416" t="str">
        <f>PROPER(TRIM(CLEAN(tbl_Original[[#This Row],[Column1]])))</f>
        <v>Santa Marta</v>
      </c>
      <c r="K416" t="s">
        <v>912</v>
      </c>
      <c r="L416" t="s">
        <v>912</v>
      </c>
      <c r="M416" t="s">
        <v>71</v>
      </c>
      <c r="N416" s="1">
        <v>491.51</v>
      </c>
      <c r="O416">
        <v>2</v>
      </c>
      <c r="P416" t="s">
        <v>35</v>
      </c>
      <c r="Q416">
        <v>2</v>
      </c>
      <c r="R416">
        <v>5</v>
      </c>
      <c r="S416">
        <v>0</v>
      </c>
      <c r="T416" t="s">
        <v>49</v>
      </c>
      <c r="U416" t="s">
        <v>85</v>
      </c>
      <c r="V416">
        <v>1</v>
      </c>
      <c r="W416">
        <v>1</v>
      </c>
      <c r="X416" t="s">
        <v>44</v>
      </c>
      <c r="Y416" t="s">
        <v>60</v>
      </c>
      <c r="Z416" t="s">
        <v>51</v>
      </c>
      <c r="AA416" s="2">
        <v>45632</v>
      </c>
      <c r="AB416" t="b">
        <v>1</v>
      </c>
      <c r="AC416" t="b">
        <v>0</v>
      </c>
      <c r="AD416" t="s">
        <v>40</v>
      </c>
      <c r="AE416" t="s">
        <v>41</v>
      </c>
      <c r="AF416">
        <v>7</v>
      </c>
    </row>
    <row r="417" spans="1:32" x14ac:dyDescent="0.25">
      <c r="A417" t="s">
        <v>913</v>
      </c>
      <c r="B417">
        <v>415</v>
      </c>
      <c r="C417">
        <v>36</v>
      </c>
      <c r="D417" t="str">
        <f>IF(tbl_Original[[#This Row],[Gender2]]="Female","Female",IF(tbl_Original[[#This Row],[Gender2]]="Male","Male","Other"))</f>
        <v>Female</v>
      </c>
      <c r="E417" t="s">
        <v>29</v>
      </c>
      <c r="F417" t="s">
        <v>30</v>
      </c>
      <c r="G417" t="s">
        <v>55</v>
      </c>
      <c r="H417" t="s">
        <v>32</v>
      </c>
      <c r="I417" t="s">
        <v>30</v>
      </c>
      <c r="J417" t="str">
        <f>PROPER(TRIM(CLEAN(tbl_Original[[#This Row],[Column1]])))</f>
        <v>Brnd</v>
      </c>
      <c r="K417" t="s">
        <v>2199</v>
      </c>
      <c r="L417" t="s">
        <v>914</v>
      </c>
      <c r="M417" t="s">
        <v>71</v>
      </c>
      <c r="N417" s="1">
        <v>457.39</v>
      </c>
      <c r="O417">
        <v>12</v>
      </c>
      <c r="P417" t="s">
        <v>48</v>
      </c>
      <c r="Q417">
        <v>1</v>
      </c>
      <c r="R417">
        <v>1</v>
      </c>
      <c r="S417">
        <v>1</v>
      </c>
      <c r="T417" t="s">
        <v>44</v>
      </c>
      <c r="U417" t="s">
        <v>50</v>
      </c>
      <c r="V417">
        <v>1</v>
      </c>
      <c r="W417">
        <v>5</v>
      </c>
      <c r="X417" t="s">
        <v>44</v>
      </c>
      <c r="Y417" t="s">
        <v>79</v>
      </c>
      <c r="Z417" t="s">
        <v>39</v>
      </c>
      <c r="AA417" s="2">
        <v>45594</v>
      </c>
      <c r="AB417" t="b">
        <v>1</v>
      </c>
      <c r="AC417" t="b">
        <v>0</v>
      </c>
      <c r="AD417" t="s">
        <v>62</v>
      </c>
      <c r="AE417" t="s">
        <v>53</v>
      </c>
      <c r="AF417">
        <v>9</v>
      </c>
    </row>
    <row r="418" spans="1:32" x14ac:dyDescent="0.25">
      <c r="A418" t="s">
        <v>915</v>
      </c>
      <c r="B418">
        <v>416</v>
      </c>
      <c r="C418">
        <v>38</v>
      </c>
      <c r="D418" t="str">
        <f>IF(tbl_Original[[#This Row],[Gender2]]="Female","Female",IF(tbl_Original[[#This Row],[Gender2]]="Male","Male","Other"))</f>
        <v>Female</v>
      </c>
      <c r="E418" t="s">
        <v>29</v>
      </c>
      <c r="F418" t="s">
        <v>44</v>
      </c>
      <c r="G418" t="s">
        <v>76</v>
      </c>
      <c r="H418" t="s">
        <v>45</v>
      </c>
      <c r="I418" t="s">
        <v>44</v>
      </c>
      <c r="J418" t="str">
        <f>PROPER(TRIM(CLEAN(tbl_Original[[#This Row],[Column1]])))</f>
        <v>Liangshuihe</v>
      </c>
      <c r="K418" t="s">
        <v>916</v>
      </c>
      <c r="L418" t="s">
        <v>916</v>
      </c>
      <c r="M418" t="s">
        <v>47</v>
      </c>
      <c r="N418" s="1">
        <v>178.61</v>
      </c>
      <c r="O418">
        <v>12</v>
      </c>
      <c r="P418" t="s">
        <v>78</v>
      </c>
      <c r="Q418">
        <v>5</v>
      </c>
      <c r="R418">
        <v>1</v>
      </c>
      <c r="S418">
        <v>2</v>
      </c>
      <c r="T418" t="s">
        <v>44</v>
      </c>
      <c r="U418" t="s">
        <v>50</v>
      </c>
      <c r="V418">
        <v>0</v>
      </c>
      <c r="W418">
        <v>3</v>
      </c>
      <c r="X418" t="s">
        <v>36</v>
      </c>
      <c r="Y418" t="s">
        <v>60</v>
      </c>
      <c r="Z418" t="s">
        <v>39</v>
      </c>
      <c r="AA418" s="2">
        <v>45483</v>
      </c>
      <c r="AB418" t="b">
        <v>1</v>
      </c>
      <c r="AC418" t="b">
        <v>0</v>
      </c>
      <c r="AD418" t="s">
        <v>62</v>
      </c>
      <c r="AE418" t="s">
        <v>41</v>
      </c>
      <c r="AF418">
        <v>8</v>
      </c>
    </row>
    <row r="419" spans="1:32" x14ac:dyDescent="0.25">
      <c r="A419" t="s">
        <v>917</v>
      </c>
      <c r="B419">
        <v>417</v>
      </c>
      <c r="C419">
        <v>44</v>
      </c>
      <c r="D419" t="str">
        <f>IF(tbl_Original[[#This Row],[Gender2]]="Female","Female",IF(tbl_Original[[#This Row],[Gender2]]="Male","Male","Other"))</f>
        <v>Male</v>
      </c>
      <c r="E419" t="s">
        <v>43</v>
      </c>
      <c r="F419" t="s">
        <v>30</v>
      </c>
      <c r="G419" t="s">
        <v>55</v>
      </c>
      <c r="H419" t="s">
        <v>45</v>
      </c>
      <c r="I419" t="s">
        <v>30</v>
      </c>
      <c r="J419" t="str">
        <f>PROPER(TRIM(CLEAN(tbl_Original[[#This Row],[Column1]])))</f>
        <v>Cimara</v>
      </c>
      <c r="K419" t="s">
        <v>918</v>
      </c>
      <c r="L419" t="s">
        <v>918</v>
      </c>
      <c r="M419" t="s">
        <v>104</v>
      </c>
      <c r="N419" s="1">
        <v>492.51</v>
      </c>
      <c r="O419">
        <v>7</v>
      </c>
      <c r="P419" t="s">
        <v>78</v>
      </c>
      <c r="Q419">
        <v>1</v>
      </c>
      <c r="R419">
        <v>4</v>
      </c>
      <c r="S419">
        <v>1</v>
      </c>
      <c r="T419" t="s">
        <v>59</v>
      </c>
      <c r="U419" t="s">
        <v>50</v>
      </c>
      <c r="V419">
        <v>0</v>
      </c>
      <c r="W419">
        <v>2</v>
      </c>
      <c r="X419" t="s">
        <v>49</v>
      </c>
      <c r="Y419" t="s">
        <v>79</v>
      </c>
      <c r="Z419" t="s">
        <v>51</v>
      </c>
      <c r="AA419" s="2">
        <v>45321</v>
      </c>
      <c r="AB419" t="b">
        <v>1</v>
      </c>
      <c r="AC419" t="b">
        <v>1</v>
      </c>
      <c r="AD419" t="s">
        <v>52</v>
      </c>
      <c r="AE419" t="s">
        <v>53</v>
      </c>
      <c r="AF419">
        <v>4</v>
      </c>
    </row>
    <row r="420" spans="1:32" x14ac:dyDescent="0.25">
      <c r="A420" t="s">
        <v>919</v>
      </c>
      <c r="B420">
        <v>418</v>
      </c>
      <c r="C420">
        <v>37</v>
      </c>
      <c r="D420" t="str">
        <f>IF(tbl_Original[[#This Row],[Gender2]]="Female","Female",IF(tbl_Original[[#This Row],[Gender2]]="Male","Male","Other"))</f>
        <v>Other</v>
      </c>
      <c r="E420" t="s">
        <v>274</v>
      </c>
      <c r="F420" t="s">
        <v>44</v>
      </c>
      <c r="G420" t="s">
        <v>31</v>
      </c>
      <c r="H420" t="s">
        <v>32</v>
      </c>
      <c r="I420" t="s">
        <v>44</v>
      </c>
      <c r="J420" t="str">
        <f>PROPER(TRIM(CLEAN(tbl_Original[[#This Row],[Column1]])))</f>
        <v>Sanxing</v>
      </c>
      <c r="K420" t="s">
        <v>920</v>
      </c>
      <c r="L420" t="s">
        <v>920</v>
      </c>
      <c r="M420" t="s">
        <v>65</v>
      </c>
      <c r="N420" s="1">
        <v>411.4</v>
      </c>
      <c r="O420">
        <v>3</v>
      </c>
      <c r="P420" t="s">
        <v>48</v>
      </c>
      <c r="Q420">
        <v>1</v>
      </c>
      <c r="R420">
        <v>3</v>
      </c>
      <c r="S420">
        <v>0</v>
      </c>
      <c r="T420" t="s">
        <v>44</v>
      </c>
      <c r="U420" t="s">
        <v>37</v>
      </c>
      <c r="V420">
        <v>2</v>
      </c>
      <c r="W420">
        <v>9</v>
      </c>
      <c r="X420" t="s">
        <v>36</v>
      </c>
      <c r="Y420" t="s">
        <v>60</v>
      </c>
      <c r="Z420" t="s">
        <v>51</v>
      </c>
      <c r="AA420" s="2">
        <v>45516</v>
      </c>
      <c r="AB420" t="b">
        <v>1</v>
      </c>
      <c r="AC420" t="b">
        <v>0</v>
      </c>
      <c r="AD420" t="s">
        <v>62</v>
      </c>
      <c r="AE420" t="s">
        <v>53</v>
      </c>
      <c r="AF420">
        <v>6</v>
      </c>
    </row>
    <row r="421" spans="1:32" x14ac:dyDescent="0.25">
      <c r="A421" t="s">
        <v>921</v>
      </c>
      <c r="B421">
        <v>419</v>
      </c>
      <c r="C421">
        <v>36</v>
      </c>
      <c r="D421" t="str">
        <f>IF(tbl_Original[[#This Row],[Gender2]]="Female","Female",IF(tbl_Original[[#This Row],[Gender2]]="Male","Male","Other"))</f>
        <v>Male</v>
      </c>
      <c r="E421" t="s">
        <v>43</v>
      </c>
      <c r="F421" t="s">
        <v>30</v>
      </c>
      <c r="G421" t="s">
        <v>76</v>
      </c>
      <c r="H421" t="s">
        <v>56</v>
      </c>
      <c r="I421" t="s">
        <v>44</v>
      </c>
      <c r="J421" t="str">
        <f>PROPER(TRIM(CLEAN(tbl_Original[[#This Row],[Column1]])))</f>
        <v>Linao</v>
      </c>
      <c r="K421" t="s">
        <v>922</v>
      </c>
      <c r="L421" t="s">
        <v>922</v>
      </c>
      <c r="M421" t="s">
        <v>183</v>
      </c>
      <c r="N421" s="1">
        <v>96.52</v>
      </c>
      <c r="O421">
        <v>11</v>
      </c>
      <c r="P421" t="s">
        <v>48</v>
      </c>
      <c r="Q421">
        <v>5</v>
      </c>
      <c r="R421">
        <v>3</v>
      </c>
      <c r="S421">
        <v>2</v>
      </c>
      <c r="T421" t="s">
        <v>59</v>
      </c>
      <c r="U421" t="s">
        <v>50</v>
      </c>
      <c r="V421">
        <v>1</v>
      </c>
      <c r="W421">
        <v>3</v>
      </c>
      <c r="X421" t="s">
        <v>36</v>
      </c>
      <c r="Y421" t="s">
        <v>38</v>
      </c>
      <c r="Z421" t="s">
        <v>86</v>
      </c>
      <c r="AA421" s="2">
        <v>45368</v>
      </c>
      <c r="AB421" t="b">
        <v>0</v>
      </c>
      <c r="AC421" t="b">
        <v>0</v>
      </c>
      <c r="AD421" t="s">
        <v>74</v>
      </c>
      <c r="AE421" t="s">
        <v>53</v>
      </c>
      <c r="AF421">
        <v>11</v>
      </c>
    </row>
    <row r="422" spans="1:32" x14ac:dyDescent="0.25">
      <c r="A422" t="s">
        <v>923</v>
      </c>
      <c r="B422">
        <v>420</v>
      </c>
      <c r="C422">
        <v>34</v>
      </c>
      <c r="D422" t="str">
        <f>IF(tbl_Original[[#This Row],[Gender2]]="Female","Female",IF(tbl_Original[[#This Row],[Gender2]]="Male","Male","Other"))</f>
        <v>Male</v>
      </c>
      <c r="E422" t="s">
        <v>43</v>
      </c>
      <c r="F422" t="s">
        <v>44</v>
      </c>
      <c r="G422" t="s">
        <v>31</v>
      </c>
      <c r="H422" t="s">
        <v>45</v>
      </c>
      <c r="I422" t="s">
        <v>30</v>
      </c>
      <c r="J422" t="str">
        <f>PROPER(TRIM(CLEAN(tbl_Original[[#This Row],[Column1]])))</f>
        <v>Bairan</v>
      </c>
      <c r="K422" t="s">
        <v>924</v>
      </c>
      <c r="L422" t="s">
        <v>924</v>
      </c>
      <c r="M422" t="s">
        <v>93</v>
      </c>
      <c r="N422" s="1">
        <v>65.45</v>
      </c>
      <c r="O422">
        <v>6</v>
      </c>
      <c r="P422" t="s">
        <v>48</v>
      </c>
      <c r="Q422">
        <v>2</v>
      </c>
      <c r="R422">
        <v>4</v>
      </c>
      <c r="S422">
        <v>1</v>
      </c>
      <c r="T422" t="s">
        <v>44</v>
      </c>
      <c r="U422" t="s">
        <v>85</v>
      </c>
      <c r="V422">
        <v>0</v>
      </c>
      <c r="W422">
        <v>2</v>
      </c>
      <c r="X422" t="s">
        <v>49</v>
      </c>
      <c r="Y422" t="s">
        <v>60</v>
      </c>
      <c r="Z422" t="s">
        <v>39</v>
      </c>
      <c r="AA422" s="2">
        <v>45556</v>
      </c>
      <c r="AB422" t="b">
        <v>1</v>
      </c>
      <c r="AC422" t="b">
        <v>1</v>
      </c>
      <c r="AD422" t="s">
        <v>62</v>
      </c>
      <c r="AE422" t="s">
        <v>41</v>
      </c>
      <c r="AF422">
        <v>3</v>
      </c>
    </row>
    <row r="423" spans="1:32" x14ac:dyDescent="0.25">
      <c r="A423" t="s">
        <v>925</v>
      </c>
      <c r="B423">
        <v>421</v>
      </c>
      <c r="C423">
        <v>23</v>
      </c>
      <c r="D423" t="str">
        <f>IF(tbl_Original[[#This Row],[Gender2]]="Female","Female",IF(tbl_Original[[#This Row],[Gender2]]="Male","Male","Other"))</f>
        <v>Male</v>
      </c>
      <c r="E423" t="s">
        <v>43</v>
      </c>
      <c r="F423" t="s">
        <v>30</v>
      </c>
      <c r="G423" t="s">
        <v>55</v>
      </c>
      <c r="H423" t="s">
        <v>45</v>
      </c>
      <c r="I423" t="s">
        <v>30</v>
      </c>
      <c r="J423" t="str">
        <f>PROPER(TRIM(CLEAN(tbl_Original[[#This Row],[Column1]])))</f>
        <v>Abaetetuba</v>
      </c>
      <c r="K423" t="s">
        <v>926</v>
      </c>
      <c r="L423" t="s">
        <v>926</v>
      </c>
      <c r="M423" t="s">
        <v>104</v>
      </c>
      <c r="N423" s="1">
        <v>255.86</v>
      </c>
      <c r="O423">
        <v>3</v>
      </c>
      <c r="P423" t="s">
        <v>78</v>
      </c>
      <c r="Q423">
        <v>4</v>
      </c>
      <c r="R423">
        <v>5</v>
      </c>
      <c r="S423">
        <v>2</v>
      </c>
      <c r="T423" t="s">
        <v>44</v>
      </c>
      <c r="U423" t="s">
        <v>85</v>
      </c>
      <c r="V423">
        <v>0</v>
      </c>
      <c r="W423">
        <v>1</v>
      </c>
      <c r="X423" t="s">
        <v>59</v>
      </c>
      <c r="Y423" t="s">
        <v>38</v>
      </c>
      <c r="Z423" t="s">
        <v>51</v>
      </c>
      <c r="AA423" s="2">
        <v>45376</v>
      </c>
      <c r="AB423" t="b">
        <v>1</v>
      </c>
      <c r="AC423" t="b">
        <v>0</v>
      </c>
      <c r="AD423" t="s">
        <v>74</v>
      </c>
      <c r="AE423" t="s">
        <v>41</v>
      </c>
      <c r="AF423">
        <v>4</v>
      </c>
    </row>
    <row r="424" spans="1:32" x14ac:dyDescent="0.25">
      <c r="A424" t="s">
        <v>927</v>
      </c>
      <c r="B424">
        <v>422</v>
      </c>
      <c r="C424">
        <v>35</v>
      </c>
      <c r="D424" t="str">
        <f>IF(tbl_Original[[#This Row],[Gender2]]="Female","Female",IF(tbl_Original[[#This Row],[Gender2]]="Male","Male","Other"))</f>
        <v>Male</v>
      </c>
      <c r="E424" t="s">
        <v>43</v>
      </c>
      <c r="F424" t="s">
        <v>44</v>
      </c>
      <c r="G424" t="s">
        <v>76</v>
      </c>
      <c r="H424" t="s">
        <v>32</v>
      </c>
      <c r="I424" t="s">
        <v>44</v>
      </c>
      <c r="J424" t="str">
        <f>PROPER(TRIM(CLEAN(tbl_Original[[#This Row],[Column1]])))</f>
        <v>Pasirjaya</v>
      </c>
      <c r="K424" t="s">
        <v>928</v>
      </c>
      <c r="L424" t="s">
        <v>928</v>
      </c>
      <c r="M424" t="s">
        <v>71</v>
      </c>
      <c r="N424" s="1">
        <v>74.69</v>
      </c>
      <c r="O424">
        <v>10</v>
      </c>
      <c r="P424" t="s">
        <v>48</v>
      </c>
      <c r="Q424">
        <v>5</v>
      </c>
      <c r="R424">
        <v>3</v>
      </c>
      <c r="S424">
        <v>1</v>
      </c>
      <c r="T424" t="s">
        <v>59</v>
      </c>
      <c r="U424" t="s">
        <v>37</v>
      </c>
      <c r="V424">
        <v>0</v>
      </c>
      <c r="W424">
        <v>6</v>
      </c>
      <c r="X424" t="s">
        <v>49</v>
      </c>
      <c r="Y424" t="s">
        <v>79</v>
      </c>
      <c r="Z424" t="s">
        <v>51</v>
      </c>
      <c r="AA424" s="2">
        <v>45608</v>
      </c>
      <c r="AB424" t="b">
        <v>0</v>
      </c>
      <c r="AC424" t="b">
        <v>1</v>
      </c>
      <c r="AD424" t="s">
        <v>40</v>
      </c>
      <c r="AE424" t="s">
        <v>41</v>
      </c>
      <c r="AF424">
        <v>3</v>
      </c>
    </row>
    <row r="425" spans="1:32" x14ac:dyDescent="0.25">
      <c r="A425" t="s">
        <v>929</v>
      </c>
      <c r="B425">
        <v>423</v>
      </c>
      <c r="C425">
        <v>45</v>
      </c>
      <c r="D425" t="str">
        <f>IF(tbl_Original[[#This Row],[Gender2]]="Female","Female",IF(tbl_Original[[#This Row],[Gender2]]="Male","Male","Other"))</f>
        <v>Male</v>
      </c>
      <c r="E425" t="s">
        <v>43</v>
      </c>
      <c r="F425" t="s">
        <v>30</v>
      </c>
      <c r="G425" t="s">
        <v>69</v>
      </c>
      <c r="H425" t="s">
        <v>56</v>
      </c>
      <c r="I425" t="s">
        <v>30</v>
      </c>
      <c r="J425" t="str">
        <f>PROPER(TRIM(CLEAN(tbl_Original[[#This Row],[Column1]])))</f>
        <v>Acheng</v>
      </c>
      <c r="K425" t="s">
        <v>930</v>
      </c>
      <c r="L425" t="s">
        <v>930</v>
      </c>
      <c r="M425" t="s">
        <v>65</v>
      </c>
      <c r="N425" s="1">
        <v>430.75</v>
      </c>
      <c r="O425">
        <v>8</v>
      </c>
      <c r="P425" t="s">
        <v>35</v>
      </c>
      <c r="Q425">
        <v>3</v>
      </c>
      <c r="R425">
        <v>4</v>
      </c>
      <c r="S425">
        <v>2</v>
      </c>
      <c r="T425" t="s">
        <v>59</v>
      </c>
      <c r="U425" t="s">
        <v>85</v>
      </c>
      <c r="V425">
        <v>1</v>
      </c>
      <c r="W425">
        <v>5</v>
      </c>
      <c r="X425" t="s">
        <v>36</v>
      </c>
      <c r="Y425" t="s">
        <v>38</v>
      </c>
      <c r="Z425" t="s">
        <v>86</v>
      </c>
      <c r="AA425" s="2">
        <v>45388</v>
      </c>
      <c r="AB425" t="b">
        <v>0</v>
      </c>
      <c r="AC425" t="b">
        <v>0</v>
      </c>
      <c r="AD425" t="s">
        <v>40</v>
      </c>
      <c r="AE425" t="s">
        <v>41</v>
      </c>
      <c r="AF425">
        <v>6</v>
      </c>
    </row>
    <row r="426" spans="1:32" x14ac:dyDescent="0.25">
      <c r="A426" t="s">
        <v>931</v>
      </c>
      <c r="B426">
        <v>424</v>
      </c>
      <c r="C426">
        <v>38</v>
      </c>
      <c r="D426" t="str">
        <f>IF(tbl_Original[[#This Row],[Gender2]]="Female","Female",IF(tbl_Original[[#This Row],[Gender2]]="Male","Male","Other"))</f>
        <v>Male</v>
      </c>
      <c r="E426" t="s">
        <v>43</v>
      </c>
      <c r="F426" t="s">
        <v>44</v>
      </c>
      <c r="G426" t="s">
        <v>69</v>
      </c>
      <c r="H426" t="s">
        <v>56</v>
      </c>
      <c r="I426" t="s">
        <v>44</v>
      </c>
      <c r="J426" t="str">
        <f>PROPER(TRIM(CLEAN(tbl_Original[[#This Row],[Column1]])))</f>
        <v>Huakoulongtan</v>
      </c>
      <c r="K426" t="s">
        <v>932</v>
      </c>
      <c r="L426" t="s">
        <v>932</v>
      </c>
      <c r="M426" t="s">
        <v>120</v>
      </c>
      <c r="N426" s="1">
        <v>370.17</v>
      </c>
      <c r="O426">
        <v>2</v>
      </c>
      <c r="P426" t="s">
        <v>35</v>
      </c>
      <c r="Q426">
        <v>5</v>
      </c>
      <c r="R426">
        <v>4</v>
      </c>
      <c r="S426">
        <v>2</v>
      </c>
      <c r="T426" t="s">
        <v>49</v>
      </c>
      <c r="U426" t="s">
        <v>50</v>
      </c>
      <c r="V426">
        <v>1</v>
      </c>
      <c r="W426">
        <v>9</v>
      </c>
      <c r="X426" t="s">
        <v>59</v>
      </c>
      <c r="Y426" t="s">
        <v>38</v>
      </c>
      <c r="Z426" t="s">
        <v>86</v>
      </c>
      <c r="AA426" s="2">
        <v>45619</v>
      </c>
      <c r="AB426" t="b">
        <v>0</v>
      </c>
      <c r="AC426" t="b">
        <v>1</v>
      </c>
      <c r="AD426" t="s">
        <v>40</v>
      </c>
      <c r="AE426" t="s">
        <v>67</v>
      </c>
      <c r="AF426">
        <v>1</v>
      </c>
    </row>
    <row r="427" spans="1:32" x14ac:dyDescent="0.25">
      <c r="A427" t="s">
        <v>933</v>
      </c>
      <c r="B427">
        <v>425</v>
      </c>
      <c r="C427">
        <v>25</v>
      </c>
      <c r="D427" t="str">
        <f>IF(tbl_Original[[#This Row],[Gender2]]="Female","Female",IF(tbl_Original[[#This Row],[Gender2]]="Male","Male","Other"))</f>
        <v>Male</v>
      </c>
      <c r="E427" t="s">
        <v>43</v>
      </c>
      <c r="F427" t="s">
        <v>30</v>
      </c>
      <c r="G427" t="s">
        <v>76</v>
      </c>
      <c r="H427" t="s">
        <v>56</v>
      </c>
      <c r="I427" t="s">
        <v>44</v>
      </c>
      <c r="J427" t="str">
        <f>PROPER(TRIM(CLEAN(tbl_Original[[#This Row],[Column1]])))</f>
        <v>Burgastai</v>
      </c>
      <c r="K427" t="s">
        <v>934</v>
      </c>
      <c r="L427" t="s">
        <v>934</v>
      </c>
      <c r="M427" t="s">
        <v>117</v>
      </c>
      <c r="N427" s="1">
        <v>384.26</v>
      </c>
      <c r="O427">
        <v>6</v>
      </c>
      <c r="P427" t="s">
        <v>35</v>
      </c>
      <c r="Q427">
        <v>4</v>
      </c>
      <c r="R427">
        <v>2</v>
      </c>
      <c r="S427">
        <v>1</v>
      </c>
      <c r="T427" t="s">
        <v>44</v>
      </c>
      <c r="U427" t="s">
        <v>50</v>
      </c>
      <c r="V427">
        <v>0</v>
      </c>
      <c r="W427">
        <v>9</v>
      </c>
      <c r="X427" t="s">
        <v>49</v>
      </c>
      <c r="Y427" t="s">
        <v>60</v>
      </c>
      <c r="Z427" t="s">
        <v>51</v>
      </c>
      <c r="AA427" s="2">
        <v>45484</v>
      </c>
      <c r="AB427" t="b">
        <v>0</v>
      </c>
      <c r="AC427" t="b">
        <v>1</v>
      </c>
      <c r="AD427" t="s">
        <v>40</v>
      </c>
      <c r="AE427" t="s">
        <v>41</v>
      </c>
      <c r="AF427">
        <v>11</v>
      </c>
    </row>
    <row r="428" spans="1:32" x14ac:dyDescent="0.25">
      <c r="A428" t="s">
        <v>935</v>
      </c>
      <c r="B428">
        <v>426</v>
      </c>
      <c r="C428">
        <v>26</v>
      </c>
      <c r="D428" t="str">
        <f>IF(tbl_Original[[#This Row],[Gender2]]="Female","Female",IF(tbl_Original[[#This Row],[Gender2]]="Male","Male","Other"))</f>
        <v>Male</v>
      </c>
      <c r="E428" t="s">
        <v>43</v>
      </c>
      <c r="F428" t="s">
        <v>30</v>
      </c>
      <c r="G428" t="s">
        <v>31</v>
      </c>
      <c r="H428" t="s">
        <v>56</v>
      </c>
      <c r="I428" t="s">
        <v>30</v>
      </c>
      <c r="J428" t="str">
        <f>PROPER(TRIM(CLEAN(tbl_Original[[#This Row],[Column1]])))</f>
        <v>Chavarra</v>
      </c>
      <c r="K428" t="s">
        <v>2200</v>
      </c>
      <c r="L428" t="s">
        <v>936</v>
      </c>
      <c r="M428" t="s">
        <v>65</v>
      </c>
      <c r="N428" s="1">
        <v>128.01</v>
      </c>
      <c r="O428">
        <v>2</v>
      </c>
      <c r="P428" t="s">
        <v>35</v>
      </c>
      <c r="Q428">
        <v>4</v>
      </c>
      <c r="R428">
        <v>2</v>
      </c>
      <c r="S428">
        <v>1</v>
      </c>
      <c r="T428" t="s">
        <v>49</v>
      </c>
      <c r="U428" t="s">
        <v>37</v>
      </c>
      <c r="V428">
        <v>0</v>
      </c>
      <c r="W428">
        <v>1</v>
      </c>
      <c r="X428" t="s">
        <v>44</v>
      </c>
      <c r="Y428" t="s">
        <v>60</v>
      </c>
      <c r="Z428" t="s">
        <v>61</v>
      </c>
      <c r="AA428" s="2">
        <v>45399</v>
      </c>
      <c r="AB428" t="b">
        <v>1</v>
      </c>
      <c r="AC428" t="b">
        <v>0</v>
      </c>
      <c r="AD428" t="s">
        <v>40</v>
      </c>
      <c r="AE428" t="s">
        <v>41</v>
      </c>
      <c r="AF428">
        <v>10</v>
      </c>
    </row>
    <row r="429" spans="1:32" x14ac:dyDescent="0.25">
      <c r="A429" t="s">
        <v>937</v>
      </c>
      <c r="B429">
        <v>427</v>
      </c>
      <c r="C429">
        <v>46</v>
      </c>
      <c r="D429" t="str">
        <f>IF(tbl_Original[[#This Row],[Gender2]]="Female","Female",IF(tbl_Original[[#This Row],[Gender2]]="Male","Male","Other"))</f>
        <v>Female</v>
      </c>
      <c r="E429" t="s">
        <v>29</v>
      </c>
      <c r="F429" t="s">
        <v>44</v>
      </c>
      <c r="G429" t="s">
        <v>31</v>
      </c>
      <c r="H429" t="s">
        <v>45</v>
      </c>
      <c r="I429" t="s">
        <v>44</v>
      </c>
      <c r="J429" t="str">
        <f>PROPER(TRIM(CLEAN(tbl_Original[[#This Row],[Column1]])))</f>
        <v>Demuk</v>
      </c>
      <c r="K429" t="s">
        <v>938</v>
      </c>
      <c r="L429" t="s">
        <v>938</v>
      </c>
      <c r="M429" t="s">
        <v>98</v>
      </c>
      <c r="N429" s="1">
        <v>301.39999999999998</v>
      </c>
      <c r="O429">
        <v>4</v>
      </c>
      <c r="P429" t="s">
        <v>78</v>
      </c>
      <c r="Q429">
        <v>5</v>
      </c>
      <c r="R429">
        <v>3</v>
      </c>
      <c r="S429">
        <v>0</v>
      </c>
      <c r="T429" t="s">
        <v>49</v>
      </c>
      <c r="U429" t="s">
        <v>37</v>
      </c>
      <c r="V429">
        <v>0</v>
      </c>
      <c r="W429">
        <v>5</v>
      </c>
      <c r="X429" t="s">
        <v>36</v>
      </c>
      <c r="Y429" t="s">
        <v>79</v>
      </c>
      <c r="Z429" t="s">
        <v>61</v>
      </c>
      <c r="AA429" s="2">
        <v>45549</v>
      </c>
      <c r="AB429" t="b">
        <v>0</v>
      </c>
      <c r="AC429" t="b">
        <v>1</v>
      </c>
      <c r="AD429" t="s">
        <v>74</v>
      </c>
      <c r="AE429" t="s">
        <v>53</v>
      </c>
      <c r="AF429">
        <v>5</v>
      </c>
    </row>
    <row r="430" spans="1:32" x14ac:dyDescent="0.25">
      <c r="A430" t="s">
        <v>939</v>
      </c>
      <c r="B430">
        <v>428</v>
      </c>
      <c r="C430">
        <v>18</v>
      </c>
      <c r="D430" t="str">
        <f>IF(tbl_Original[[#This Row],[Gender2]]="Female","Female",IF(tbl_Original[[#This Row],[Gender2]]="Male","Male","Other"))</f>
        <v>Female</v>
      </c>
      <c r="E430" t="s">
        <v>29</v>
      </c>
      <c r="F430" t="s">
        <v>44</v>
      </c>
      <c r="G430" t="s">
        <v>55</v>
      </c>
      <c r="H430" t="s">
        <v>45</v>
      </c>
      <c r="I430" t="s">
        <v>44</v>
      </c>
      <c r="J430" t="str">
        <f>PROPER(TRIM(CLEAN(tbl_Original[[#This Row],[Column1]])))</f>
        <v>Sertolovo</v>
      </c>
      <c r="K430" t="s">
        <v>940</v>
      </c>
      <c r="L430" t="s">
        <v>940</v>
      </c>
      <c r="M430" t="s">
        <v>142</v>
      </c>
      <c r="N430" s="1">
        <v>397.25</v>
      </c>
      <c r="O430">
        <v>6</v>
      </c>
      <c r="P430" t="s">
        <v>35</v>
      </c>
      <c r="Q430">
        <v>5</v>
      </c>
      <c r="R430">
        <v>2</v>
      </c>
      <c r="S430">
        <v>1</v>
      </c>
      <c r="T430" t="s">
        <v>59</v>
      </c>
      <c r="U430" t="s">
        <v>50</v>
      </c>
      <c r="V430">
        <v>1</v>
      </c>
      <c r="W430">
        <v>10</v>
      </c>
      <c r="X430" t="s">
        <v>36</v>
      </c>
      <c r="Y430" t="s">
        <v>79</v>
      </c>
      <c r="Z430" t="s">
        <v>86</v>
      </c>
      <c r="AA430" s="2">
        <v>45512</v>
      </c>
      <c r="AB430" t="b">
        <v>0</v>
      </c>
      <c r="AC430" t="b">
        <v>1</v>
      </c>
      <c r="AD430" t="s">
        <v>52</v>
      </c>
      <c r="AE430" t="s">
        <v>41</v>
      </c>
      <c r="AF430">
        <v>2</v>
      </c>
    </row>
    <row r="431" spans="1:32" x14ac:dyDescent="0.25">
      <c r="A431" t="s">
        <v>941</v>
      </c>
      <c r="B431">
        <v>429</v>
      </c>
      <c r="C431">
        <v>46</v>
      </c>
      <c r="D431" t="str">
        <f>IF(tbl_Original[[#This Row],[Gender2]]="Female","Female",IF(tbl_Original[[#This Row],[Gender2]]="Male","Male","Other"))</f>
        <v>Male</v>
      </c>
      <c r="E431" t="s">
        <v>43</v>
      </c>
      <c r="F431" t="s">
        <v>30</v>
      </c>
      <c r="G431" t="s">
        <v>76</v>
      </c>
      <c r="H431" t="s">
        <v>45</v>
      </c>
      <c r="I431" t="s">
        <v>30</v>
      </c>
      <c r="J431" t="str">
        <f>PROPER(TRIM(CLEAN(tbl_Original[[#This Row],[Column1]])))</f>
        <v>Jixian</v>
      </c>
      <c r="K431" t="s">
        <v>942</v>
      </c>
      <c r="L431" t="s">
        <v>942</v>
      </c>
      <c r="M431" t="s">
        <v>34</v>
      </c>
      <c r="N431" s="1">
        <v>96.18</v>
      </c>
      <c r="O431">
        <v>3</v>
      </c>
      <c r="P431" t="s">
        <v>35</v>
      </c>
      <c r="Q431">
        <v>3</v>
      </c>
      <c r="R431">
        <v>4</v>
      </c>
      <c r="S431">
        <v>0</v>
      </c>
      <c r="T431" t="s">
        <v>36</v>
      </c>
      <c r="U431" t="s">
        <v>37</v>
      </c>
      <c r="V431">
        <v>1</v>
      </c>
      <c r="W431">
        <v>9</v>
      </c>
      <c r="X431" t="s">
        <v>49</v>
      </c>
      <c r="Y431" t="s">
        <v>60</v>
      </c>
      <c r="Z431" t="s">
        <v>86</v>
      </c>
      <c r="AA431" s="2">
        <v>45417</v>
      </c>
      <c r="AB431" t="b">
        <v>0</v>
      </c>
      <c r="AC431" t="b">
        <v>0</v>
      </c>
      <c r="AD431" t="s">
        <v>74</v>
      </c>
      <c r="AE431" t="s">
        <v>67</v>
      </c>
      <c r="AF431">
        <v>10</v>
      </c>
    </row>
    <row r="432" spans="1:32" x14ac:dyDescent="0.25">
      <c r="A432" t="s">
        <v>943</v>
      </c>
      <c r="B432">
        <v>430</v>
      </c>
      <c r="C432">
        <v>19</v>
      </c>
      <c r="D432" t="str">
        <f>IF(tbl_Original[[#This Row],[Gender2]]="Female","Female",IF(tbl_Original[[#This Row],[Gender2]]="Male","Male","Other"))</f>
        <v>Female</v>
      </c>
      <c r="E432" t="s">
        <v>29</v>
      </c>
      <c r="F432" t="s">
        <v>44</v>
      </c>
      <c r="G432" t="s">
        <v>76</v>
      </c>
      <c r="H432" t="s">
        <v>32</v>
      </c>
      <c r="I432" t="s">
        <v>44</v>
      </c>
      <c r="J432" t="str">
        <f>PROPER(TRIM(CLEAN(tbl_Original[[#This Row],[Column1]])))</f>
        <v>Deqing</v>
      </c>
      <c r="K432" t="s">
        <v>944</v>
      </c>
      <c r="L432" t="s">
        <v>944</v>
      </c>
      <c r="M432" t="s">
        <v>123</v>
      </c>
      <c r="N432" s="1">
        <v>390.44</v>
      </c>
      <c r="O432">
        <v>4</v>
      </c>
      <c r="P432" t="s">
        <v>35</v>
      </c>
      <c r="Q432">
        <v>5</v>
      </c>
      <c r="R432">
        <v>1</v>
      </c>
      <c r="S432">
        <v>0</v>
      </c>
      <c r="T432" t="s">
        <v>49</v>
      </c>
      <c r="U432" t="s">
        <v>85</v>
      </c>
      <c r="V432">
        <v>0</v>
      </c>
      <c r="W432">
        <v>4</v>
      </c>
      <c r="X432" t="s">
        <v>44</v>
      </c>
      <c r="Y432" t="s">
        <v>79</v>
      </c>
      <c r="Z432" t="s">
        <v>66</v>
      </c>
      <c r="AA432" s="2">
        <v>45337</v>
      </c>
      <c r="AB432" t="b">
        <v>1</v>
      </c>
      <c r="AC432" t="b">
        <v>0</v>
      </c>
      <c r="AD432" t="s">
        <v>40</v>
      </c>
      <c r="AE432" t="s">
        <v>53</v>
      </c>
      <c r="AF432">
        <v>4</v>
      </c>
    </row>
    <row r="433" spans="1:32" x14ac:dyDescent="0.25">
      <c r="A433" t="s">
        <v>945</v>
      </c>
      <c r="B433">
        <v>431</v>
      </c>
      <c r="C433">
        <v>37</v>
      </c>
      <c r="D433" t="str">
        <f>IF(tbl_Original[[#This Row],[Gender2]]="Female","Female",IF(tbl_Original[[#This Row],[Gender2]]="Male","Male","Other"))</f>
        <v>Female</v>
      </c>
      <c r="E433" t="s">
        <v>29</v>
      </c>
      <c r="F433" t="s">
        <v>30</v>
      </c>
      <c r="G433" t="s">
        <v>55</v>
      </c>
      <c r="H433" t="s">
        <v>32</v>
      </c>
      <c r="I433" t="s">
        <v>30</v>
      </c>
      <c r="J433" t="str">
        <f>PROPER(TRIM(CLEAN(tbl_Original[[#This Row],[Column1]])))</f>
        <v>Sala</v>
      </c>
      <c r="K433" t="s">
        <v>946</v>
      </c>
      <c r="L433" t="s">
        <v>946</v>
      </c>
      <c r="M433" t="s">
        <v>104</v>
      </c>
      <c r="N433" s="1">
        <v>61.5</v>
      </c>
      <c r="O433">
        <v>11</v>
      </c>
      <c r="P433" t="s">
        <v>35</v>
      </c>
      <c r="Q433">
        <v>4</v>
      </c>
      <c r="R433">
        <v>2</v>
      </c>
      <c r="S433">
        <v>0</v>
      </c>
      <c r="T433" t="s">
        <v>49</v>
      </c>
      <c r="U433" t="s">
        <v>85</v>
      </c>
      <c r="V433">
        <v>0</v>
      </c>
      <c r="W433">
        <v>1</v>
      </c>
      <c r="X433" t="s">
        <v>44</v>
      </c>
      <c r="Y433" t="s">
        <v>60</v>
      </c>
      <c r="Z433" t="s">
        <v>66</v>
      </c>
      <c r="AA433" s="2">
        <v>45317</v>
      </c>
      <c r="AB433" t="b">
        <v>1</v>
      </c>
      <c r="AC433" t="b">
        <v>1</v>
      </c>
      <c r="AD433" t="s">
        <v>74</v>
      </c>
      <c r="AE433" t="s">
        <v>67</v>
      </c>
      <c r="AF433">
        <v>8</v>
      </c>
    </row>
    <row r="434" spans="1:32" x14ac:dyDescent="0.25">
      <c r="A434" t="s">
        <v>947</v>
      </c>
      <c r="B434">
        <v>432</v>
      </c>
      <c r="C434">
        <v>35</v>
      </c>
      <c r="D434" t="str">
        <f>IF(tbl_Original[[#This Row],[Gender2]]="Female","Female",IF(tbl_Original[[#This Row],[Gender2]]="Male","Male","Other"))</f>
        <v>Female</v>
      </c>
      <c r="E434" t="s">
        <v>29</v>
      </c>
      <c r="F434" t="s">
        <v>30</v>
      </c>
      <c r="G434" t="s">
        <v>76</v>
      </c>
      <c r="H434" t="s">
        <v>45</v>
      </c>
      <c r="I434" t="s">
        <v>44</v>
      </c>
      <c r="J434" t="str">
        <f>PROPER(TRIM(CLEAN(tbl_Original[[#This Row],[Column1]])))</f>
        <v>Dutw</v>
      </c>
      <c r="K434" t="s">
        <v>2201</v>
      </c>
      <c r="L434" t="s">
        <v>948</v>
      </c>
      <c r="M434" t="s">
        <v>58</v>
      </c>
      <c r="N434" s="1">
        <v>234.44</v>
      </c>
      <c r="O434">
        <v>6</v>
      </c>
      <c r="P434" t="s">
        <v>48</v>
      </c>
      <c r="Q434">
        <v>3</v>
      </c>
      <c r="R434">
        <v>5</v>
      </c>
      <c r="S434">
        <v>2</v>
      </c>
      <c r="T434" t="s">
        <v>49</v>
      </c>
      <c r="U434" t="s">
        <v>85</v>
      </c>
      <c r="V434">
        <v>0</v>
      </c>
      <c r="W434">
        <v>1</v>
      </c>
      <c r="X434" t="s">
        <v>44</v>
      </c>
      <c r="Y434" t="s">
        <v>79</v>
      </c>
      <c r="Z434" t="s">
        <v>66</v>
      </c>
      <c r="AA434" s="2">
        <v>45435</v>
      </c>
      <c r="AB434" t="b">
        <v>0</v>
      </c>
      <c r="AC434" t="b">
        <v>1</v>
      </c>
      <c r="AD434" t="s">
        <v>62</v>
      </c>
      <c r="AE434" t="s">
        <v>67</v>
      </c>
      <c r="AF434">
        <v>5</v>
      </c>
    </row>
    <row r="435" spans="1:32" x14ac:dyDescent="0.25">
      <c r="A435" t="s">
        <v>949</v>
      </c>
      <c r="B435">
        <v>433</v>
      </c>
      <c r="C435">
        <v>43</v>
      </c>
      <c r="D435" t="str">
        <f>IF(tbl_Original[[#This Row],[Gender2]]="Female","Female",IF(tbl_Original[[#This Row],[Gender2]]="Male","Male","Other"))</f>
        <v>Male</v>
      </c>
      <c r="E435" t="s">
        <v>43</v>
      </c>
      <c r="F435" t="s">
        <v>30</v>
      </c>
      <c r="G435" t="s">
        <v>55</v>
      </c>
      <c r="H435" t="s">
        <v>56</v>
      </c>
      <c r="I435" t="s">
        <v>30</v>
      </c>
      <c r="J435" t="str">
        <f>PROPER(TRIM(CLEAN(tbl_Original[[#This Row],[Column1]])))</f>
        <v>Regimin</v>
      </c>
      <c r="K435" t="s">
        <v>950</v>
      </c>
      <c r="L435" t="s">
        <v>950</v>
      </c>
      <c r="M435" t="s">
        <v>126</v>
      </c>
      <c r="N435" s="1">
        <v>318.83999999999997</v>
      </c>
      <c r="O435">
        <v>6</v>
      </c>
      <c r="P435" t="s">
        <v>78</v>
      </c>
      <c r="Q435">
        <v>1</v>
      </c>
      <c r="R435">
        <v>1</v>
      </c>
      <c r="S435">
        <v>2</v>
      </c>
      <c r="T435" t="s">
        <v>59</v>
      </c>
      <c r="U435" t="s">
        <v>85</v>
      </c>
      <c r="V435">
        <v>0</v>
      </c>
      <c r="W435">
        <v>4</v>
      </c>
      <c r="X435" t="s">
        <v>44</v>
      </c>
      <c r="Y435" t="s">
        <v>38</v>
      </c>
      <c r="Z435" t="s">
        <v>66</v>
      </c>
      <c r="AA435" s="2">
        <v>45402</v>
      </c>
      <c r="AB435" t="b">
        <v>0</v>
      </c>
      <c r="AC435" t="b">
        <v>1</v>
      </c>
      <c r="AD435" t="s">
        <v>52</v>
      </c>
      <c r="AE435" t="s">
        <v>53</v>
      </c>
      <c r="AF435">
        <v>10</v>
      </c>
    </row>
    <row r="436" spans="1:32" x14ac:dyDescent="0.25">
      <c r="A436" t="s">
        <v>951</v>
      </c>
      <c r="B436">
        <v>434</v>
      </c>
      <c r="C436">
        <v>28</v>
      </c>
      <c r="D436" t="str">
        <f>IF(tbl_Original[[#This Row],[Gender2]]="Female","Female",IF(tbl_Original[[#This Row],[Gender2]]="Male","Male","Other"))</f>
        <v>Male</v>
      </c>
      <c r="E436" t="s">
        <v>43</v>
      </c>
      <c r="F436" t="s">
        <v>30</v>
      </c>
      <c r="G436" t="s">
        <v>55</v>
      </c>
      <c r="H436" t="s">
        <v>56</v>
      </c>
      <c r="I436" t="s">
        <v>44</v>
      </c>
      <c r="J436" t="str">
        <f>PROPER(TRIM(CLEAN(tbl_Original[[#This Row],[Column1]])))</f>
        <v>Semiletka</v>
      </c>
      <c r="K436" t="s">
        <v>952</v>
      </c>
      <c r="L436" t="s">
        <v>952</v>
      </c>
      <c r="M436" t="s">
        <v>126</v>
      </c>
      <c r="N436" s="1">
        <v>327.32</v>
      </c>
      <c r="O436">
        <v>6</v>
      </c>
      <c r="P436" t="s">
        <v>35</v>
      </c>
      <c r="Q436">
        <v>4</v>
      </c>
      <c r="R436">
        <v>5</v>
      </c>
      <c r="S436">
        <v>0</v>
      </c>
      <c r="T436" t="s">
        <v>36</v>
      </c>
      <c r="U436" t="s">
        <v>37</v>
      </c>
      <c r="V436">
        <v>0</v>
      </c>
      <c r="W436">
        <v>4</v>
      </c>
      <c r="X436" t="s">
        <v>44</v>
      </c>
      <c r="Y436" t="s">
        <v>38</v>
      </c>
      <c r="Z436" t="s">
        <v>66</v>
      </c>
      <c r="AA436" s="2">
        <v>45452</v>
      </c>
      <c r="AB436" t="b">
        <v>1</v>
      </c>
      <c r="AC436" t="b">
        <v>1</v>
      </c>
      <c r="AD436" t="s">
        <v>62</v>
      </c>
      <c r="AE436" t="s">
        <v>67</v>
      </c>
      <c r="AF436">
        <v>13</v>
      </c>
    </row>
    <row r="437" spans="1:32" x14ac:dyDescent="0.25">
      <c r="A437" t="s">
        <v>953</v>
      </c>
      <c r="B437">
        <v>435</v>
      </c>
      <c r="C437">
        <v>25</v>
      </c>
      <c r="D437" t="str">
        <f>IF(tbl_Original[[#This Row],[Gender2]]="Female","Female",IF(tbl_Original[[#This Row],[Gender2]]="Male","Male","Other"))</f>
        <v>Male</v>
      </c>
      <c r="E437" t="s">
        <v>43</v>
      </c>
      <c r="F437" t="s">
        <v>30</v>
      </c>
      <c r="G437" t="s">
        <v>76</v>
      </c>
      <c r="H437" t="s">
        <v>56</v>
      </c>
      <c r="I437" t="s">
        <v>44</v>
      </c>
      <c r="J437" t="str">
        <f>PROPER(TRIM(CLEAN(tbl_Original[[#This Row],[Column1]])))</f>
        <v>Dayr Sharaf</v>
      </c>
      <c r="K437" t="s">
        <v>954</v>
      </c>
      <c r="L437" t="s">
        <v>954</v>
      </c>
      <c r="M437" t="s">
        <v>82</v>
      </c>
      <c r="N437" s="1">
        <v>475.64</v>
      </c>
      <c r="O437">
        <v>3</v>
      </c>
      <c r="P437" t="s">
        <v>78</v>
      </c>
      <c r="Q437">
        <v>3</v>
      </c>
      <c r="R437">
        <v>4</v>
      </c>
      <c r="S437">
        <v>1</v>
      </c>
      <c r="T437" t="s">
        <v>59</v>
      </c>
      <c r="U437" t="s">
        <v>85</v>
      </c>
      <c r="V437">
        <v>1</v>
      </c>
      <c r="W437">
        <v>2</v>
      </c>
      <c r="X437" t="s">
        <v>49</v>
      </c>
      <c r="Y437" t="s">
        <v>60</v>
      </c>
      <c r="Z437" t="s">
        <v>51</v>
      </c>
      <c r="AA437" s="2">
        <v>45337</v>
      </c>
      <c r="AB437" t="b">
        <v>1</v>
      </c>
      <c r="AC437" t="b">
        <v>1</v>
      </c>
      <c r="AD437" t="s">
        <v>74</v>
      </c>
      <c r="AE437" t="s">
        <v>53</v>
      </c>
      <c r="AF437">
        <v>9</v>
      </c>
    </row>
    <row r="438" spans="1:32" x14ac:dyDescent="0.25">
      <c r="A438" t="s">
        <v>955</v>
      </c>
      <c r="B438">
        <v>436</v>
      </c>
      <c r="C438">
        <v>47</v>
      </c>
      <c r="D438" t="str">
        <f>IF(tbl_Original[[#This Row],[Gender2]]="Female","Female",IF(tbl_Original[[#This Row],[Gender2]]="Male","Male","Other"))</f>
        <v>Male</v>
      </c>
      <c r="E438" t="s">
        <v>43</v>
      </c>
      <c r="F438" t="s">
        <v>44</v>
      </c>
      <c r="G438" t="s">
        <v>69</v>
      </c>
      <c r="H438" t="s">
        <v>56</v>
      </c>
      <c r="I438" t="s">
        <v>30</v>
      </c>
      <c r="J438" t="str">
        <f>PROPER(TRIM(CLEAN(tbl_Original[[#This Row],[Column1]])))</f>
        <v>Adani</v>
      </c>
      <c r="K438" t="s">
        <v>956</v>
      </c>
      <c r="L438" t="s">
        <v>956</v>
      </c>
      <c r="M438" t="s">
        <v>107</v>
      </c>
      <c r="N438" s="1">
        <v>68.59</v>
      </c>
      <c r="O438">
        <v>9</v>
      </c>
      <c r="P438" t="s">
        <v>35</v>
      </c>
      <c r="Q438">
        <v>3</v>
      </c>
      <c r="R438">
        <v>4</v>
      </c>
      <c r="S438">
        <v>0</v>
      </c>
      <c r="T438" t="s">
        <v>49</v>
      </c>
      <c r="U438" t="s">
        <v>37</v>
      </c>
      <c r="V438">
        <v>2</v>
      </c>
      <c r="W438">
        <v>5</v>
      </c>
      <c r="X438" t="s">
        <v>36</v>
      </c>
      <c r="Y438" t="s">
        <v>60</v>
      </c>
      <c r="Z438" t="s">
        <v>51</v>
      </c>
      <c r="AA438" s="2">
        <v>45400</v>
      </c>
      <c r="AB438" t="b">
        <v>0</v>
      </c>
      <c r="AC438" t="b">
        <v>1</v>
      </c>
      <c r="AD438" t="s">
        <v>52</v>
      </c>
      <c r="AE438" t="s">
        <v>53</v>
      </c>
      <c r="AF438">
        <v>5</v>
      </c>
    </row>
    <row r="439" spans="1:32" x14ac:dyDescent="0.25">
      <c r="A439" t="s">
        <v>957</v>
      </c>
      <c r="B439">
        <v>437</v>
      </c>
      <c r="C439">
        <v>45</v>
      </c>
      <c r="D439" t="str">
        <f>IF(tbl_Original[[#This Row],[Gender2]]="Female","Female",IF(tbl_Original[[#This Row],[Gender2]]="Male","Male","Other"))</f>
        <v>Other</v>
      </c>
      <c r="E439" t="s">
        <v>212</v>
      </c>
      <c r="F439" t="s">
        <v>30</v>
      </c>
      <c r="G439" t="s">
        <v>76</v>
      </c>
      <c r="H439" t="s">
        <v>32</v>
      </c>
      <c r="I439" t="s">
        <v>30</v>
      </c>
      <c r="J439" t="str">
        <f>PROPER(TRIM(CLEAN(tbl_Original[[#This Row],[Column1]])))</f>
        <v>Rakhiv</v>
      </c>
      <c r="K439" t="s">
        <v>958</v>
      </c>
      <c r="L439" t="s">
        <v>958</v>
      </c>
      <c r="M439" t="s">
        <v>104</v>
      </c>
      <c r="N439" s="1">
        <v>133.04</v>
      </c>
      <c r="O439">
        <v>12</v>
      </c>
      <c r="P439" t="s">
        <v>78</v>
      </c>
      <c r="Q439">
        <v>1</v>
      </c>
      <c r="R439">
        <v>3</v>
      </c>
      <c r="S439">
        <v>2</v>
      </c>
      <c r="T439" t="s">
        <v>44</v>
      </c>
      <c r="U439" t="s">
        <v>50</v>
      </c>
      <c r="V439">
        <v>2</v>
      </c>
      <c r="W439">
        <v>6</v>
      </c>
      <c r="X439" t="s">
        <v>36</v>
      </c>
      <c r="Y439" t="s">
        <v>79</v>
      </c>
      <c r="Z439" t="s">
        <v>86</v>
      </c>
      <c r="AA439" s="2">
        <v>45480</v>
      </c>
      <c r="AB439" t="b">
        <v>1</v>
      </c>
      <c r="AC439" t="b">
        <v>1</v>
      </c>
      <c r="AD439" t="s">
        <v>62</v>
      </c>
      <c r="AE439" t="s">
        <v>53</v>
      </c>
      <c r="AF439">
        <v>11</v>
      </c>
    </row>
    <row r="440" spans="1:32" x14ac:dyDescent="0.25">
      <c r="A440" t="s">
        <v>959</v>
      </c>
      <c r="B440">
        <v>438</v>
      </c>
      <c r="C440">
        <v>24</v>
      </c>
      <c r="D440" t="str">
        <f>IF(tbl_Original[[#This Row],[Gender2]]="Female","Female",IF(tbl_Original[[#This Row],[Gender2]]="Male","Male","Other"))</f>
        <v>Other</v>
      </c>
      <c r="E440" t="s">
        <v>190</v>
      </c>
      <c r="F440" t="s">
        <v>44</v>
      </c>
      <c r="G440" t="s">
        <v>31</v>
      </c>
      <c r="H440" t="s">
        <v>45</v>
      </c>
      <c r="I440" t="s">
        <v>30</v>
      </c>
      <c r="J440" t="str">
        <f>PROPER(TRIM(CLEAN(tbl_Original[[#This Row],[Column1]])))</f>
        <v>Ma'An</v>
      </c>
      <c r="K440" t="s">
        <v>960</v>
      </c>
      <c r="L440" t="s">
        <v>960</v>
      </c>
      <c r="M440" t="s">
        <v>98</v>
      </c>
      <c r="N440" s="1">
        <v>196.63</v>
      </c>
      <c r="O440">
        <v>9</v>
      </c>
      <c r="P440" t="s">
        <v>78</v>
      </c>
      <c r="Q440">
        <v>4</v>
      </c>
      <c r="R440">
        <v>2</v>
      </c>
      <c r="S440">
        <v>2</v>
      </c>
      <c r="T440" t="s">
        <v>49</v>
      </c>
      <c r="U440" t="s">
        <v>37</v>
      </c>
      <c r="V440">
        <v>1</v>
      </c>
      <c r="W440">
        <v>6</v>
      </c>
      <c r="X440" t="s">
        <v>59</v>
      </c>
      <c r="Y440" t="s">
        <v>38</v>
      </c>
      <c r="Z440" t="s">
        <v>66</v>
      </c>
      <c r="AA440" s="2">
        <v>45641</v>
      </c>
      <c r="AB440" t="b">
        <v>1</v>
      </c>
      <c r="AC440" t="b">
        <v>0</v>
      </c>
      <c r="AD440" t="s">
        <v>40</v>
      </c>
      <c r="AE440" t="s">
        <v>41</v>
      </c>
      <c r="AF440">
        <v>7</v>
      </c>
    </row>
    <row r="441" spans="1:32" x14ac:dyDescent="0.25">
      <c r="A441" t="s">
        <v>961</v>
      </c>
      <c r="B441">
        <v>439</v>
      </c>
      <c r="C441">
        <v>30</v>
      </c>
      <c r="D441" t="str">
        <f>IF(tbl_Original[[#This Row],[Gender2]]="Female","Female",IF(tbl_Original[[#This Row],[Gender2]]="Male","Male","Other"))</f>
        <v>Male</v>
      </c>
      <c r="E441" t="s">
        <v>43</v>
      </c>
      <c r="F441" t="s">
        <v>30</v>
      </c>
      <c r="G441" t="s">
        <v>76</v>
      </c>
      <c r="H441" t="s">
        <v>32</v>
      </c>
      <c r="I441" t="s">
        <v>44</v>
      </c>
      <c r="J441" t="str">
        <f>PROPER(TRIM(CLEAN(tbl_Original[[#This Row],[Column1]])))</f>
        <v>Navoiy</v>
      </c>
      <c r="K441" t="s">
        <v>962</v>
      </c>
      <c r="L441" t="s">
        <v>962</v>
      </c>
      <c r="M441" t="s">
        <v>65</v>
      </c>
      <c r="N441" s="1">
        <v>473.96</v>
      </c>
      <c r="O441">
        <v>12</v>
      </c>
      <c r="P441" t="s">
        <v>48</v>
      </c>
      <c r="Q441">
        <v>2</v>
      </c>
      <c r="R441">
        <v>1</v>
      </c>
      <c r="S441">
        <v>1</v>
      </c>
      <c r="T441" t="s">
        <v>49</v>
      </c>
      <c r="U441" t="s">
        <v>37</v>
      </c>
      <c r="V441">
        <v>2</v>
      </c>
      <c r="W441">
        <v>9</v>
      </c>
      <c r="X441" t="s">
        <v>36</v>
      </c>
      <c r="Y441" t="s">
        <v>38</v>
      </c>
      <c r="Z441" t="s">
        <v>51</v>
      </c>
      <c r="AA441" s="2">
        <v>45501</v>
      </c>
      <c r="AB441" t="b">
        <v>1</v>
      </c>
      <c r="AC441" t="b">
        <v>0</v>
      </c>
      <c r="AD441" t="s">
        <v>62</v>
      </c>
      <c r="AE441" t="s">
        <v>67</v>
      </c>
      <c r="AF441">
        <v>14</v>
      </c>
    </row>
    <row r="442" spans="1:32" x14ac:dyDescent="0.25">
      <c r="A442" t="s">
        <v>963</v>
      </c>
      <c r="B442">
        <v>440</v>
      </c>
      <c r="C442">
        <v>24</v>
      </c>
      <c r="D442" t="str">
        <f>IF(tbl_Original[[#This Row],[Gender2]]="Female","Female",IF(tbl_Original[[#This Row],[Gender2]]="Male","Male","Other"))</f>
        <v>Female</v>
      </c>
      <c r="E442" t="s">
        <v>29</v>
      </c>
      <c r="F442" t="s">
        <v>44</v>
      </c>
      <c r="G442" t="s">
        <v>31</v>
      </c>
      <c r="H442" t="s">
        <v>45</v>
      </c>
      <c r="I442" t="s">
        <v>30</v>
      </c>
      <c r="J442" t="str">
        <f>PROPER(TRIM(CLEAN(tbl_Original[[#This Row],[Column1]])))</f>
        <v>Sishilichengzi</v>
      </c>
      <c r="K442" t="s">
        <v>964</v>
      </c>
      <c r="L442" t="s">
        <v>964</v>
      </c>
      <c r="M442" t="s">
        <v>98</v>
      </c>
      <c r="N442" s="1">
        <v>472.52</v>
      </c>
      <c r="O442">
        <v>8</v>
      </c>
      <c r="P442" t="s">
        <v>78</v>
      </c>
      <c r="Q442">
        <v>2</v>
      </c>
      <c r="R442">
        <v>4</v>
      </c>
      <c r="S442">
        <v>0</v>
      </c>
      <c r="T442" t="s">
        <v>59</v>
      </c>
      <c r="U442" t="s">
        <v>37</v>
      </c>
      <c r="V442">
        <v>2</v>
      </c>
      <c r="W442">
        <v>8</v>
      </c>
      <c r="X442" t="s">
        <v>49</v>
      </c>
      <c r="Y442" t="s">
        <v>38</v>
      </c>
      <c r="Z442" t="s">
        <v>86</v>
      </c>
      <c r="AA442" s="2">
        <v>45315</v>
      </c>
      <c r="AB442" t="b">
        <v>0</v>
      </c>
      <c r="AC442" t="b">
        <v>1</v>
      </c>
      <c r="AD442" t="s">
        <v>74</v>
      </c>
      <c r="AE442" t="s">
        <v>41</v>
      </c>
      <c r="AF442">
        <v>14</v>
      </c>
    </row>
    <row r="443" spans="1:32" x14ac:dyDescent="0.25">
      <c r="A443" t="s">
        <v>965</v>
      </c>
      <c r="B443">
        <v>441</v>
      </c>
      <c r="C443">
        <v>27</v>
      </c>
      <c r="D443" t="str">
        <f>IF(tbl_Original[[#This Row],[Gender2]]="Female","Female",IF(tbl_Original[[#This Row],[Gender2]]="Male","Male","Other"))</f>
        <v>Female</v>
      </c>
      <c r="E443" t="s">
        <v>29</v>
      </c>
      <c r="F443" t="s">
        <v>30</v>
      </c>
      <c r="G443" t="s">
        <v>31</v>
      </c>
      <c r="H443" t="s">
        <v>32</v>
      </c>
      <c r="I443" t="s">
        <v>30</v>
      </c>
      <c r="J443" t="str">
        <f>PROPER(TRIM(CLEAN(tbl_Original[[#This Row],[Column1]])))</f>
        <v>Tigaherang</v>
      </c>
      <c r="K443" t="s">
        <v>966</v>
      </c>
      <c r="L443" t="s">
        <v>966</v>
      </c>
      <c r="M443" t="s">
        <v>123</v>
      </c>
      <c r="N443" s="1">
        <v>335.8</v>
      </c>
      <c r="O443">
        <v>9</v>
      </c>
      <c r="P443" t="s">
        <v>35</v>
      </c>
      <c r="Q443">
        <v>3</v>
      </c>
      <c r="R443">
        <v>5</v>
      </c>
      <c r="S443">
        <v>1</v>
      </c>
      <c r="T443" t="s">
        <v>36</v>
      </c>
      <c r="U443" t="s">
        <v>37</v>
      </c>
      <c r="V443">
        <v>2</v>
      </c>
      <c r="W443">
        <v>7</v>
      </c>
      <c r="X443" t="s">
        <v>59</v>
      </c>
      <c r="Y443" t="s">
        <v>60</v>
      </c>
      <c r="Z443" t="s">
        <v>61</v>
      </c>
      <c r="AA443" s="2">
        <v>45332</v>
      </c>
      <c r="AB443" t="b">
        <v>1</v>
      </c>
      <c r="AC443" t="b">
        <v>0</v>
      </c>
      <c r="AD443" t="s">
        <v>52</v>
      </c>
      <c r="AE443" t="s">
        <v>53</v>
      </c>
      <c r="AF443">
        <v>5</v>
      </c>
    </row>
    <row r="444" spans="1:32" x14ac:dyDescent="0.25">
      <c r="A444" t="s">
        <v>967</v>
      </c>
      <c r="B444">
        <v>442</v>
      </c>
      <c r="C444">
        <v>25</v>
      </c>
      <c r="D444" t="str">
        <f>IF(tbl_Original[[#This Row],[Gender2]]="Female","Female",IF(tbl_Original[[#This Row],[Gender2]]="Male","Male","Other"))</f>
        <v>Male</v>
      </c>
      <c r="E444" t="s">
        <v>43</v>
      </c>
      <c r="F444" t="s">
        <v>30</v>
      </c>
      <c r="G444" t="s">
        <v>55</v>
      </c>
      <c r="H444" t="s">
        <v>45</v>
      </c>
      <c r="I444" t="s">
        <v>44</v>
      </c>
      <c r="J444" t="str">
        <f>PROPER(TRIM(CLEAN(tbl_Original[[#This Row],[Column1]])))</f>
        <v>Villa Dolores</v>
      </c>
      <c r="K444" t="s">
        <v>968</v>
      </c>
      <c r="L444" t="s">
        <v>968</v>
      </c>
      <c r="M444" t="s">
        <v>98</v>
      </c>
      <c r="N444" s="1">
        <v>85.57</v>
      </c>
      <c r="O444">
        <v>12</v>
      </c>
      <c r="P444" t="s">
        <v>48</v>
      </c>
      <c r="Q444">
        <v>2</v>
      </c>
      <c r="R444">
        <v>1</v>
      </c>
      <c r="S444">
        <v>1</v>
      </c>
      <c r="T444" t="s">
        <v>59</v>
      </c>
      <c r="U444" t="s">
        <v>85</v>
      </c>
      <c r="V444">
        <v>2</v>
      </c>
      <c r="W444">
        <v>4</v>
      </c>
      <c r="X444" t="s">
        <v>49</v>
      </c>
      <c r="Y444" t="s">
        <v>38</v>
      </c>
      <c r="Z444" t="s">
        <v>61</v>
      </c>
      <c r="AA444" s="2">
        <v>45535</v>
      </c>
      <c r="AB444" t="b">
        <v>1</v>
      </c>
      <c r="AC444" t="b">
        <v>1</v>
      </c>
      <c r="AD444" t="s">
        <v>74</v>
      </c>
      <c r="AE444" t="s">
        <v>41</v>
      </c>
      <c r="AF444">
        <v>9</v>
      </c>
    </row>
    <row r="445" spans="1:32" x14ac:dyDescent="0.25">
      <c r="A445" t="s">
        <v>969</v>
      </c>
      <c r="B445">
        <v>443</v>
      </c>
      <c r="C445">
        <v>44</v>
      </c>
      <c r="D445" t="str">
        <f>IF(tbl_Original[[#This Row],[Gender2]]="Female","Female",IF(tbl_Original[[#This Row],[Gender2]]="Male","Male","Other"))</f>
        <v>Other</v>
      </c>
      <c r="E445" t="s">
        <v>88</v>
      </c>
      <c r="F445" t="s">
        <v>30</v>
      </c>
      <c r="G445" t="s">
        <v>55</v>
      </c>
      <c r="H445" t="s">
        <v>56</v>
      </c>
      <c r="I445" t="s">
        <v>30</v>
      </c>
      <c r="J445" t="str">
        <f>PROPER(TRIM(CLEAN(tbl_Original[[#This Row],[Column1]])))</f>
        <v>Po</v>
      </c>
      <c r="K445" t="s">
        <v>2202</v>
      </c>
      <c r="L445" t="s">
        <v>970</v>
      </c>
      <c r="M445" t="s">
        <v>188</v>
      </c>
      <c r="N445" s="1">
        <v>108.5</v>
      </c>
      <c r="O445">
        <v>11</v>
      </c>
      <c r="P445" t="s">
        <v>35</v>
      </c>
      <c r="Q445">
        <v>5</v>
      </c>
      <c r="R445">
        <v>5</v>
      </c>
      <c r="S445">
        <v>0</v>
      </c>
      <c r="T445" t="s">
        <v>36</v>
      </c>
      <c r="U445" t="s">
        <v>85</v>
      </c>
      <c r="V445">
        <v>1</v>
      </c>
      <c r="W445">
        <v>2</v>
      </c>
      <c r="X445" t="s">
        <v>49</v>
      </c>
      <c r="Y445" t="s">
        <v>60</v>
      </c>
      <c r="Z445" t="s">
        <v>51</v>
      </c>
      <c r="AA445" s="2">
        <v>45489</v>
      </c>
      <c r="AB445" t="b">
        <v>0</v>
      </c>
      <c r="AC445" t="b">
        <v>0</v>
      </c>
      <c r="AD445" t="s">
        <v>52</v>
      </c>
      <c r="AE445" t="s">
        <v>41</v>
      </c>
      <c r="AF445">
        <v>10</v>
      </c>
    </row>
    <row r="446" spans="1:32" x14ac:dyDescent="0.25">
      <c r="A446" t="s">
        <v>971</v>
      </c>
      <c r="B446">
        <v>444</v>
      </c>
      <c r="C446">
        <v>26</v>
      </c>
      <c r="D446" t="str">
        <f>IF(tbl_Original[[#This Row],[Gender2]]="Female","Female",IF(tbl_Original[[#This Row],[Gender2]]="Male","Male","Other"))</f>
        <v>Male</v>
      </c>
      <c r="E446" t="s">
        <v>43</v>
      </c>
      <c r="F446" t="s">
        <v>30</v>
      </c>
      <c r="G446" t="s">
        <v>76</v>
      </c>
      <c r="H446" t="s">
        <v>32</v>
      </c>
      <c r="I446" t="s">
        <v>30</v>
      </c>
      <c r="J446" t="str">
        <f>PROPER(TRIM(CLEAN(tbl_Original[[#This Row],[Column1]])))</f>
        <v>Shibushi</v>
      </c>
      <c r="K446" t="s">
        <v>972</v>
      </c>
      <c r="L446" t="s">
        <v>972</v>
      </c>
      <c r="M446" t="s">
        <v>47</v>
      </c>
      <c r="N446" s="1">
        <v>172.5</v>
      </c>
      <c r="O446">
        <v>8</v>
      </c>
      <c r="P446" t="s">
        <v>78</v>
      </c>
      <c r="Q446">
        <v>1</v>
      </c>
      <c r="R446">
        <v>3</v>
      </c>
      <c r="S446">
        <v>0</v>
      </c>
      <c r="T446" t="s">
        <v>49</v>
      </c>
      <c r="U446" t="s">
        <v>37</v>
      </c>
      <c r="V446">
        <v>0</v>
      </c>
      <c r="W446">
        <v>8</v>
      </c>
      <c r="X446" t="s">
        <v>59</v>
      </c>
      <c r="Y446" t="s">
        <v>79</v>
      </c>
      <c r="Z446" t="s">
        <v>39</v>
      </c>
      <c r="AA446" s="2">
        <v>45492</v>
      </c>
      <c r="AB446" t="b">
        <v>1</v>
      </c>
      <c r="AC446" t="b">
        <v>0</v>
      </c>
      <c r="AD446" t="s">
        <v>62</v>
      </c>
      <c r="AE446" t="s">
        <v>41</v>
      </c>
      <c r="AF446">
        <v>7</v>
      </c>
    </row>
    <row r="447" spans="1:32" x14ac:dyDescent="0.25">
      <c r="A447" t="s">
        <v>973</v>
      </c>
      <c r="B447">
        <v>445</v>
      </c>
      <c r="C447">
        <v>18</v>
      </c>
      <c r="D447" t="str">
        <f>IF(tbl_Original[[#This Row],[Gender2]]="Female","Female",IF(tbl_Original[[#This Row],[Gender2]]="Male","Male","Other"))</f>
        <v>Female</v>
      </c>
      <c r="E447" t="s">
        <v>29</v>
      </c>
      <c r="F447" t="s">
        <v>44</v>
      </c>
      <c r="G447" t="s">
        <v>55</v>
      </c>
      <c r="H447" t="s">
        <v>45</v>
      </c>
      <c r="I447" t="s">
        <v>30</v>
      </c>
      <c r="J447" t="str">
        <f>PROPER(TRIM(CLEAN(tbl_Original[[#This Row],[Column1]])))</f>
        <v>Tilburg</v>
      </c>
      <c r="K447" t="s">
        <v>974</v>
      </c>
      <c r="L447" t="s">
        <v>974</v>
      </c>
      <c r="M447" t="s">
        <v>117</v>
      </c>
      <c r="N447" s="1">
        <v>212.8</v>
      </c>
      <c r="O447">
        <v>6</v>
      </c>
      <c r="P447" t="s">
        <v>35</v>
      </c>
      <c r="Q447">
        <v>3</v>
      </c>
      <c r="R447">
        <v>2</v>
      </c>
      <c r="S447">
        <v>2</v>
      </c>
      <c r="T447" t="s">
        <v>36</v>
      </c>
      <c r="U447" t="s">
        <v>85</v>
      </c>
      <c r="V447">
        <v>1</v>
      </c>
      <c r="W447">
        <v>7</v>
      </c>
      <c r="X447" t="s">
        <v>44</v>
      </c>
      <c r="Y447" t="s">
        <v>38</v>
      </c>
      <c r="Z447" t="s">
        <v>39</v>
      </c>
      <c r="AA447" s="2">
        <v>45429</v>
      </c>
      <c r="AB447" t="b">
        <v>1</v>
      </c>
      <c r="AC447" t="b">
        <v>1</v>
      </c>
      <c r="AD447" t="s">
        <v>74</v>
      </c>
      <c r="AE447" t="s">
        <v>53</v>
      </c>
      <c r="AF447">
        <v>1</v>
      </c>
    </row>
    <row r="448" spans="1:32" x14ac:dyDescent="0.25">
      <c r="A448" t="s">
        <v>975</v>
      </c>
      <c r="B448">
        <v>446</v>
      </c>
      <c r="C448">
        <v>47</v>
      </c>
      <c r="D448" t="str">
        <f>IF(tbl_Original[[#This Row],[Gender2]]="Female","Female",IF(tbl_Original[[#This Row],[Gender2]]="Male","Male","Other"))</f>
        <v>Female</v>
      </c>
      <c r="E448" t="s">
        <v>29</v>
      </c>
      <c r="F448" t="s">
        <v>30</v>
      </c>
      <c r="G448" t="s">
        <v>31</v>
      </c>
      <c r="H448" t="s">
        <v>32</v>
      </c>
      <c r="I448" t="s">
        <v>44</v>
      </c>
      <c r="J448" t="str">
        <f>PROPER(TRIM(CLEAN(tbl_Original[[#This Row],[Column1]])))</f>
        <v>Ugra</v>
      </c>
      <c r="K448" t="s">
        <v>976</v>
      </c>
      <c r="L448" t="s">
        <v>976</v>
      </c>
      <c r="M448" t="s">
        <v>123</v>
      </c>
      <c r="N448" s="1">
        <v>324.41000000000003</v>
      </c>
      <c r="O448">
        <v>7</v>
      </c>
      <c r="P448" t="s">
        <v>35</v>
      </c>
      <c r="Q448">
        <v>4</v>
      </c>
      <c r="R448">
        <v>4</v>
      </c>
      <c r="S448">
        <v>1</v>
      </c>
      <c r="T448" t="s">
        <v>36</v>
      </c>
      <c r="U448" t="s">
        <v>50</v>
      </c>
      <c r="V448">
        <v>0</v>
      </c>
      <c r="W448">
        <v>5</v>
      </c>
      <c r="X448" t="s">
        <v>49</v>
      </c>
      <c r="Y448" t="s">
        <v>38</v>
      </c>
      <c r="Z448" t="s">
        <v>61</v>
      </c>
      <c r="AA448" s="2">
        <v>45411</v>
      </c>
      <c r="AB448" t="b">
        <v>1</v>
      </c>
      <c r="AC448" t="b">
        <v>1</v>
      </c>
      <c r="AD448" t="s">
        <v>40</v>
      </c>
      <c r="AE448" t="s">
        <v>41</v>
      </c>
      <c r="AF448">
        <v>4</v>
      </c>
    </row>
    <row r="449" spans="1:32" x14ac:dyDescent="0.25">
      <c r="A449" t="s">
        <v>977</v>
      </c>
      <c r="B449">
        <v>447</v>
      </c>
      <c r="C449">
        <v>36</v>
      </c>
      <c r="D449" t="str">
        <f>IF(tbl_Original[[#This Row],[Gender2]]="Female","Female",IF(tbl_Original[[#This Row],[Gender2]]="Male","Male","Other"))</f>
        <v>Male</v>
      </c>
      <c r="E449" t="s">
        <v>43</v>
      </c>
      <c r="F449" t="s">
        <v>44</v>
      </c>
      <c r="G449" t="s">
        <v>69</v>
      </c>
      <c r="H449" t="s">
        <v>45</v>
      </c>
      <c r="I449" t="s">
        <v>30</v>
      </c>
      <c r="J449" t="str">
        <f>PROPER(TRIM(CLEAN(tbl_Original[[#This Row],[Column1]])))</f>
        <v>Montreuil</v>
      </c>
      <c r="K449" t="s">
        <v>978</v>
      </c>
      <c r="L449" t="s">
        <v>978</v>
      </c>
      <c r="M449" t="s">
        <v>194</v>
      </c>
      <c r="N449" s="1">
        <v>342.39</v>
      </c>
      <c r="O449">
        <v>8</v>
      </c>
      <c r="P449" t="s">
        <v>48</v>
      </c>
      <c r="Q449">
        <v>1</v>
      </c>
      <c r="R449">
        <v>5</v>
      </c>
      <c r="S449">
        <v>2</v>
      </c>
      <c r="T449" t="s">
        <v>59</v>
      </c>
      <c r="U449" t="s">
        <v>85</v>
      </c>
      <c r="V449">
        <v>2</v>
      </c>
      <c r="W449">
        <v>3</v>
      </c>
      <c r="X449" t="s">
        <v>44</v>
      </c>
      <c r="Y449" t="s">
        <v>79</v>
      </c>
      <c r="Z449" t="s">
        <v>66</v>
      </c>
      <c r="AA449" s="2">
        <v>45295</v>
      </c>
      <c r="AB449" t="b">
        <v>0</v>
      </c>
      <c r="AC449" t="b">
        <v>0</v>
      </c>
      <c r="AD449" t="s">
        <v>40</v>
      </c>
      <c r="AE449" t="s">
        <v>53</v>
      </c>
      <c r="AF449">
        <v>9</v>
      </c>
    </row>
    <row r="450" spans="1:32" x14ac:dyDescent="0.25">
      <c r="A450" t="s">
        <v>979</v>
      </c>
      <c r="B450">
        <v>448</v>
      </c>
      <c r="C450">
        <v>23</v>
      </c>
      <c r="D450" t="str">
        <f>IF(tbl_Original[[#This Row],[Gender2]]="Female","Female",IF(tbl_Original[[#This Row],[Gender2]]="Male","Male","Other"))</f>
        <v>Female</v>
      </c>
      <c r="E450" t="s">
        <v>29</v>
      </c>
      <c r="F450" t="s">
        <v>44</v>
      </c>
      <c r="G450" t="s">
        <v>76</v>
      </c>
      <c r="H450" t="s">
        <v>32</v>
      </c>
      <c r="I450" t="s">
        <v>44</v>
      </c>
      <c r="J450" t="str">
        <f>PROPER(TRIM(CLEAN(tbl_Original[[#This Row],[Column1]])))</f>
        <v>Garibaldi</v>
      </c>
      <c r="K450" t="s">
        <v>980</v>
      </c>
      <c r="L450" t="s">
        <v>980</v>
      </c>
      <c r="M450" t="s">
        <v>104</v>
      </c>
      <c r="N450" s="1">
        <v>446.86</v>
      </c>
      <c r="O450">
        <v>9</v>
      </c>
      <c r="P450" t="s">
        <v>48</v>
      </c>
      <c r="Q450">
        <v>2</v>
      </c>
      <c r="R450">
        <v>1</v>
      </c>
      <c r="S450">
        <v>2</v>
      </c>
      <c r="T450" t="s">
        <v>36</v>
      </c>
      <c r="U450" t="s">
        <v>85</v>
      </c>
      <c r="V450">
        <v>0</v>
      </c>
      <c r="W450">
        <v>2</v>
      </c>
      <c r="X450" t="s">
        <v>49</v>
      </c>
      <c r="Y450" t="s">
        <v>79</v>
      </c>
      <c r="Z450" t="s">
        <v>51</v>
      </c>
      <c r="AA450" s="2">
        <v>45603</v>
      </c>
      <c r="AB450" t="b">
        <v>0</v>
      </c>
      <c r="AC450" t="b">
        <v>0</v>
      </c>
      <c r="AD450" t="s">
        <v>52</v>
      </c>
      <c r="AE450" t="s">
        <v>41</v>
      </c>
      <c r="AF450">
        <v>5</v>
      </c>
    </row>
    <row r="451" spans="1:32" x14ac:dyDescent="0.25">
      <c r="A451" t="s">
        <v>981</v>
      </c>
      <c r="B451">
        <v>449</v>
      </c>
      <c r="C451">
        <v>49</v>
      </c>
      <c r="D451" t="str">
        <f>IF(tbl_Original[[#This Row],[Gender2]]="Female","Female",IF(tbl_Original[[#This Row],[Gender2]]="Male","Male","Other"))</f>
        <v>Male</v>
      </c>
      <c r="E451" t="s">
        <v>43</v>
      </c>
      <c r="F451" t="s">
        <v>44</v>
      </c>
      <c r="G451" t="s">
        <v>76</v>
      </c>
      <c r="H451" t="s">
        <v>56</v>
      </c>
      <c r="I451" t="s">
        <v>44</v>
      </c>
      <c r="J451" t="str">
        <f>PROPER(TRIM(CLEAN(tbl_Original[[#This Row],[Column1]])))</f>
        <v>Tiang</v>
      </c>
      <c r="K451" t="s">
        <v>982</v>
      </c>
      <c r="L451" t="s">
        <v>982</v>
      </c>
      <c r="M451" t="s">
        <v>117</v>
      </c>
      <c r="N451" s="1">
        <v>463.15</v>
      </c>
      <c r="O451">
        <v>3</v>
      </c>
      <c r="P451" t="s">
        <v>35</v>
      </c>
      <c r="Q451">
        <v>1</v>
      </c>
      <c r="R451">
        <v>1</v>
      </c>
      <c r="S451">
        <v>1</v>
      </c>
      <c r="T451" t="s">
        <v>36</v>
      </c>
      <c r="U451" t="s">
        <v>37</v>
      </c>
      <c r="V451">
        <v>1</v>
      </c>
      <c r="W451">
        <v>9</v>
      </c>
      <c r="X451" t="s">
        <v>44</v>
      </c>
      <c r="Y451" t="s">
        <v>60</v>
      </c>
      <c r="Z451" t="s">
        <v>61</v>
      </c>
      <c r="AA451" s="2">
        <v>45407</v>
      </c>
      <c r="AB451" t="b">
        <v>1</v>
      </c>
      <c r="AC451" t="b">
        <v>1</v>
      </c>
      <c r="AD451" t="s">
        <v>40</v>
      </c>
      <c r="AE451" t="s">
        <v>53</v>
      </c>
      <c r="AF451">
        <v>9</v>
      </c>
    </row>
    <row r="452" spans="1:32" x14ac:dyDescent="0.25">
      <c r="A452" t="s">
        <v>983</v>
      </c>
      <c r="B452">
        <v>450</v>
      </c>
      <c r="C452">
        <v>27</v>
      </c>
      <c r="D452" t="str">
        <f>IF(tbl_Original[[#This Row],[Gender2]]="Female","Female",IF(tbl_Original[[#This Row],[Gender2]]="Male","Male","Other"))</f>
        <v>Female</v>
      </c>
      <c r="E452" t="s">
        <v>29</v>
      </c>
      <c r="F452" t="s">
        <v>44</v>
      </c>
      <c r="G452" t="s">
        <v>76</v>
      </c>
      <c r="H452" t="s">
        <v>32</v>
      </c>
      <c r="I452" t="s">
        <v>44</v>
      </c>
      <c r="J452" t="str">
        <f>PROPER(TRIM(CLEAN(tbl_Original[[#This Row],[Column1]])))</f>
        <v>Mouquim</v>
      </c>
      <c r="K452" t="s">
        <v>984</v>
      </c>
      <c r="L452" t="s">
        <v>984</v>
      </c>
      <c r="M452" t="s">
        <v>158</v>
      </c>
      <c r="N452" s="1">
        <v>122.99</v>
      </c>
      <c r="O452">
        <v>12</v>
      </c>
      <c r="P452" t="s">
        <v>48</v>
      </c>
      <c r="Q452">
        <v>1</v>
      </c>
      <c r="R452">
        <v>5</v>
      </c>
      <c r="S452">
        <v>1</v>
      </c>
      <c r="T452" t="s">
        <v>44</v>
      </c>
      <c r="U452" t="s">
        <v>85</v>
      </c>
      <c r="V452">
        <v>1</v>
      </c>
      <c r="W452">
        <v>8</v>
      </c>
      <c r="X452" t="s">
        <v>36</v>
      </c>
      <c r="Y452" t="s">
        <v>79</v>
      </c>
      <c r="Z452" t="s">
        <v>86</v>
      </c>
      <c r="AA452" s="2">
        <v>45568</v>
      </c>
      <c r="AB452" t="b">
        <v>1</v>
      </c>
      <c r="AC452" t="b">
        <v>0</v>
      </c>
      <c r="AD452" t="s">
        <v>74</v>
      </c>
      <c r="AE452" t="s">
        <v>41</v>
      </c>
      <c r="AF452">
        <v>1</v>
      </c>
    </row>
    <row r="453" spans="1:32" x14ac:dyDescent="0.25">
      <c r="A453" t="s">
        <v>985</v>
      </c>
      <c r="B453">
        <v>451</v>
      </c>
      <c r="C453">
        <v>43</v>
      </c>
      <c r="D453" t="str">
        <f>IF(tbl_Original[[#This Row],[Gender2]]="Female","Female",IF(tbl_Original[[#This Row],[Gender2]]="Male","Male","Other"))</f>
        <v>Male</v>
      </c>
      <c r="E453" t="s">
        <v>43</v>
      </c>
      <c r="F453" t="s">
        <v>44</v>
      </c>
      <c r="G453" t="s">
        <v>69</v>
      </c>
      <c r="H453" t="s">
        <v>56</v>
      </c>
      <c r="I453" t="s">
        <v>44</v>
      </c>
      <c r="J453" t="str">
        <f>PROPER(TRIM(CLEAN(tbl_Original[[#This Row],[Column1]])))</f>
        <v>Montecristi</v>
      </c>
      <c r="K453" t="s">
        <v>986</v>
      </c>
      <c r="L453" t="s">
        <v>986</v>
      </c>
      <c r="M453" t="s">
        <v>188</v>
      </c>
      <c r="N453" s="1">
        <v>322.39999999999998</v>
      </c>
      <c r="O453">
        <v>7</v>
      </c>
      <c r="P453" t="s">
        <v>35</v>
      </c>
      <c r="Q453">
        <v>4</v>
      </c>
      <c r="R453">
        <v>2</v>
      </c>
      <c r="S453">
        <v>1</v>
      </c>
      <c r="T453" t="s">
        <v>49</v>
      </c>
      <c r="U453" t="s">
        <v>85</v>
      </c>
      <c r="V453">
        <v>2</v>
      </c>
      <c r="W453">
        <v>3</v>
      </c>
      <c r="X453" t="s">
        <v>49</v>
      </c>
      <c r="Y453" t="s">
        <v>38</v>
      </c>
      <c r="Z453" t="s">
        <v>86</v>
      </c>
      <c r="AA453" s="2">
        <v>45511</v>
      </c>
      <c r="AB453" t="b">
        <v>1</v>
      </c>
      <c r="AC453" t="b">
        <v>1</v>
      </c>
      <c r="AD453" t="s">
        <v>40</v>
      </c>
      <c r="AE453" t="s">
        <v>67</v>
      </c>
      <c r="AF453">
        <v>2</v>
      </c>
    </row>
    <row r="454" spans="1:32" x14ac:dyDescent="0.25">
      <c r="A454" t="s">
        <v>987</v>
      </c>
      <c r="B454">
        <v>452</v>
      </c>
      <c r="C454">
        <v>19</v>
      </c>
      <c r="D454" t="str">
        <f>IF(tbl_Original[[#This Row],[Gender2]]="Female","Female",IF(tbl_Original[[#This Row],[Gender2]]="Male","Male","Other"))</f>
        <v>Female</v>
      </c>
      <c r="E454" t="s">
        <v>29</v>
      </c>
      <c r="F454" t="s">
        <v>44</v>
      </c>
      <c r="G454" t="s">
        <v>31</v>
      </c>
      <c r="H454" t="s">
        <v>45</v>
      </c>
      <c r="I454" t="s">
        <v>30</v>
      </c>
      <c r="J454" t="str">
        <f>PROPER(TRIM(CLEAN(tbl_Original[[#This Row],[Column1]])))</f>
        <v>Prince Albert</v>
      </c>
      <c r="K454" t="s">
        <v>988</v>
      </c>
      <c r="L454" t="s">
        <v>988</v>
      </c>
      <c r="M454" t="s">
        <v>104</v>
      </c>
      <c r="N454" s="1">
        <v>73.19</v>
      </c>
      <c r="O454">
        <v>5</v>
      </c>
      <c r="P454" t="s">
        <v>35</v>
      </c>
      <c r="Q454">
        <v>2</v>
      </c>
      <c r="R454">
        <v>5</v>
      </c>
      <c r="S454">
        <v>1</v>
      </c>
      <c r="T454" t="s">
        <v>59</v>
      </c>
      <c r="U454" t="s">
        <v>50</v>
      </c>
      <c r="V454">
        <v>2</v>
      </c>
      <c r="W454">
        <v>8</v>
      </c>
      <c r="X454" t="s">
        <v>44</v>
      </c>
      <c r="Y454" t="s">
        <v>60</v>
      </c>
      <c r="Z454" t="s">
        <v>51</v>
      </c>
      <c r="AA454" s="2">
        <v>45393</v>
      </c>
      <c r="AB454" t="b">
        <v>0</v>
      </c>
      <c r="AC454" t="b">
        <v>1</v>
      </c>
      <c r="AD454" t="s">
        <v>40</v>
      </c>
      <c r="AE454" t="s">
        <v>41</v>
      </c>
      <c r="AF454">
        <v>3</v>
      </c>
    </row>
    <row r="455" spans="1:32" x14ac:dyDescent="0.25">
      <c r="A455" t="s">
        <v>989</v>
      </c>
      <c r="B455">
        <v>453</v>
      </c>
      <c r="C455">
        <v>41</v>
      </c>
      <c r="D455" t="str">
        <f>IF(tbl_Original[[#This Row],[Gender2]]="Female","Female",IF(tbl_Original[[#This Row],[Gender2]]="Male","Male","Other"))</f>
        <v>Female</v>
      </c>
      <c r="E455" t="s">
        <v>29</v>
      </c>
      <c r="F455" t="s">
        <v>30</v>
      </c>
      <c r="G455" t="s">
        <v>31</v>
      </c>
      <c r="H455" t="s">
        <v>56</v>
      </c>
      <c r="I455" t="s">
        <v>44</v>
      </c>
      <c r="J455" t="str">
        <f>PROPER(TRIM(CLEAN(tbl_Original[[#This Row],[Column1]])))</f>
        <v>Gteborg</v>
      </c>
      <c r="K455" t="s">
        <v>2195</v>
      </c>
      <c r="L455" t="s">
        <v>856</v>
      </c>
      <c r="M455" t="s">
        <v>126</v>
      </c>
      <c r="N455" s="1">
        <v>279.08</v>
      </c>
      <c r="O455">
        <v>10</v>
      </c>
      <c r="P455" t="s">
        <v>78</v>
      </c>
      <c r="Q455">
        <v>4</v>
      </c>
      <c r="R455">
        <v>2</v>
      </c>
      <c r="S455">
        <v>1</v>
      </c>
      <c r="T455" t="s">
        <v>44</v>
      </c>
      <c r="U455" t="s">
        <v>50</v>
      </c>
      <c r="V455">
        <v>2</v>
      </c>
      <c r="W455">
        <v>7</v>
      </c>
      <c r="X455" t="s">
        <v>49</v>
      </c>
      <c r="Y455" t="s">
        <v>60</v>
      </c>
      <c r="Z455" t="s">
        <v>39</v>
      </c>
      <c r="AA455" s="2">
        <v>45407</v>
      </c>
      <c r="AB455" t="b">
        <v>0</v>
      </c>
      <c r="AC455" t="b">
        <v>1</v>
      </c>
      <c r="AD455" t="s">
        <v>52</v>
      </c>
      <c r="AE455" t="s">
        <v>41</v>
      </c>
      <c r="AF455">
        <v>3</v>
      </c>
    </row>
    <row r="456" spans="1:32" x14ac:dyDescent="0.25">
      <c r="A456" t="s">
        <v>990</v>
      </c>
      <c r="B456">
        <v>454</v>
      </c>
      <c r="C456">
        <v>29</v>
      </c>
      <c r="D456" t="str">
        <f>IF(tbl_Original[[#This Row],[Gender2]]="Female","Female",IF(tbl_Original[[#This Row],[Gender2]]="Male","Male","Other"))</f>
        <v>Female</v>
      </c>
      <c r="E456" t="s">
        <v>29</v>
      </c>
      <c r="F456" t="s">
        <v>30</v>
      </c>
      <c r="G456" t="s">
        <v>55</v>
      </c>
      <c r="H456" t="s">
        <v>45</v>
      </c>
      <c r="I456" t="s">
        <v>30</v>
      </c>
      <c r="J456" t="str">
        <f>PROPER(TRIM(CLEAN(tbl_Original[[#This Row],[Column1]])))</f>
        <v>Zajeov</v>
      </c>
      <c r="K456" t="s">
        <v>2203</v>
      </c>
      <c r="L456" t="s">
        <v>991</v>
      </c>
      <c r="M456" t="s">
        <v>194</v>
      </c>
      <c r="N456" s="1">
        <v>478.85</v>
      </c>
      <c r="O456">
        <v>10</v>
      </c>
      <c r="P456" t="s">
        <v>48</v>
      </c>
      <c r="Q456">
        <v>4</v>
      </c>
      <c r="R456">
        <v>2</v>
      </c>
      <c r="S456">
        <v>2</v>
      </c>
      <c r="T456" t="s">
        <v>36</v>
      </c>
      <c r="U456" t="s">
        <v>50</v>
      </c>
      <c r="V456">
        <v>2</v>
      </c>
      <c r="W456">
        <v>2</v>
      </c>
      <c r="X456" t="s">
        <v>36</v>
      </c>
      <c r="Y456" t="s">
        <v>79</v>
      </c>
      <c r="Z456" t="s">
        <v>86</v>
      </c>
      <c r="AA456" s="2">
        <v>45410</v>
      </c>
      <c r="AB456" t="b">
        <v>0</v>
      </c>
      <c r="AC456" t="b">
        <v>0</v>
      </c>
      <c r="AD456" t="s">
        <v>74</v>
      </c>
      <c r="AE456" t="s">
        <v>41</v>
      </c>
      <c r="AF456">
        <v>4</v>
      </c>
    </row>
    <row r="457" spans="1:32" x14ac:dyDescent="0.25">
      <c r="A457" t="s">
        <v>992</v>
      </c>
      <c r="B457">
        <v>455</v>
      </c>
      <c r="C457">
        <v>25</v>
      </c>
      <c r="D457" t="str">
        <f>IF(tbl_Original[[#This Row],[Gender2]]="Female","Female",IF(tbl_Original[[#This Row],[Gender2]]="Male","Male","Other"))</f>
        <v>Male</v>
      </c>
      <c r="E457" t="s">
        <v>43</v>
      </c>
      <c r="F457" t="s">
        <v>44</v>
      </c>
      <c r="G457" t="s">
        <v>69</v>
      </c>
      <c r="H457" t="s">
        <v>56</v>
      </c>
      <c r="I457" t="s">
        <v>44</v>
      </c>
      <c r="J457" t="str">
        <f>PROPER(TRIM(CLEAN(tbl_Original[[#This Row],[Column1]])))</f>
        <v>Liushun</v>
      </c>
      <c r="K457" t="s">
        <v>993</v>
      </c>
      <c r="L457" t="s">
        <v>993</v>
      </c>
      <c r="M457" t="s">
        <v>47</v>
      </c>
      <c r="N457" s="1">
        <v>86.39</v>
      </c>
      <c r="O457">
        <v>5</v>
      </c>
      <c r="P457" t="s">
        <v>35</v>
      </c>
      <c r="Q457">
        <v>4</v>
      </c>
      <c r="R457">
        <v>5</v>
      </c>
      <c r="S457">
        <v>1</v>
      </c>
      <c r="T457" t="s">
        <v>44</v>
      </c>
      <c r="U457" t="s">
        <v>37</v>
      </c>
      <c r="V457">
        <v>1</v>
      </c>
      <c r="W457">
        <v>1</v>
      </c>
      <c r="X457" t="s">
        <v>49</v>
      </c>
      <c r="Y457" t="s">
        <v>79</v>
      </c>
      <c r="Z457" t="s">
        <v>61</v>
      </c>
      <c r="AA457" s="2">
        <v>45544</v>
      </c>
      <c r="AB457" t="b">
        <v>0</v>
      </c>
      <c r="AC457" t="b">
        <v>0</v>
      </c>
      <c r="AD457" t="s">
        <v>40</v>
      </c>
      <c r="AE457" t="s">
        <v>53</v>
      </c>
      <c r="AF457">
        <v>7</v>
      </c>
    </row>
    <row r="458" spans="1:32" x14ac:dyDescent="0.25">
      <c r="A458" t="s">
        <v>994</v>
      </c>
      <c r="B458">
        <v>456</v>
      </c>
      <c r="C458">
        <v>45</v>
      </c>
      <c r="D458" t="str">
        <f>IF(tbl_Original[[#This Row],[Gender2]]="Female","Female",IF(tbl_Original[[#This Row],[Gender2]]="Male","Male","Other"))</f>
        <v>Male</v>
      </c>
      <c r="E458" t="s">
        <v>43</v>
      </c>
      <c r="F458" t="s">
        <v>44</v>
      </c>
      <c r="G458" t="s">
        <v>69</v>
      </c>
      <c r="H458" t="s">
        <v>32</v>
      </c>
      <c r="I458" t="s">
        <v>30</v>
      </c>
      <c r="J458" t="str">
        <f>PROPER(TRIM(CLEAN(tbl_Original[[#This Row],[Column1]])))</f>
        <v>Sancha</v>
      </c>
      <c r="K458" t="s">
        <v>995</v>
      </c>
      <c r="L458" t="s">
        <v>995</v>
      </c>
      <c r="M458" t="s">
        <v>123</v>
      </c>
      <c r="N458" s="1">
        <v>192.35</v>
      </c>
      <c r="O458">
        <v>11</v>
      </c>
      <c r="P458" t="s">
        <v>35</v>
      </c>
      <c r="Q458">
        <v>3</v>
      </c>
      <c r="R458">
        <v>5</v>
      </c>
      <c r="S458">
        <v>2</v>
      </c>
      <c r="T458" t="s">
        <v>44</v>
      </c>
      <c r="U458" t="s">
        <v>50</v>
      </c>
      <c r="V458">
        <v>2</v>
      </c>
      <c r="W458">
        <v>1</v>
      </c>
      <c r="X458" t="s">
        <v>44</v>
      </c>
      <c r="Y458" t="s">
        <v>60</v>
      </c>
      <c r="Z458" t="s">
        <v>39</v>
      </c>
      <c r="AA458" s="2">
        <v>45420</v>
      </c>
      <c r="AB458" t="b">
        <v>1</v>
      </c>
      <c r="AC458" t="b">
        <v>0</v>
      </c>
      <c r="AD458" t="s">
        <v>62</v>
      </c>
      <c r="AE458" t="s">
        <v>67</v>
      </c>
      <c r="AF458">
        <v>11</v>
      </c>
    </row>
    <row r="459" spans="1:32" x14ac:dyDescent="0.25">
      <c r="A459" t="s">
        <v>996</v>
      </c>
      <c r="B459">
        <v>457</v>
      </c>
      <c r="C459">
        <v>36</v>
      </c>
      <c r="D459" t="str">
        <f>IF(tbl_Original[[#This Row],[Gender2]]="Female","Female",IF(tbl_Original[[#This Row],[Gender2]]="Male","Male","Other"))</f>
        <v>Female</v>
      </c>
      <c r="E459" t="s">
        <v>29</v>
      </c>
      <c r="F459" t="s">
        <v>30</v>
      </c>
      <c r="G459" t="s">
        <v>76</v>
      </c>
      <c r="H459" t="s">
        <v>32</v>
      </c>
      <c r="I459" t="s">
        <v>44</v>
      </c>
      <c r="J459" t="str">
        <f>PROPER(TRIM(CLEAN(tbl_Original[[#This Row],[Column1]])))</f>
        <v>Damnoen Saduak</v>
      </c>
      <c r="K459" t="s">
        <v>997</v>
      </c>
      <c r="L459" t="s">
        <v>997</v>
      </c>
      <c r="M459" t="s">
        <v>188</v>
      </c>
      <c r="N459" s="1">
        <v>235.32</v>
      </c>
      <c r="O459">
        <v>7</v>
      </c>
      <c r="P459" t="s">
        <v>78</v>
      </c>
      <c r="Q459">
        <v>2</v>
      </c>
      <c r="R459">
        <v>1</v>
      </c>
      <c r="S459">
        <v>1</v>
      </c>
      <c r="T459" t="s">
        <v>49</v>
      </c>
      <c r="U459" t="s">
        <v>85</v>
      </c>
      <c r="V459">
        <v>1</v>
      </c>
      <c r="W459">
        <v>10</v>
      </c>
      <c r="X459" t="s">
        <v>44</v>
      </c>
      <c r="Y459" t="s">
        <v>79</v>
      </c>
      <c r="Z459" t="s">
        <v>51</v>
      </c>
      <c r="AA459" s="2">
        <v>45452</v>
      </c>
      <c r="AB459" t="b">
        <v>0</v>
      </c>
      <c r="AC459" t="b">
        <v>1</v>
      </c>
      <c r="AD459" t="s">
        <v>62</v>
      </c>
      <c r="AE459" t="s">
        <v>67</v>
      </c>
      <c r="AF459">
        <v>11</v>
      </c>
    </row>
    <row r="460" spans="1:32" x14ac:dyDescent="0.25">
      <c r="A460" t="s">
        <v>998</v>
      </c>
      <c r="B460">
        <v>458</v>
      </c>
      <c r="C460">
        <v>21</v>
      </c>
      <c r="D460" t="str">
        <f>IF(tbl_Original[[#This Row],[Gender2]]="Female","Female",IF(tbl_Original[[#This Row],[Gender2]]="Male","Male","Other"))</f>
        <v>Female</v>
      </c>
      <c r="E460" t="s">
        <v>29</v>
      </c>
      <c r="F460" t="s">
        <v>44</v>
      </c>
      <c r="G460" t="s">
        <v>69</v>
      </c>
      <c r="H460" t="s">
        <v>45</v>
      </c>
      <c r="I460" t="s">
        <v>44</v>
      </c>
      <c r="J460" t="str">
        <f>PROPER(TRIM(CLEAN(tbl_Original[[#This Row],[Column1]])))</f>
        <v>Cianorte</v>
      </c>
      <c r="K460" t="s">
        <v>999</v>
      </c>
      <c r="L460" t="s">
        <v>999</v>
      </c>
      <c r="M460" t="s">
        <v>117</v>
      </c>
      <c r="N460" s="1">
        <v>212.63</v>
      </c>
      <c r="O460">
        <v>8</v>
      </c>
      <c r="P460" t="s">
        <v>78</v>
      </c>
      <c r="Q460">
        <v>4</v>
      </c>
      <c r="R460">
        <v>2</v>
      </c>
      <c r="S460">
        <v>1</v>
      </c>
      <c r="T460" t="s">
        <v>59</v>
      </c>
      <c r="U460" t="s">
        <v>85</v>
      </c>
      <c r="V460">
        <v>0</v>
      </c>
      <c r="W460">
        <v>4</v>
      </c>
      <c r="X460" t="s">
        <v>44</v>
      </c>
      <c r="Y460" t="s">
        <v>79</v>
      </c>
      <c r="Z460" t="s">
        <v>61</v>
      </c>
      <c r="AA460" s="2">
        <v>45531</v>
      </c>
      <c r="AB460" t="b">
        <v>0</v>
      </c>
      <c r="AC460" t="b">
        <v>1</v>
      </c>
      <c r="AD460" t="s">
        <v>40</v>
      </c>
      <c r="AE460" t="s">
        <v>41</v>
      </c>
      <c r="AF460">
        <v>6</v>
      </c>
    </row>
    <row r="461" spans="1:32" x14ac:dyDescent="0.25">
      <c r="A461" t="s">
        <v>1000</v>
      </c>
      <c r="B461">
        <v>459</v>
      </c>
      <c r="C461">
        <v>47</v>
      </c>
      <c r="D461" t="str">
        <f>IF(tbl_Original[[#This Row],[Gender2]]="Female","Female",IF(tbl_Original[[#This Row],[Gender2]]="Male","Male","Other"))</f>
        <v>Female</v>
      </c>
      <c r="E461" t="s">
        <v>29</v>
      </c>
      <c r="F461" t="s">
        <v>30</v>
      </c>
      <c r="G461" t="s">
        <v>69</v>
      </c>
      <c r="H461" t="s">
        <v>56</v>
      </c>
      <c r="I461" t="s">
        <v>44</v>
      </c>
      <c r="J461" t="str">
        <f>PROPER(TRIM(CLEAN(tbl_Original[[#This Row],[Column1]])))</f>
        <v>Liuzuo</v>
      </c>
      <c r="K461" t="s">
        <v>1001</v>
      </c>
      <c r="L461" t="s">
        <v>1001</v>
      </c>
      <c r="M461" t="s">
        <v>47</v>
      </c>
      <c r="N461" s="1">
        <v>246.63</v>
      </c>
      <c r="O461">
        <v>8</v>
      </c>
      <c r="P461" t="s">
        <v>48</v>
      </c>
      <c r="Q461">
        <v>2</v>
      </c>
      <c r="R461">
        <v>3</v>
      </c>
      <c r="S461">
        <v>1</v>
      </c>
      <c r="T461" t="s">
        <v>36</v>
      </c>
      <c r="U461" t="s">
        <v>37</v>
      </c>
      <c r="V461">
        <v>2</v>
      </c>
      <c r="W461">
        <v>3</v>
      </c>
      <c r="X461" t="s">
        <v>36</v>
      </c>
      <c r="Y461" t="s">
        <v>38</v>
      </c>
      <c r="Z461" t="s">
        <v>39</v>
      </c>
      <c r="AA461" s="2">
        <v>45383</v>
      </c>
      <c r="AB461" t="b">
        <v>1</v>
      </c>
      <c r="AC461" t="b">
        <v>0</v>
      </c>
      <c r="AD461" t="s">
        <v>62</v>
      </c>
      <c r="AE461" t="s">
        <v>67</v>
      </c>
      <c r="AF461">
        <v>10</v>
      </c>
    </row>
    <row r="462" spans="1:32" x14ac:dyDescent="0.25">
      <c r="A462" t="s">
        <v>1002</v>
      </c>
      <c r="B462">
        <v>460</v>
      </c>
      <c r="C462">
        <v>26</v>
      </c>
      <c r="D462" t="str">
        <f>IF(tbl_Original[[#This Row],[Gender2]]="Female","Female",IF(tbl_Original[[#This Row],[Gender2]]="Male","Male","Other"))</f>
        <v>Female</v>
      </c>
      <c r="E462" t="s">
        <v>29</v>
      </c>
      <c r="F462" t="s">
        <v>30</v>
      </c>
      <c r="G462" t="s">
        <v>69</v>
      </c>
      <c r="H462" t="s">
        <v>32</v>
      </c>
      <c r="I462" t="s">
        <v>44</v>
      </c>
      <c r="J462" t="str">
        <f>PROPER(TRIM(CLEAN(tbl_Original[[#This Row],[Column1]])))</f>
        <v>Pameungpeuk</v>
      </c>
      <c r="K462" t="s">
        <v>256</v>
      </c>
      <c r="L462" t="s">
        <v>256</v>
      </c>
      <c r="M462" t="s">
        <v>126</v>
      </c>
      <c r="N462" s="1">
        <v>228.47</v>
      </c>
      <c r="O462">
        <v>9</v>
      </c>
      <c r="P462" t="s">
        <v>78</v>
      </c>
      <c r="Q462">
        <v>3</v>
      </c>
      <c r="R462">
        <v>3</v>
      </c>
      <c r="S462">
        <v>1</v>
      </c>
      <c r="T462" t="s">
        <v>36</v>
      </c>
      <c r="U462" t="s">
        <v>85</v>
      </c>
      <c r="V462">
        <v>1</v>
      </c>
      <c r="W462">
        <v>7</v>
      </c>
      <c r="X462" t="s">
        <v>36</v>
      </c>
      <c r="Y462" t="s">
        <v>79</v>
      </c>
      <c r="Z462" t="s">
        <v>39</v>
      </c>
      <c r="AA462" s="2">
        <v>45533</v>
      </c>
      <c r="AB462" t="b">
        <v>0</v>
      </c>
      <c r="AC462" t="b">
        <v>1</v>
      </c>
      <c r="AD462" t="s">
        <v>62</v>
      </c>
      <c r="AE462" t="s">
        <v>67</v>
      </c>
      <c r="AF462">
        <v>12</v>
      </c>
    </row>
    <row r="463" spans="1:32" x14ac:dyDescent="0.25">
      <c r="A463" t="s">
        <v>1003</v>
      </c>
      <c r="B463">
        <v>461</v>
      </c>
      <c r="C463">
        <v>25</v>
      </c>
      <c r="D463" t="str">
        <f>IF(tbl_Original[[#This Row],[Gender2]]="Female","Female",IF(tbl_Original[[#This Row],[Gender2]]="Male","Male","Other"))</f>
        <v>Female</v>
      </c>
      <c r="E463" t="s">
        <v>29</v>
      </c>
      <c r="F463" t="s">
        <v>30</v>
      </c>
      <c r="G463" t="s">
        <v>55</v>
      </c>
      <c r="H463" t="s">
        <v>56</v>
      </c>
      <c r="I463" t="s">
        <v>44</v>
      </c>
      <c r="J463" t="str">
        <f>PROPER(TRIM(CLEAN(tbl_Original[[#This Row],[Column1]])))</f>
        <v>Kshmar</v>
      </c>
      <c r="K463" t="s">
        <v>2204</v>
      </c>
      <c r="L463" t="s">
        <v>1004</v>
      </c>
      <c r="M463" t="s">
        <v>34</v>
      </c>
      <c r="N463" s="1">
        <v>343.77</v>
      </c>
      <c r="O463">
        <v>6</v>
      </c>
      <c r="P463" t="s">
        <v>78</v>
      </c>
      <c r="Q463">
        <v>4</v>
      </c>
      <c r="R463">
        <v>3</v>
      </c>
      <c r="S463">
        <v>2</v>
      </c>
      <c r="T463" t="s">
        <v>59</v>
      </c>
      <c r="U463" t="s">
        <v>37</v>
      </c>
      <c r="V463">
        <v>2</v>
      </c>
      <c r="W463">
        <v>9</v>
      </c>
      <c r="X463" t="s">
        <v>44</v>
      </c>
      <c r="Y463" t="s">
        <v>79</v>
      </c>
      <c r="Z463" t="s">
        <v>86</v>
      </c>
      <c r="AA463" s="2">
        <v>45553</v>
      </c>
      <c r="AB463" t="b">
        <v>1</v>
      </c>
      <c r="AC463" t="b">
        <v>1</v>
      </c>
      <c r="AD463" t="s">
        <v>52</v>
      </c>
      <c r="AE463" t="s">
        <v>67</v>
      </c>
      <c r="AF463">
        <v>6</v>
      </c>
    </row>
    <row r="464" spans="1:32" x14ac:dyDescent="0.25">
      <c r="A464" t="s">
        <v>1005</v>
      </c>
      <c r="B464">
        <v>462</v>
      </c>
      <c r="C464">
        <v>26</v>
      </c>
      <c r="D464" t="str">
        <f>IF(tbl_Original[[#This Row],[Gender2]]="Female","Female",IF(tbl_Original[[#This Row],[Gender2]]="Male","Male","Other"))</f>
        <v>Other</v>
      </c>
      <c r="E464" t="s">
        <v>88</v>
      </c>
      <c r="F464" t="s">
        <v>30</v>
      </c>
      <c r="G464" t="s">
        <v>31</v>
      </c>
      <c r="H464" t="s">
        <v>32</v>
      </c>
      <c r="I464" t="s">
        <v>44</v>
      </c>
      <c r="J464" t="str">
        <f>PROPER(TRIM(CLEAN(tbl_Original[[#This Row],[Column1]])))</f>
        <v>Arad</v>
      </c>
      <c r="K464" t="s">
        <v>2134</v>
      </c>
      <c r="L464" t="s">
        <v>1006</v>
      </c>
      <c r="M464" t="s">
        <v>158</v>
      </c>
      <c r="N464" s="1">
        <v>339.32</v>
      </c>
      <c r="O464">
        <v>9</v>
      </c>
      <c r="P464" t="s">
        <v>48</v>
      </c>
      <c r="Q464">
        <v>2</v>
      </c>
      <c r="R464">
        <v>4</v>
      </c>
      <c r="S464">
        <v>0</v>
      </c>
      <c r="T464" t="s">
        <v>49</v>
      </c>
      <c r="U464" t="s">
        <v>85</v>
      </c>
      <c r="V464">
        <v>1</v>
      </c>
      <c r="W464">
        <v>4</v>
      </c>
      <c r="X464" t="s">
        <v>44</v>
      </c>
      <c r="Y464" t="s">
        <v>38</v>
      </c>
      <c r="Z464" t="s">
        <v>66</v>
      </c>
      <c r="AA464" s="2">
        <v>45540</v>
      </c>
      <c r="AB464" t="b">
        <v>0</v>
      </c>
      <c r="AC464" t="b">
        <v>0</v>
      </c>
      <c r="AD464" t="s">
        <v>40</v>
      </c>
      <c r="AE464" t="s">
        <v>41</v>
      </c>
      <c r="AF464">
        <v>7</v>
      </c>
    </row>
    <row r="465" spans="1:32" x14ac:dyDescent="0.25">
      <c r="A465" t="s">
        <v>1007</v>
      </c>
      <c r="B465">
        <v>463</v>
      </c>
      <c r="C465">
        <v>34</v>
      </c>
      <c r="D465" t="str">
        <f>IF(tbl_Original[[#This Row],[Gender2]]="Female","Female",IF(tbl_Original[[#This Row],[Gender2]]="Male","Male","Other"))</f>
        <v>Male</v>
      </c>
      <c r="E465" t="s">
        <v>43</v>
      </c>
      <c r="F465" t="s">
        <v>44</v>
      </c>
      <c r="G465" t="s">
        <v>76</v>
      </c>
      <c r="H465" t="s">
        <v>32</v>
      </c>
      <c r="I465" t="s">
        <v>30</v>
      </c>
      <c r="J465" t="str">
        <f>PROPER(TRIM(CLEAN(tbl_Original[[#This Row],[Column1]])))</f>
        <v>Lenart V Slov. Goricah</v>
      </c>
      <c r="K465" t="s">
        <v>1008</v>
      </c>
      <c r="L465" t="s">
        <v>1008</v>
      </c>
      <c r="M465" t="s">
        <v>183</v>
      </c>
      <c r="N465" s="1">
        <v>327.05</v>
      </c>
      <c r="O465">
        <v>9</v>
      </c>
      <c r="P465" t="s">
        <v>35</v>
      </c>
      <c r="Q465">
        <v>5</v>
      </c>
      <c r="R465">
        <v>4</v>
      </c>
      <c r="S465">
        <v>0</v>
      </c>
      <c r="T465" t="s">
        <v>59</v>
      </c>
      <c r="U465" t="s">
        <v>37</v>
      </c>
      <c r="V465">
        <v>2</v>
      </c>
      <c r="W465">
        <v>3</v>
      </c>
      <c r="X465" t="s">
        <v>44</v>
      </c>
      <c r="Y465" t="s">
        <v>79</v>
      </c>
      <c r="Z465" t="s">
        <v>86</v>
      </c>
      <c r="AA465" s="2">
        <v>45510</v>
      </c>
      <c r="AB465" t="b">
        <v>0</v>
      </c>
      <c r="AC465" t="b">
        <v>1</v>
      </c>
      <c r="AD465" t="s">
        <v>40</v>
      </c>
      <c r="AE465" t="s">
        <v>41</v>
      </c>
      <c r="AF465">
        <v>7</v>
      </c>
    </row>
    <row r="466" spans="1:32" x14ac:dyDescent="0.25">
      <c r="A466" t="s">
        <v>1009</v>
      </c>
      <c r="B466">
        <v>464</v>
      </c>
      <c r="C466">
        <v>48</v>
      </c>
      <c r="D466" t="str">
        <f>IF(tbl_Original[[#This Row],[Gender2]]="Female","Female",IF(tbl_Original[[#This Row],[Gender2]]="Male","Male","Other"))</f>
        <v>Male</v>
      </c>
      <c r="E466" t="s">
        <v>43</v>
      </c>
      <c r="F466" t="s">
        <v>44</v>
      </c>
      <c r="G466" t="s">
        <v>76</v>
      </c>
      <c r="H466" t="s">
        <v>56</v>
      </c>
      <c r="I466" t="s">
        <v>30</v>
      </c>
      <c r="J466" t="str">
        <f>PROPER(TRIM(CLEAN(tbl_Original[[#This Row],[Column1]])))</f>
        <v>Bigaa</v>
      </c>
      <c r="K466" t="s">
        <v>1010</v>
      </c>
      <c r="L466" t="s">
        <v>1010</v>
      </c>
      <c r="M466" t="s">
        <v>126</v>
      </c>
      <c r="N466" s="1">
        <v>334.45</v>
      </c>
      <c r="O466">
        <v>2</v>
      </c>
      <c r="P466" t="s">
        <v>48</v>
      </c>
      <c r="Q466">
        <v>2</v>
      </c>
      <c r="R466">
        <v>5</v>
      </c>
      <c r="S466">
        <v>0</v>
      </c>
      <c r="T466" t="s">
        <v>49</v>
      </c>
      <c r="U466" t="s">
        <v>50</v>
      </c>
      <c r="V466">
        <v>2</v>
      </c>
      <c r="W466">
        <v>9</v>
      </c>
      <c r="X466" t="s">
        <v>44</v>
      </c>
      <c r="Y466" t="s">
        <v>38</v>
      </c>
      <c r="Z466" t="s">
        <v>39</v>
      </c>
      <c r="AA466" s="2">
        <v>45461</v>
      </c>
      <c r="AB466" t="b">
        <v>1</v>
      </c>
      <c r="AC466" t="b">
        <v>0</v>
      </c>
      <c r="AD466" t="s">
        <v>62</v>
      </c>
      <c r="AE466" t="s">
        <v>41</v>
      </c>
      <c r="AF466">
        <v>6</v>
      </c>
    </row>
    <row r="467" spans="1:32" x14ac:dyDescent="0.25">
      <c r="A467" t="s">
        <v>1011</v>
      </c>
      <c r="B467">
        <v>465</v>
      </c>
      <c r="C467">
        <v>19</v>
      </c>
      <c r="D467" t="str">
        <f>IF(tbl_Original[[#This Row],[Gender2]]="Female","Female",IF(tbl_Original[[#This Row],[Gender2]]="Male","Male","Other"))</f>
        <v>Male</v>
      </c>
      <c r="E467" t="s">
        <v>43</v>
      </c>
      <c r="F467" t="s">
        <v>44</v>
      </c>
      <c r="G467" t="s">
        <v>55</v>
      </c>
      <c r="H467" t="s">
        <v>32</v>
      </c>
      <c r="I467" t="s">
        <v>30</v>
      </c>
      <c r="J467" t="str">
        <f>PROPER(TRIM(CLEAN(tbl_Original[[#This Row],[Column1]])))</f>
        <v>Guadalupe</v>
      </c>
      <c r="K467" t="s">
        <v>1012</v>
      </c>
      <c r="L467" t="s">
        <v>1012</v>
      </c>
      <c r="M467" t="s">
        <v>47</v>
      </c>
      <c r="N467" s="1">
        <v>366.16</v>
      </c>
      <c r="O467">
        <v>12</v>
      </c>
      <c r="P467" t="s">
        <v>35</v>
      </c>
      <c r="Q467">
        <v>4</v>
      </c>
      <c r="R467">
        <v>4</v>
      </c>
      <c r="S467">
        <v>2</v>
      </c>
      <c r="T467" t="s">
        <v>49</v>
      </c>
      <c r="U467" t="s">
        <v>37</v>
      </c>
      <c r="V467">
        <v>1</v>
      </c>
      <c r="W467">
        <v>5</v>
      </c>
      <c r="X467" t="s">
        <v>59</v>
      </c>
      <c r="Y467" t="s">
        <v>79</v>
      </c>
      <c r="Z467" t="s">
        <v>39</v>
      </c>
      <c r="AA467" s="2">
        <v>45530</v>
      </c>
      <c r="AB467" t="b">
        <v>0</v>
      </c>
      <c r="AC467" t="b">
        <v>0</v>
      </c>
      <c r="AD467" t="s">
        <v>40</v>
      </c>
      <c r="AE467" t="s">
        <v>41</v>
      </c>
      <c r="AF467">
        <v>4</v>
      </c>
    </row>
    <row r="468" spans="1:32" x14ac:dyDescent="0.25">
      <c r="A468" t="s">
        <v>1013</v>
      </c>
      <c r="B468">
        <v>466</v>
      </c>
      <c r="C468">
        <v>37</v>
      </c>
      <c r="D468" t="str">
        <f>IF(tbl_Original[[#This Row],[Gender2]]="Female","Female",IF(tbl_Original[[#This Row],[Gender2]]="Male","Male","Other"))</f>
        <v>Female</v>
      </c>
      <c r="E468" t="s">
        <v>29</v>
      </c>
      <c r="F468" t="s">
        <v>44</v>
      </c>
      <c r="G468" t="s">
        <v>69</v>
      </c>
      <c r="H468" t="s">
        <v>32</v>
      </c>
      <c r="I468" t="s">
        <v>30</v>
      </c>
      <c r="J468" t="str">
        <f>PROPER(TRIM(CLEAN(tbl_Original[[#This Row],[Column1]])))</f>
        <v>Xiaruyue</v>
      </c>
      <c r="K468" t="s">
        <v>1014</v>
      </c>
      <c r="L468" t="s">
        <v>1014</v>
      </c>
      <c r="M468" t="s">
        <v>158</v>
      </c>
      <c r="N468" s="1">
        <v>481.78</v>
      </c>
      <c r="O468">
        <v>8</v>
      </c>
      <c r="P468" t="s">
        <v>48</v>
      </c>
      <c r="Q468">
        <v>5</v>
      </c>
      <c r="R468">
        <v>2</v>
      </c>
      <c r="S468">
        <v>0</v>
      </c>
      <c r="T468" t="s">
        <v>49</v>
      </c>
      <c r="U468" t="s">
        <v>85</v>
      </c>
      <c r="V468">
        <v>2</v>
      </c>
      <c r="W468">
        <v>4</v>
      </c>
      <c r="X468" t="s">
        <v>59</v>
      </c>
      <c r="Y468" t="s">
        <v>38</v>
      </c>
      <c r="Z468" t="s">
        <v>61</v>
      </c>
      <c r="AA468" s="2">
        <v>45406</v>
      </c>
      <c r="AB468" t="b">
        <v>1</v>
      </c>
      <c r="AC468" t="b">
        <v>1</v>
      </c>
      <c r="AD468" t="s">
        <v>52</v>
      </c>
      <c r="AE468" t="s">
        <v>67</v>
      </c>
      <c r="AF468">
        <v>1</v>
      </c>
    </row>
    <row r="469" spans="1:32" x14ac:dyDescent="0.25">
      <c r="A469" t="s">
        <v>1015</v>
      </c>
      <c r="B469">
        <v>467</v>
      </c>
      <c r="C469">
        <v>23</v>
      </c>
      <c r="D469" t="str">
        <f>IF(tbl_Original[[#This Row],[Gender2]]="Female","Female",IF(tbl_Original[[#This Row],[Gender2]]="Male","Male","Other"))</f>
        <v>Female</v>
      </c>
      <c r="E469" t="s">
        <v>29</v>
      </c>
      <c r="F469" t="s">
        <v>44</v>
      </c>
      <c r="G469" t="s">
        <v>69</v>
      </c>
      <c r="H469" t="s">
        <v>32</v>
      </c>
      <c r="I469" t="s">
        <v>30</v>
      </c>
      <c r="J469" t="str">
        <f>PROPER(TRIM(CLEAN(tbl_Original[[#This Row],[Column1]])))</f>
        <v>Gweedore</v>
      </c>
      <c r="K469" t="s">
        <v>1016</v>
      </c>
      <c r="L469" t="s">
        <v>1016</v>
      </c>
      <c r="M469" t="s">
        <v>34</v>
      </c>
      <c r="N469" s="1">
        <v>131.47999999999999</v>
      </c>
      <c r="O469">
        <v>8</v>
      </c>
      <c r="P469" t="s">
        <v>35</v>
      </c>
      <c r="Q469">
        <v>3</v>
      </c>
      <c r="R469">
        <v>5</v>
      </c>
      <c r="S469">
        <v>0</v>
      </c>
      <c r="T469" t="s">
        <v>36</v>
      </c>
      <c r="U469" t="s">
        <v>37</v>
      </c>
      <c r="V469">
        <v>2</v>
      </c>
      <c r="W469">
        <v>1</v>
      </c>
      <c r="X469" t="s">
        <v>59</v>
      </c>
      <c r="Y469" t="s">
        <v>38</v>
      </c>
      <c r="Z469" t="s">
        <v>39</v>
      </c>
      <c r="AA469" s="2">
        <v>45512</v>
      </c>
      <c r="AB469" t="b">
        <v>1</v>
      </c>
      <c r="AC469" t="b">
        <v>1</v>
      </c>
      <c r="AD469" t="s">
        <v>52</v>
      </c>
      <c r="AE469" t="s">
        <v>41</v>
      </c>
      <c r="AF469">
        <v>12</v>
      </c>
    </row>
    <row r="470" spans="1:32" x14ac:dyDescent="0.25">
      <c r="A470" t="s">
        <v>1017</v>
      </c>
      <c r="B470">
        <v>468</v>
      </c>
      <c r="C470">
        <v>34</v>
      </c>
      <c r="D470" t="str">
        <f>IF(tbl_Original[[#This Row],[Gender2]]="Female","Female",IF(tbl_Original[[#This Row],[Gender2]]="Male","Male","Other"))</f>
        <v>Female</v>
      </c>
      <c r="E470" t="s">
        <v>29</v>
      </c>
      <c r="F470" t="s">
        <v>44</v>
      </c>
      <c r="G470" t="s">
        <v>69</v>
      </c>
      <c r="H470" t="s">
        <v>56</v>
      </c>
      <c r="I470" t="s">
        <v>44</v>
      </c>
      <c r="J470" t="str">
        <f>PROPER(TRIM(CLEAN(tbl_Original[[#This Row],[Column1]])))</f>
        <v>Przelewice</v>
      </c>
      <c r="K470" t="s">
        <v>1018</v>
      </c>
      <c r="L470" t="s">
        <v>1018</v>
      </c>
      <c r="M470" t="s">
        <v>104</v>
      </c>
      <c r="N470" s="1">
        <v>402.86</v>
      </c>
      <c r="O470">
        <v>11</v>
      </c>
      <c r="P470" t="s">
        <v>48</v>
      </c>
      <c r="Q470">
        <v>3</v>
      </c>
      <c r="R470">
        <v>5</v>
      </c>
      <c r="S470">
        <v>1</v>
      </c>
      <c r="T470" t="s">
        <v>44</v>
      </c>
      <c r="U470" t="s">
        <v>50</v>
      </c>
      <c r="V470">
        <v>0</v>
      </c>
      <c r="W470">
        <v>2</v>
      </c>
      <c r="X470" t="s">
        <v>36</v>
      </c>
      <c r="Y470" t="s">
        <v>79</v>
      </c>
      <c r="Z470" t="s">
        <v>86</v>
      </c>
      <c r="AA470" s="2">
        <v>45540</v>
      </c>
      <c r="AB470" t="b">
        <v>0</v>
      </c>
      <c r="AC470" t="b">
        <v>0</v>
      </c>
      <c r="AD470" t="s">
        <v>62</v>
      </c>
      <c r="AE470" t="s">
        <v>53</v>
      </c>
      <c r="AF470">
        <v>8</v>
      </c>
    </row>
    <row r="471" spans="1:32" x14ac:dyDescent="0.25">
      <c r="A471" t="s">
        <v>1019</v>
      </c>
      <c r="B471">
        <v>469</v>
      </c>
      <c r="C471">
        <v>42</v>
      </c>
      <c r="D471" t="str">
        <f>IF(tbl_Original[[#This Row],[Gender2]]="Female","Female",IF(tbl_Original[[#This Row],[Gender2]]="Male","Male","Other"))</f>
        <v>Male</v>
      </c>
      <c r="E471" t="s">
        <v>43</v>
      </c>
      <c r="F471" t="s">
        <v>44</v>
      </c>
      <c r="G471" t="s">
        <v>55</v>
      </c>
      <c r="H471" t="s">
        <v>32</v>
      </c>
      <c r="I471" t="s">
        <v>30</v>
      </c>
      <c r="J471" t="str">
        <f>PROPER(TRIM(CLEAN(tbl_Original[[#This Row],[Column1]])))</f>
        <v>Dalumangcob</v>
      </c>
      <c r="K471" t="s">
        <v>1020</v>
      </c>
      <c r="L471" t="s">
        <v>1020</v>
      </c>
      <c r="M471" t="s">
        <v>34</v>
      </c>
      <c r="N471" s="1">
        <v>333.18</v>
      </c>
      <c r="O471">
        <v>6</v>
      </c>
      <c r="P471" t="s">
        <v>48</v>
      </c>
      <c r="Q471">
        <v>1</v>
      </c>
      <c r="R471">
        <v>1</v>
      </c>
      <c r="S471">
        <v>0</v>
      </c>
      <c r="T471" t="s">
        <v>49</v>
      </c>
      <c r="U471" t="s">
        <v>85</v>
      </c>
      <c r="V471">
        <v>2</v>
      </c>
      <c r="W471">
        <v>5</v>
      </c>
      <c r="X471" t="s">
        <v>59</v>
      </c>
      <c r="Y471" t="s">
        <v>60</v>
      </c>
      <c r="Z471" t="s">
        <v>66</v>
      </c>
      <c r="AA471" s="2">
        <v>45398</v>
      </c>
      <c r="AB471" t="b">
        <v>1</v>
      </c>
      <c r="AC471" t="b">
        <v>0</v>
      </c>
      <c r="AD471" t="s">
        <v>74</v>
      </c>
      <c r="AE471" t="s">
        <v>67</v>
      </c>
      <c r="AF471">
        <v>8</v>
      </c>
    </row>
    <row r="472" spans="1:32" x14ac:dyDescent="0.25">
      <c r="A472" t="s">
        <v>1021</v>
      </c>
      <c r="B472">
        <v>470</v>
      </c>
      <c r="C472">
        <v>28</v>
      </c>
      <c r="D472" t="str">
        <f>IF(tbl_Original[[#This Row],[Gender2]]="Female","Female",IF(tbl_Original[[#This Row],[Gender2]]="Male","Male","Other"))</f>
        <v>Female</v>
      </c>
      <c r="E472" t="s">
        <v>29</v>
      </c>
      <c r="F472" t="s">
        <v>44</v>
      </c>
      <c r="G472" t="s">
        <v>69</v>
      </c>
      <c r="H472" t="s">
        <v>56</v>
      </c>
      <c r="I472" t="s">
        <v>30</v>
      </c>
      <c r="J472" t="str">
        <f>PROPER(TRIM(CLEAN(tbl_Original[[#This Row],[Column1]])))</f>
        <v>Cravo Norte</v>
      </c>
      <c r="K472" t="s">
        <v>1022</v>
      </c>
      <c r="L472" t="s">
        <v>1022</v>
      </c>
      <c r="M472" t="s">
        <v>135</v>
      </c>
      <c r="N472" s="1">
        <v>73.23</v>
      </c>
      <c r="O472">
        <v>8</v>
      </c>
      <c r="P472" t="s">
        <v>78</v>
      </c>
      <c r="Q472">
        <v>2</v>
      </c>
      <c r="R472">
        <v>2</v>
      </c>
      <c r="S472">
        <v>2</v>
      </c>
      <c r="T472" t="s">
        <v>59</v>
      </c>
      <c r="U472" t="s">
        <v>85</v>
      </c>
      <c r="V472">
        <v>1</v>
      </c>
      <c r="W472">
        <v>2</v>
      </c>
      <c r="X472" t="s">
        <v>59</v>
      </c>
      <c r="Y472" t="s">
        <v>60</v>
      </c>
      <c r="Z472" t="s">
        <v>39</v>
      </c>
      <c r="AA472" s="2">
        <v>45490</v>
      </c>
      <c r="AB472" t="b">
        <v>1</v>
      </c>
      <c r="AC472" t="b">
        <v>1</v>
      </c>
      <c r="AD472" t="s">
        <v>40</v>
      </c>
      <c r="AE472" t="s">
        <v>41</v>
      </c>
      <c r="AF472">
        <v>6</v>
      </c>
    </row>
    <row r="473" spans="1:32" x14ac:dyDescent="0.25">
      <c r="A473" t="s">
        <v>1023</v>
      </c>
      <c r="B473">
        <v>471</v>
      </c>
      <c r="C473">
        <v>28</v>
      </c>
      <c r="D473" t="str">
        <f>IF(tbl_Original[[#This Row],[Gender2]]="Female","Female",IF(tbl_Original[[#This Row],[Gender2]]="Male","Male","Other"))</f>
        <v>Male</v>
      </c>
      <c r="E473" t="s">
        <v>43</v>
      </c>
      <c r="F473" t="s">
        <v>44</v>
      </c>
      <c r="G473" t="s">
        <v>76</v>
      </c>
      <c r="H473" t="s">
        <v>56</v>
      </c>
      <c r="I473" t="s">
        <v>30</v>
      </c>
      <c r="J473" t="str">
        <f>PROPER(TRIM(CLEAN(tbl_Original[[#This Row],[Column1]])))</f>
        <v>Montera</v>
      </c>
      <c r="K473" t="s">
        <v>2205</v>
      </c>
      <c r="L473" t="s">
        <v>1024</v>
      </c>
      <c r="M473" t="s">
        <v>71</v>
      </c>
      <c r="N473" s="1">
        <v>450.47</v>
      </c>
      <c r="O473">
        <v>11</v>
      </c>
      <c r="P473" t="s">
        <v>78</v>
      </c>
      <c r="Q473">
        <v>5</v>
      </c>
      <c r="R473">
        <v>2</v>
      </c>
      <c r="S473">
        <v>2</v>
      </c>
      <c r="T473" t="s">
        <v>36</v>
      </c>
      <c r="U473" t="s">
        <v>50</v>
      </c>
      <c r="V473">
        <v>2</v>
      </c>
      <c r="W473">
        <v>3</v>
      </c>
      <c r="X473" t="s">
        <v>36</v>
      </c>
      <c r="Y473" t="s">
        <v>60</v>
      </c>
      <c r="Z473" t="s">
        <v>39</v>
      </c>
      <c r="AA473" s="2">
        <v>45369</v>
      </c>
      <c r="AB473" t="b">
        <v>1</v>
      </c>
      <c r="AC473" t="b">
        <v>1</v>
      </c>
      <c r="AD473" t="s">
        <v>52</v>
      </c>
      <c r="AE473" t="s">
        <v>67</v>
      </c>
      <c r="AF473">
        <v>10</v>
      </c>
    </row>
    <row r="474" spans="1:32" x14ac:dyDescent="0.25">
      <c r="A474" t="s">
        <v>1025</v>
      </c>
      <c r="B474">
        <v>472</v>
      </c>
      <c r="C474">
        <v>33</v>
      </c>
      <c r="D474" t="str">
        <f>IF(tbl_Original[[#This Row],[Gender2]]="Female","Female",IF(tbl_Original[[#This Row],[Gender2]]="Male","Male","Other"))</f>
        <v>Male</v>
      </c>
      <c r="E474" t="s">
        <v>43</v>
      </c>
      <c r="F474" t="s">
        <v>30</v>
      </c>
      <c r="G474" t="s">
        <v>55</v>
      </c>
      <c r="H474" t="s">
        <v>45</v>
      </c>
      <c r="I474" t="s">
        <v>44</v>
      </c>
      <c r="J474" t="str">
        <f>PROPER(TRIM(CLEAN(tbl_Original[[#This Row],[Column1]])))</f>
        <v>Mikuna</v>
      </c>
      <c r="K474" t="s">
        <v>2206</v>
      </c>
      <c r="L474" t="s">
        <v>1026</v>
      </c>
      <c r="M474" t="s">
        <v>47</v>
      </c>
      <c r="N474" s="1">
        <v>175.74</v>
      </c>
      <c r="O474">
        <v>5</v>
      </c>
      <c r="P474" t="s">
        <v>78</v>
      </c>
      <c r="Q474">
        <v>5</v>
      </c>
      <c r="R474">
        <v>4</v>
      </c>
      <c r="S474">
        <v>1</v>
      </c>
      <c r="T474" t="s">
        <v>49</v>
      </c>
      <c r="U474" t="s">
        <v>50</v>
      </c>
      <c r="V474">
        <v>0</v>
      </c>
      <c r="W474">
        <v>6</v>
      </c>
      <c r="X474" t="s">
        <v>36</v>
      </c>
      <c r="Y474" t="s">
        <v>38</v>
      </c>
      <c r="Z474" t="s">
        <v>86</v>
      </c>
      <c r="AA474" s="2">
        <v>45491</v>
      </c>
      <c r="AB474" t="b">
        <v>0</v>
      </c>
      <c r="AC474" t="b">
        <v>1</v>
      </c>
      <c r="AD474" t="s">
        <v>62</v>
      </c>
      <c r="AE474" t="s">
        <v>41</v>
      </c>
      <c r="AF474">
        <v>6</v>
      </c>
    </row>
    <row r="475" spans="1:32" x14ac:dyDescent="0.25">
      <c r="A475" t="s">
        <v>1027</v>
      </c>
      <c r="B475">
        <v>473</v>
      </c>
      <c r="C475">
        <v>31</v>
      </c>
      <c r="D475" t="str">
        <f>IF(tbl_Original[[#This Row],[Gender2]]="Female","Female",IF(tbl_Original[[#This Row],[Gender2]]="Male","Male","Other"))</f>
        <v>Female</v>
      </c>
      <c r="E475" t="s">
        <v>29</v>
      </c>
      <c r="F475" t="s">
        <v>30</v>
      </c>
      <c r="G475" t="s">
        <v>55</v>
      </c>
      <c r="H475" t="s">
        <v>56</v>
      </c>
      <c r="I475" t="s">
        <v>44</v>
      </c>
      <c r="J475" t="str">
        <f>PROPER(TRIM(CLEAN(tbl_Original[[#This Row],[Column1]])))</f>
        <v>Samamiya</v>
      </c>
      <c r="K475" t="s">
        <v>1028</v>
      </c>
      <c r="L475" t="s">
        <v>1028</v>
      </c>
      <c r="M475" t="s">
        <v>107</v>
      </c>
      <c r="N475" s="1">
        <v>182.6</v>
      </c>
      <c r="O475">
        <v>4</v>
      </c>
      <c r="P475" t="s">
        <v>78</v>
      </c>
      <c r="Q475">
        <v>5</v>
      </c>
      <c r="R475">
        <v>2</v>
      </c>
      <c r="S475">
        <v>0.3</v>
      </c>
      <c r="T475" t="s">
        <v>59</v>
      </c>
      <c r="U475" t="s">
        <v>50</v>
      </c>
      <c r="V475">
        <v>2</v>
      </c>
      <c r="W475">
        <v>9</v>
      </c>
      <c r="X475" t="s">
        <v>44</v>
      </c>
      <c r="Y475" t="s">
        <v>38</v>
      </c>
      <c r="Z475" t="s">
        <v>51</v>
      </c>
      <c r="AA475" s="2">
        <v>45443</v>
      </c>
      <c r="AB475" t="b">
        <v>0</v>
      </c>
      <c r="AC475" t="b">
        <v>1</v>
      </c>
      <c r="AD475" t="s">
        <v>52</v>
      </c>
      <c r="AE475" t="s">
        <v>67</v>
      </c>
      <c r="AF475">
        <v>5</v>
      </c>
    </row>
    <row r="476" spans="1:32" x14ac:dyDescent="0.25">
      <c r="A476" t="s">
        <v>1029</v>
      </c>
      <c r="B476">
        <v>474</v>
      </c>
      <c r="C476">
        <v>20</v>
      </c>
      <c r="D476" t="str">
        <f>IF(tbl_Original[[#This Row],[Gender2]]="Female","Female",IF(tbl_Original[[#This Row],[Gender2]]="Male","Male","Other"))</f>
        <v>Female</v>
      </c>
      <c r="E476" t="s">
        <v>29</v>
      </c>
      <c r="F476" t="s">
        <v>30</v>
      </c>
      <c r="G476" t="s">
        <v>69</v>
      </c>
      <c r="H476" t="s">
        <v>32</v>
      </c>
      <c r="I476" t="s">
        <v>44</v>
      </c>
      <c r="J476" t="str">
        <f>PROPER(TRIM(CLEAN(tbl_Original[[#This Row],[Column1]])))</f>
        <v>Tanahmerah</v>
      </c>
      <c r="K476" t="s">
        <v>1030</v>
      </c>
      <c r="L476" t="s">
        <v>1030</v>
      </c>
      <c r="M476" t="s">
        <v>246</v>
      </c>
      <c r="N476" s="1">
        <v>497.8</v>
      </c>
      <c r="O476">
        <v>2</v>
      </c>
      <c r="P476" t="s">
        <v>78</v>
      </c>
      <c r="Q476">
        <v>3</v>
      </c>
      <c r="R476">
        <v>5</v>
      </c>
      <c r="S476">
        <v>0.2</v>
      </c>
      <c r="T476" t="s">
        <v>44</v>
      </c>
      <c r="U476" t="s">
        <v>37</v>
      </c>
      <c r="V476">
        <v>1</v>
      </c>
      <c r="W476">
        <v>2</v>
      </c>
      <c r="X476" t="s">
        <v>49</v>
      </c>
      <c r="Y476" t="s">
        <v>60</v>
      </c>
      <c r="Z476" t="s">
        <v>66</v>
      </c>
      <c r="AA476" s="2">
        <v>45312</v>
      </c>
      <c r="AB476" t="b">
        <v>1</v>
      </c>
      <c r="AC476" t="b">
        <v>0</v>
      </c>
      <c r="AD476" t="s">
        <v>52</v>
      </c>
      <c r="AE476" t="s">
        <v>41</v>
      </c>
      <c r="AF476">
        <v>9</v>
      </c>
    </row>
    <row r="477" spans="1:32" x14ac:dyDescent="0.25">
      <c r="A477" t="s">
        <v>1031</v>
      </c>
      <c r="B477">
        <v>475</v>
      </c>
      <c r="C477">
        <v>32</v>
      </c>
      <c r="D477" t="str">
        <f>IF(tbl_Original[[#This Row],[Gender2]]="Female","Female",IF(tbl_Original[[#This Row],[Gender2]]="Male","Male","Other"))</f>
        <v>Male</v>
      </c>
      <c r="E477" t="s">
        <v>43</v>
      </c>
      <c r="F477" t="s">
        <v>44</v>
      </c>
      <c r="G477" t="s">
        <v>76</v>
      </c>
      <c r="H477" t="s">
        <v>45</v>
      </c>
      <c r="I477" t="s">
        <v>44</v>
      </c>
      <c r="J477" t="str">
        <f>PROPER(TRIM(CLEAN(tbl_Original[[#This Row],[Column1]])))</f>
        <v>Rebro</v>
      </c>
      <c r="K477" t="s">
        <v>2207</v>
      </c>
      <c r="L477" t="s">
        <v>1032</v>
      </c>
      <c r="M477" t="s">
        <v>47</v>
      </c>
      <c r="N477" s="1">
        <v>171.17</v>
      </c>
      <c r="O477">
        <v>4</v>
      </c>
      <c r="P477" t="s">
        <v>48</v>
      </c>
      <c r="Q477">
        <v>1</v>
      </c>
      <c r="R477">
        <v>3</v>
      </c>
      <c r="S477">
        <v>0</v>
      </c>
      <c r="T477" t="s">
        <v>44</v>
      </c>
      <c r="U477" t="s">
        <v>37</v>
      </c>
      <c r="V477">
        <v>0</v>
      </c>
      <c r="W477">
        <v>4</v>
      </c>
      <c r="X477" t="s">
        <v>49</v>
      </c>
      <c r="Y477" t="s">
        <v>79</v>
      </c>
      <c r="Z477" t="s">
        <v>61</v>
      </c>
      <c r="AA477" s="2">
        <v>45458</v>
      </c>
      <c r="AB477" t="b">
        <v>0</v>
      </c>
      <c r="AC477" t="b">
        <v>1</v>
      </c>
      <c r="AD477" t="s">
        <v>52</v>
      </c>
      <c r="AE477" t="s">
        <v>53</v>
      </c>
      <c r="AF477">
        <v>12</v>
      </c>
    </row>
    <row r="478" spans="1:32" x14ac:dyDescent="0.25">
      <c r="A478" t="s">
        <v>1033</v>
      </c>
      <c r="B478">
        <v>476</v>
      </c>
      <c r="C478">
        <v>27</v>
      </c>
      <c r="D478" t="str">
        <f>IF(tbl_Original[[#This Row],[Gender2]]="Female","Female",IF(tbl_Original[[#This Row],[Gender2]]="Male","Male","Other"))</f>
        <v>Female</v>
      </c>
      <c r="E478" t="s">
        <v>29</v>
      </c>
      <c r="F478" t="s">
        <v>30</v>
      </c>
      <c r="G478" t="s">
        <v>55</v>
      </c>
      <c r="H478" t="s">
        <v>32</v>
      </c>
      <c r="I478" t="s">
        <v>44</v>
      </c>
      <c r="J478" t="str">
        <f>PROPER(TRIM(CLEAN(tbl_Original[[#This Row],[Column1]])))</f>
        <v>Kefar Yona</v>
      </c>
      <c r="K478" t="s">
        <v>1034</v>
      </c>
      <c r="L478" t="s">
        <v>1034</v>
      </c>
      <c r="M478" t="s">
        <v>246</v>
      </c>
      <c r="N478" s="1">
        <v>425.82</v>
      </c>
      <c r="O478">
        <v>3</v>
      </c>
      <c r="P478" t="s">
        <v>48</v>
      </c>
      <c r="Q478">
        <v>4</v>
      </c>
      <c r="R478">
        <v>5</v>
      </c>
      <c r="S478">
        <v>1</v>
      </c>
      <c r="T478" t="s">
        <v>59</v>
      </c>
      <c r="U478" t="s">
        <v>50</v>
      </c>
      <c r="V478">
        <v>1</v>
      </c>
      <c r="W478">
        <v>6</v>
      </c>
      <c r="X478" t="s">
        <v>44</v>
      </c>
      <c r="Y478" t="s">
        <v>60</v>
      </c>
      <c r="Z478" t="s">
        <v>86</v>
      </c>
      <c r="AA478" s="2">
        <v>45401</v>
      </c>
      <c r="AB478" t="b">
        <v>1</v>
      </c>
      <c r="AC478" t="b">
        <v>1</v>
      </c>
      <c r="AD478" t="s">
        <v>52</v>
      </c>
      <c r="AE478" t="s">
        <v>53</v>
      </c>
      <c r="AF478">
        <v>11</v>
      </c>
    </row>
    <row r="479" spans="1:32" x14ac:dyDescent="0.25">
      <c r="A479" t="s">
        <v>1035</v>
      </c>
      <c r="B479">
        <v>477</v>
      </c>
      <c r="C479">
        <v>19</v>
      </c>
      <c r="D479" t="str">
        <f>IF(tbl_Original[[#This Row],[Gender2]]="Female","Female",IF(tbl_Original[[#This Row],[Gender2]]="Male","Male","Other"))</f>
        <v>Female</v>
      </c>
      <c r="E479" t="s">
        <v>29</v>
      </c>
      <c r="F479" t="s">
        <v>30</v>
      </c>
      <c r="G479" t="s">
        <v>69</v>
      </c>
      <c r="H479" t="s">
        <v>32</v>
      </c>
      <c r="I479" t="s">
        <v>30</v>
      </c>
      <c r="J479" t="str">
        <f>PROPER(TRIM(CLEAN(tbl_Original[[#This Row],[Column1]])))</f>
        <v>Pasto</v>
      </c>
      <c r="K479" t="s">
        <v>1036</v>
      </c>
      <c r="L479" t="s">
        <v>1036</v>
      </c>
      <c r="M479" t="s">
        <v>90</v>
      </c>
      <c r="N479" s="1">
        <v>210.58</v>
      </c>
      <c r="O479">
        <v>10</v>
      </c>
      <c r="P479" t="s">
        <v>48</v>
      </c>
      <c r="Q479">
        <v>5</v>
      </c>
      <c r="R479">
        <v>1</v>
      </c>
      <c r="S479">
        <v>2</v>
      </c>
      <c r="T479" t="s">
        <v>59</v>
      </c>
      <c r="U479" t="s">
        <v>37</v>
      </c>
      <c r="V479">
        <v>1</v>
      </c>
      <c r="W479">
        <v>3</v>
      </c>
      <c r="X479" t="s">
        <v>59</v>
      </c>
      <c r="Y479" t="s">
        <v>38</v>
      </c>
      <c r="Z479" t="s">
        <v>61</v>
      </c>
      <c r="AA479" s="2">
        <v>45547</v>
      </c>
      <c r="AB479" t="b">
        <v>1</v>
      </c>
      <c r="AC479" t="b">
        <v>1</v>
      </c>
      <c r="AD479" t="s">
        <v>74</v>
      </c>
      <c r="AE479" t="s">
        <v>41</v>
      </c>
      <c r="AF479">
        <v>8</v>
      </c>
    </row>
    <row r="480" spans="1:32" x14ac:dyDescent="0.25">
      <c r="A480" t="s">
        <v>1037</v>
      </c>
      <c r="B480">
        <v>478</v>
      </c>
      <c r="C480">
        <v>50</v>
      </c>
      <c r="D480" t="str">
        <f>IF(tbl_Original[[#This Row],[Gender2]]="Female","Female",IF(tbl_Original[[#This Row],[Gender2]]="Male","Male","Other"))</f>
        <v>Male</v>
      </c>
      <c r="E480" t="s">
        <v>43</v>
      </c>
      <c r="F480" t="s">
        <v>30</v>
      </c>
      <c r="G480" t="s">
        <v>55</v>
      </c>
      <c r="H480" t="s">
        <v>45</v>
      </c>
      <c r="I480" t="s">
        <v>30</v>
      </c>
      <c r="J480" t="str">
        <f>PROPER(TRIM(CLEAN(tbl_Original[[#This Row],[Column1]])))</f>
        <v>Huangtan</v>
      </c>
      <c r="K480" t="s">
        <v>1038</v>
      </c>
      <c r="L480" t="s">
        <v>1038</v>
      </c>
      <c r="M480" t="s">
        <v>188</v>
      </c>
      <c r="N480" s="1">
        <v>199.64</v>
      </c>
      <c r="O480">
        <v>11</v>
      </c>
      <c r="P480" t="s">
        <v>78</v>
      </c>
      <c r="Q480">
        <v>5</v>
      </c>
      <c r="R480">
        <v>4</v>
      </c>
      <c r="S480">
        <v>1</v>
      </c>
      <c r="T480" t="s">
        <v>44</v>
      </c>
      <c r="U480" t="s">
        <v>37</v>
      </c>
      <c r="V480">
        <v>1</v>
      </c>
      <c r="W480">
        <v>5</v>
      </c>
      <c r="X480" t="s">
        <v>44</v>
      </c>
      <c r="Y480" t="s">
        <v>79</v>
      </c>
      <c r="Z480" t="s">
        <v>51</v>
      </c>
      <c r="AA480" s="2">
        <v>45539</v>
      </c>
      <c r="AB480" t="b">
        <v>0</v>
      </c>
      <c r="AC480" t="b">
        <v>1</v>
      </c>
      <c r="AD480" t="s">
        <v>74</v>
      </c>
      <c r="AE480" t="s">
        <v>67</v>
      </c>
      <c r="AF480">
        <v>8</v>
      </c>
    </row>
    <row r="481" spans="1:32" x14ac:dyDescent="0.25">
      <c r="A481" t="s">
        <v>1039</v>
      </c>
      <c r="B481">
        <v>479</v>
      </c>
      <c r="C481">
        <v>40</v>
      </c>
      <c r="D481" t="str">
        <f>IF(tbl_Original[[#This Row],[Gender2]]="Female","Female",IF(tbl_Original[[#This Row],[Gender2]]="Male","Male","Other"))</f>
        <v>Other</v>
      </c>
      <c r="E481" t="s">
        <v>212</v>
      </c>
      <c r="F481" t="s">
        <v>44</v>
      </c>
      <c r="G481" t="s">
        <v>31</v>
      </c>
      <c r="H481" t="s">
        <v>32</v>
      </c>
      <c r="I481" t="s">
        <v>30</v>
      </c>
      <c r="J481" t="str">
        <f>PROPER(TRIM(CLEAN(tbl_Original[[#This Row],[Column1]])))</f>
        <v>Ilainskiy</v>
      </c>
      <c r="K481" t="s">
        <v>2208</v>
      </c>
      <c r="L481" t="s">
        <v>1040</v>
      </c>
      <c r="M481" t="s">
        <v>114</v>
      </c>
      <c r="N481" s="1">
        <v>162.22</v>
      </c>
      <c r="O481">
        <v>10</v>
      </c>
      <c r="P481" t="s">
        <v>48</v>
      </c>
      <c r="Q481">
        <v>5</v>
      </c>
      <c r="R481">
        <v>5</v>
      </c>
      <c r="S481">
        <v>0.2</v>
      </c>
      <c r="T481" t="s">
        <v>44</v>
      </c>
      <c r="U481" t="s">
        <v>37</v>
      </c>
      <c r="V481">
        <v>1</v>
      </c>
      <c r="W481">
        <v>1</v>
      </c>
      <c r="X481" t="s">
        <v>49</v>
      </c>
      <c r="Y481" t="s">
        <v>79</v>
      </c>
      <c r="Z481" t="s">
        <v>66</v>
      </c>
      <c r="AA481" s="2">
        <v>45410</v>
      </c>
      <c r="AB481" t="b">
        <v>1</v>
      </c>
      <c r="AC481" t="b">
        <v>1</v>
      </c>
      <c r="AD481" t="s">
        <v>52</v>
      </c>
      <c r="AE481" t="s">
        <v>41</v>
      </c>
      <c r="AF481">
        <v>8</v>
      </c>
    </row>
    <row r="482" spans="1:32" x14ac:dyDescent="0.25">
      <c r="A482" t="s">
        <v>1041</v>
      </c>
      <c r="B482">
        <v>480</v>
      </c>
      <c r="C482">
        <v>20</v>
      </c>
      <c r="D482" t="str">
        <f>IF(tbl_Original[[#This Row],[Gender2]]="Female","Female",IF(tbl_Original[[#This Row],[Gender2]]="Male","Male","Other"))</f>
        <v>Male</v>
      </c>
      <c r="E482" t="s">
        <v>43</v>
      </c>
      <c r="F482" t="s">
        <v>44</v>
      </c>
      <c r="G482" t="s">
        <v>31</v>
      </c>
      <c r="H482" t="s">
        <v>32</v>
      </c>
      <c r="I482" t="s">
        <v>44</v>
      </c>
      <c r="J482" t="str">
        <f>PROPER(TRIM(CLEAN(tbl_Original[[#This Row],[Column1]])))</f>
        <v>Ugljevik</v>
      </c>
      <c r="K482" t="s">
        <v>1042</v>
      </c>
      <c r="L482" t="s">
        <v>1042</v>
      </c>
      <c r="M482" t="s">
        <v>90</v>
      </c>
      <c r="N482" s="1">
        <v>401.75</v>
      </c>
      <c r="O482">
        <v>8</v>
      </c>
      <c r="P482" t="s">
        <v>78</v>
      </c>
      <c r="Q482">
        <v>3</v>
      </c>
      <c r="R482">
        <v>4</v>
      </c>
      <c r="S482">
        <v>0.3</v>
      </c>
      <c r="T482" t="s">
        <v>36</v>
      </c>
      <c r="U482" t="s">
        <v>37</v>
      </c>
      <c r="V482">
        <v>1</v>
      </c>
      <c r="W482">
        <v>8</v>
      </c>
      <c r="X482" t="s">
        <v>44</v>
      </c>
      <c r="Y482" t="s">
        <v>60</v>
      </c>
      <c r="Z482" t="s">
        <v>51</v>
      </c>
      <c r="AA482" s="2">
        <v>45634</v>
      </c>
      <c r="AB482" t="b">
        <v>0</v>
      </c>
      <c r="AC482" t="b">
        <v>1</v>
      </c>
      <c r="AD482" t="s">
        <v>52</v>
      </c>
      <c r="AE482" t="s">
        <v>53</v>
      </c>
      <c r="AF482">
        <v>6</v>
      </c>
    </row>
    <row r="483" spans="1:32" x14ac:dyDescent="0.25">
      <c r="A483" t="s">
        <v>1043</v>
      </c>
      <c r="B483">
        <v>481</v>
      </c>
      <c r="C483">
        <v>24</v>
      </c>
      <c r="D483" t="str">
        <f>IF(tbl_Original[[#This Row],[Gender2]]="Female","Female",IF(tbl_Original[[#This Row],[Gender2]]="Male","Male","Other"))</f>
        <v>Female</v>
      </c>
      <c r="E483" t="s">
        <v>29</v>
      </c>
      <c r="F483" t="s">
        <v>30</v>
      </c>
      <c r="G483" t="s">
        <v>31</v>
      </c>
      <c r="H483" t="s">
        <v>56</v>
      </c>
      <c r="I483" t="s">
        <v>30</v>
      </c>
      <c r="J483" t="str">
        <f>PROPER(TRIM(CLEAN(tbl_Original[[#This Row],[Column1]])))</f>
        <v>Na Chaluai</v>
      </c>
      <c r="K483" t="s">
        <v>1044</v>
      </c>
      <c r="L483" t="s">
        <v>1044</v>
      </c>
      <c r="M483" t="s">
        <v>98</v>
      </c>
      <c r="N483" s="1">
        <v>365.88</v>
      </c>
      <c r="O483">
        <v>12</v>
      </c>
      <c r="P483" t="s">
        <v>78</v>
      </c>
      <c r="Q483">
        <v>3</v>
      </c>
      <c r="R483">
        <v>3</v>
      </c>
      <c r="S483">
        <v>2</v>
      </c>
      <c r="T483" t="s">
        <v>49</v>
      </c>
      <c r="U483" t="s">
        <v>85</v>
      </c>
      <c r="V483">
        <v>0</v>
      </c>
      <c r="W483">
        <v>9</v>
      </c>
      <c r="X483" t="s">
        <v>44</v>
      </c>
      <c r="Y483" t="s">
        <v>60</v>
      </c>
      <c r="Z483" t="s">
        <v>66</v>
      </c>
      <c r="AA483" s="2">
        <v>45601</v>
      </c>
      <c r="AB483" t="b">
        <v>1</v>
      </c>
      <c r="AC483" t="b">
        <v>0</v>
      </c>
      <c r="AD483" t="s">
        <v>40</v>
      </c>
      <c r="AE483" t="s">
        <v>67</v>
      </c>
      <c r="AF483">
        <v>7</v>
      </c>
    </row>
    <row r="484" spans="1:32" x14ac:dyDescent="0.25">
      <c r="A484" t="s">
        <v>1045</v>
      </c>
      <c r="B484">
        <v>482</v>
      </c>
      <c r="C484">
        <v>46</v>
      </c>
      <c r="D484" t="str">
        <f>IF(tbl_Original[[#This Row],[Gender2]]="Female","Female",IF(tbl_Original[[#This Row],[Gender2]]="Male","Male","Other"))</f>
        <v>Male</v>
      </c>
      <c r="E484" t="s">
        <v>43</v>
      </c>
      <c r="F484" t="s">
        <v>30</v>
      </c>
      <c r="G484" t="s">
        <v>55</v>
      </c>
      <c r="H484" t="s">
        <v>45</v>
      </c>
      <c r="I484" t="s">
        <v>30</v>
      </c>
      <c r="J484" t="str">
        <f>PROPER(TRIM(CLEAN(tbl_Original[[#This Row],[Column1]])))</f>
        <v>Marolambo</v>
      </c>
      <c r="K484" t="s">
        <v>1046</v>
      </c>
      <c r="L484" t="s">
        <v>1046</v>
      </c>
      <c r="M484" t="s">
        <v>188</v>
      </c>
      <c r="N484" s="1">
        <v>58.29</v>
      </c>
      <c r="O484">
        <v>6</v>
      </c>
      <c r="P484" t="s">
        <v>35</v>
      </c>
      <c r="Q484">
        <v>2</v>
      </c>
      <c r="R484">
        <v>3</v>
      </c>
      <c r="S484">
        <v>2</v>
      </c>
      <c r="T484" t="s">
        <v>49</v>
      </c>
      <c r="U484" t="s">
        <v>37</v>
      </c>
      <c r="V484">
        <v>1</v>
      </c>
      <c r="W484">
        <v>7</v>
      </c>
      <c r="X484" t="s">
        <v>59</v>
      </c>
      <c r="Y484" t="s">
        <v>38</v>
      </c>
      <c r="Z484" t="s">
        <v>66</v>
      </c>
      <c r="AA484" s="2">
        <v>45335</v>
      </c>
      <c r="AB484" t="b">
        <v>0</v>
      </c>
      <c r="AC484" t="b">
        <v>1</v>
      </c>
      <c r="AD484" t="s">
        <v>62</v>
      </c>
      <c r="AE484" t="s">
        <v>53</v>
      </c>
      <c r="AF484">
        <v>14</v>
      </c>
    </row>
    <row r="485" spans="1:32" x14ac:dyDescent="0.25">
      <c r="A485" t="s">
        <v>1047</v>
      </c>
      <c r="B485">
        <v>483</v>
      </c>
      <c r="C485">
        <v>50</v>
      </c>
      <c r="D485" t="str">
        <f>IF(tbl_Original[[#This Row],[Gender2]]="Female","Female",IF(tbl_Original[[#This Row],[Gender2]]="Male","Male","Other"))</f>
        <v>Male</v>
      </c>
      <c r="E485" t="s">
        <v>43</v>
      </c>
      <c r="F485" t="s">
        <v>44</v>
      </c>
      <c r="G485" t="s">
        <v>31</v>
      </c>
      <c r="H485" t="s">
        <v>56</v>
      </c>
      <c r="I485" t="s">
        <v>44</v>
      </c>
      <c r="J485" t="str">
        <f>PROPER(TRIM(CLEAN(tbl_Original[[#This Row],[Column1]])))</f>
        <v>Wiwil</v>
      </c>
      <c r="K485" t="s">
        <v>2130</v>
      </c>
      <c r="L485" t="s">
        <v>64</v>
      </c>
      <c r="M485" t="s">
        <v>142</v>
      </c>
      <c r="N485" s="1">
        <v>66.86</v>
      </c>
      <c r="O485">
        <v>3</v>
      </c>
      <c r="P485" t="s">
        <v>35</v>
      </c>
      <c r="Q485">
        <v>1</v>
      </c>
      <c r="R485">
        <v>1</v>
      </c>
      <c r="S485">
        <v>1</v>
      </c>
      <c r="T485" t="s">
        <v>49</v>
      </c>
      <c r="U485" t="s">
        <v>85</v>
      </c>
      <c r="V485">
        <v>0</v>
      </c>
      <c r="W485">
        <v>10</v>
      </c>
      <c r="X485" t="s">
        <v>49</v>
      </c>
      <c r="Y485" t="s">
        <v>79</v>
      </c>
      <c r="Z485" t="s">
        <v>66</v>
      </c>
      <c r="AA485" s="2">
        <v>45316</v>
      </c>
      <c r="AB485" t="b">
        <v>1</v>
      </c>
      <c r="AC485" t="b">
        <v>1</v>
      </c>
      <c r="AD485" t="s">
        <v>52</v>
      </c>
      <c r="AE485" t="s">
        <v>67</v>
      </c>
      <c r="AF485">
        <v>9</v>
      </c>
    </row>
    <row r="486" spans="1:32" x14ac:dyDescent="0.25">
      <c r="A486" t="s">
        <v>1048</v>
      </c>
      <c r="B486">
        <v>484</v>
      </c>
      <c r="C486">
        <v>29</v>
      </c>
      <c r="D486" t="str">
        <f>IF(tbl_Original[[#This Row],[Gender2]]="Female","Female",IF(tbl_Original[[#This Row],[Gender2]]="Male","Male","Other"))</f>
        <v>Female</v>
      </c>
      <c r="E486" t="s">
        <v>29</v>
      </c>
      <c r="F486" t="s">
        <v>44</v>
      </c>
      <c r="G486" t="s">
        <v>55</v>
      </c>
      <c r="H486" t="s">
        <v>32</v>
      </c>
      <c r="I486" t="s">
        <v>30</v>
      </c>
      <c r="J486" t="str">
        <f>PROPER(TRIM(CLEAN(tbl_Original[[#This Row],[Column1]])))</f>
        <v>Cali</v>
      </c>
      <c r="K486" t="s">
        <v>1049</v>
      </c>
      <c r="L486" t="s">
        <v>1049</v>
      </c>
      <c r="M486" t="s">
        <v>158</v>
      </c>
      <c r="N486" s="1">
        <v>279.33999999999997</v>
      </c>
      <c r="O486">
        <v>5</v>
      </c>
      <c r="P486" t="s">
        <v>35</v>
      </c>
      <c r="Q486">
        <v>3</v>
      </c>
      <c r="R486">
        <v>1</v>
      </c>
      <c r="S486">
        <v>0</v>
      </c>
      <c r="T486" t="s">
        <v>49</v>
      </c>
      <c r="U486" t="s">
        <v>85</v>
      </c>
      <c r="V486">
        <v>2</v>
      </c>
      <c r="W486">
        <v>6</v>
      </c>
      <c r="X486" t="s">
        <v>59</v>
      </c>
      <c r="Y486" t="s">
        <v>38</v>
      </c>
      <c r="Z486" t="s">
        <v>51</v>
      </c>
      <c r="AA486" s="2">
        <v>45526</v>
      </c>
      <c r="AB486" t="b">
        <v>0</v>
      </c>
      <c r="AC486" t="b">
        <v>1</v>
      </c>
      <c r="AD486" t="s">
        <v>52</v>
      </c>
      <c r="AE486" t="s">
        <v>41</v>
      </c>
      <c r="AF486">
        <v>11</v>
      </c>
    </row>
    <row r="487" spans="1:32" x14ac:dyDescent="0.25">
      <c r="A487" t="s">
        <v>1050</v>
      </c>
      <c r="B487">
        <v>485</v>
      </c>
      <c r="C487">
        <v>34</v>
      </c>
      <c r="D487" t="str">
        <f>IF(tbl_Original[[#This Row],[Gender2]]="Female","Female",IF(tbl_Original[[#This Row],[Gender2]]="Male","Male","Other"))</f>
        <v>Other</v>
      </c>
      <c r="E487" t="s">
        <v>148</v>
      </c>
      <c r="F487" t="s">
        <v>44</v>
      </c>
      <c r="G487" t="s">
        <v>76</v>
      </c>
      <c r="H487" t="s">
        <v>32</v>
      </c>
      <c r="I487" t="s">
        <v>44</v>
      </c>
      <c r="J487" t="str">
        <f>PROPER(TRIM(CLEAN(tbl_Original[[#This Row],[Column1]])))</f>
        <v>Tamana</v>
      </c>
      <c r="K487" t="s">
        <v>1051</v>
      </c>
      <c r="L487" t="s">
        <v>1051</v>
      </c>
      <c r="M487" t="s">
        <v>117</v>
      </c>
      <c r="N487" s="1">
        <v>358.5</v>
      </c>
      <c r="O487">
        <v>3</v>
      </c>
      <c r="P487" t="s">
        <v>78</v>
      </c>
      <c r="Q487">
        <v>3</v>
      </c>
      <c r="R487">
        <v>4</v>
      </c>
      <c r="S487">
        <v>2</v>
      </c>
      <c r="T487" t="s">
        <v>49</v>
      </c>
      <c r="U487" t="s">
        <v>85</v>
      </c>
      <c r="V487">
        <v>2</v>
      </c>
      <c r="W487">
        <v>3</v>
      </c>
      <c r="X487" t="s">
        <v>36</v>
      </c>
      <c r="Y487" t="s">
        <v>38</v>
      </c>
      <c r="Z487" t="s">
        <v>86</v>
      </c>
      <c r="AA487" s="2">
        <v>45610</v>
      </c>
      <c r="AB487" t="b">
        <v>0</v>
      </c>
      <c r="AC487" t="b">
        <v>1</v>
      </c>
      <c r="AD487" t="s">
        <v>62</v>
      </c>
      <c r="AE487" t="s">
        <v>53</v>
      </c>
      <c r="AF487">
        <v>8</v>
      </c>
    </row>
    <row r="488" spans="1:32" x14ac:dyDescent="0.25">
      <c r="A488" t="s">
        <v>1052</v>
      </c>
      <c r="B488">
        <v>486</v>
      </c>
      <c r="C488">
        <v>44</v>
      </c>
      <c r="D488" t="str">
        <f>IF(tbl_Original[[#This Row],[Gender2]]="Female","Female",IF(tbl_Original[[#This Row],[Gender2]]="Male","Male","Other"))</f>
        <v>Female</v>
      </c>
      <c r="E488" t="s">
        <v>29</v>
      </c>
      <c r="F488" t="s">
        <v>44</v>
      </c>
      <c r="G488" t="s">
        <v>69</v>
      </c>
      <c r="H488" t="s">
        <v>32</v>
      </c>
      <c r="I488" t="s">
        <v>44</v>
      </c>
      <c r="J488" t="str">
        <f>PROPER(TRIM(CLEAN(tbl_Original[[#This Row],[Column1]])))</f>
        <v>Miyazu</v>
      </c>
      <c r="K488" t="s">
        <v>1053</v>
      </c>
      <c r="L488" t="s">
        <v>1053</v>
      </c>
      <c r="M488" t="s">
        <v>246</v>
      </c>
      <c r="N488" s="1">
        <v>360.92</v>
      </c>
      <c r="O488">
        <v>7</v>
      </c>
      <c r="P488" t="s">
        <v>78</v>
      </c>
      <c r="Q488">
        <v>2</v>
      </c>
      <c r="R488">
        <v>1</v>
      </c>
      <c r="S488">
        <v>2</v>
      </c>
      <c r="T488" t="s">
        <v>36</v>
      </c>
      <c r="U488" t="s">
        <v>85</v>
      </c>
      <c r="V488">
        <v>0</v>
      </c>
      <c r="W488">
        <v>9</v>
      </c>
      <c r="X488" t="s">
        <v>59</v>
      </c>
      <c r="Y488" t="s">
        <v>60</v>
      </c>
      <c r="Z488" t="s">
        <v>51</v>
      </c>
      <c r="AA488" s="2">
        <v>45606</v>
      </c>
      <c r="AB488" t="b">
        <v>0</v>
      </c>
      <c r="AC488" t="b">
        <v>1</v>
      </c>
      <c r="AD488" t="s">
        <v>62</v>
      </c>
      <c r="AE488" t="s">
        <v>53</v>
      </c>
      <c r="AF488">
        <v>8</v>
      </c>
    </row>
    <row r="489" spans="1:32" x14ac:dyDescent="0.25">
      <c r="A489" t="s">
        <v>1054</v>
      </c>
      <c r="B489">
        <v>487</v>
      </c>
      <c r="C489">
        <v>38</v>
      </c>
      <c r="D489" t="str">
        <f>IF(tbl_Original[[#This Row],[Gender2]]="Female","Female",IF(tbl_Original[[#This Row],[Gender2]]="Male","Male","Other"))</f>
        <v>Other</v>
      </c>
      <c r="E489" t="s">
        <v>352</v>
      </c>
      <c r="F489" t="s">
        <v>30</v>
      </c>
      <c r="G489" t="s">
        <v>31</v>
      </c>
      <c r="H489" t="s">
        <v>56</v>
      </c>
      <c r="I489" t="s">
        <v>44</v>
      </c>
      <c r="J489" t="str">
        <f>PROPER(TRIM(CLEAN(tbl_Original[[#This Row],[Column1]])))</f>
        <v>Gryfwlski</v>
      </c>
      <c r="K489" t="s">
        <v>2209</v>
      </c>
      <c r="L489" t="s">
        <v>1055</v>
      </c>
      <c r="M489" t="s">
        <v>158</v>
      </c>
      <c r="N489" s="1">
        <v>374.36</v>
      </c>
      <c r="O489">
        <v>4</v>
      </c>
      <c r="P489" t="s">
        <v>78</v>
      </c>
      <c r="Q489">
        <v>2</v>
      </c>
      <c r="R489">
        <v>2</v>
      </c>
      <c r="S489">
        <v>0</v>
      </c>
      <c r="T489" t="s">
        <v>36</v>
      </c>
      <c r="U489" t="s">
        <v>37</v>
      </c>
      <c r="V489">
        <v>1</v>
      </c>
      <c r="W489">
        <v>9</v>
      </c>
      <c r="X489" t="s">
        <v>36</v>
      </c>
      <c r="Y489" t="s">
        <v>60</v>
      </c>
      <c r="Z489" t="s">
        <v>66</v>
      </c>
      <c r="AA489" s="2">
        <v>45568</v>
      </c>
      <c r="AB489" t="b">
        <v>0</v>
      </c>
      <c r="AC489" t="b">
        <v>0</v>
      </c>
      <c r="AD489" t="s">
        <v>52</v>
      </c>
      <c r="AE489" t="s">
        <v>53</v>
      </c>
      <c r="AF489">
        <v>1</v>
      </c>
    </row>
    <row r="490" spans="1:32" x14ac:dyDescent="0.25">
      <c r="A490" t="s">
        <v>1056</v>
      </c>
      <c r="B490">
        <v>488</v>
      </c>
      <c r="C490">
        <v>22</v>
      </c>
      <c r="D490" t="str">
        <f>IF(tbl_Original[[#This Row],[Gender2]]="Female","Female",IF(tbl_Original[[#This Row],[Gender2]]="Male","Male","Other"))</f>
        <v>Other</v>
      </c>
      <c r="E490" t="s">
        <v>148</v>
      </c>
      <c r="F490" t="s">
        <v>44</v>
      </c>
      <c r="G490" t="s">
        <v>69</v>
      </c>
      <c r="H490" t="s">
        <v>45</v>
      </c>
      <c r="I490" t="s">
        <v>30</v>
      </c>
      <c r="J490" t="str">
        <f>PROPER(TRIM(CLEAN(tbl_Original[[#This Row],[Column1]])))</f>
        <v>Pinagsibaan</v>
      </c>
      <c r="K490" t="s">
        <v>1057</v>
      </c>
      <c r="L490" t="s">
        <v>1057</v>
      </c>
      <c r="M490" t="s">
        <v>123</v>
      </c>
      <c r="N490" s="1">
        <v>435.37</v>
      </c>
      <c r="O490">
        <v>11</v>
      </c>
      <c r="P490" t="s">
        <v>78</v>
      </c>
      <c r="Q490">
        <v>4</v>
      </c>
      <c r="R490">
        <v>2</v>
      </c>
      <c r="S490">
        <v>1</v>
      </c>
      <c r="T490" t="s">
        <v>59</v>
      </c>
      <c r="U490" t="s">
        <v>85</v>
      </c>
      <c r="V490">
        <v>0</v>
      </c>
      <c r="W490">
        <v>3</v>
      </c>
      <c r="X490" t="s">
        <v>44</v>
      </c>
      <c r="Y490" t="s">
        <v>38</v>
      </c>
      <c r="Z490" t="s">
        <v>39</v>
      </c>
      <c r="AA490" s="2">
        <v>45534</v>
      </c>
      <c r="AB490" t="b">
        <v>1</v>
      </c>
      <c r="AC490" t="b">
        <v>1</v>
      </c>
      <c r="AD490" t="s">
        <v>74</v>
      </c>
      <c r="AE490" t="s">
        <v>53</v>
      </c>
      <c r="AF490">
        <v>4</v>
      </c>
    </row>
    <row r="491" spans="1:32" x14ac:dyDescent="0.25">
      <c r="A491" t="s">
        <v>1058</v>
      </c>
      <c r="B491">
        <v>489</v>
      </c>
      <c r="C491">
        <v>44</v>
      </c>
      <c r="D491" t="str">
        <f>IF(tbl_Original[[#This Row],[Gender2]]="Female","Female",IF(tbl_Original[[#This Row],[Gender2]]="Male","Male","Other"))</f>
        <v>Male</v>
      </c>
      <c r="E491" t="s">
        <v>43</v>
      </c>
      <c r="F491" t="s">
        <v>44</v>
      </c>
      <c r="G491" t="s">
        <v>55</v>
      </c>
      <c r="H491" t="s">
        <v>56</v>
      </c>
      <c r="I491" t="s">
        <v>44</v>
      </c>
      <c r="J491" t="str">
        <f>PROPER(TRIM(CLEAN(tbl_Original[[#This Row],[Column1]])))</f>
        <v>Jardin</v>
      </c>
      <c r="K491" t="s">
        <v>1059</v>
      </c>
      <c r="L491" t="s">
        <v>1059</v>
      </c>
      <c r="M491" t="s">
        <v>65</v>
      </c>
      <c r="N491" s="1">
        <v>459.3</v>
      </c>
      <c r="O491">
        <v>9</v>
      </c>
      <c r="P491" t="s">
        <v>78</v>
      </c>
      <c r="Q491">
        <v>4</v>
      </c>
      <c r="R491">
        <v>4</v>
      </c>
      <c r="S491">
        <v>1</v>
      </c>
      <c r="T491" t="s">
        <v>36</v>
      </c>
      <c r="U491" t="s">
        <v>37</v>
      </c>
      <c r="V491">
        <v>2</v>
      </c>
      <c r="W491">
        <v>5</v>
      </c>
      <c r="X491" t="s">
        <v>49</v>
      </c>
      <c r="Y491" t="s">
        <v>79</v>
      </c>
      <c r="Z491" t="s">
        <v>66</v>
      </c>
      <c r="AA491" s="2">
        <v>45574</v>
      </c>
      <c r="AB491" t="b">
        <v>0</v>
      </c>
      <c r="AC491" t="b">
        <v>1</v>
      </c>
      <c r="AD491" t="s">
        <v>74</v>
      </c>
      <c r="AE491" t="s">
        <v>41</v>
      </c>
      <c r="AF491">
        <v>1</v>
      </c>
    </row>
    <row r="492" spans="1:32" x14ac:dyDescent="0.25">
      <c r="A492" t="s">
        <v>1060</v>
      </c>
      <c r="B492">
        <v>490</v>
      </c>
      <c r="C492">
        <v>43</v>
      </c>
      <c r="D492" t="str">
        <f>IF(tbl_Original[[#This Row],[Gender2]]="Female","Female",IF(tbl_Original[[#This Row],[Gender2]]="Male","Male","Other"))</f>
        <v>Female</v>
      </c>
      <c r="E492" t="s">
        <v>29</v>
      </c>
      <c r="F492" t="s">
        <v>44</v>
      </c>
      <c r="G492" t="s">
        <v>76</v>
      </c>
      <c r="H492" t="s">
        <v>56</v>
      </c>
      <c r="I492" t="s">
        <v>30</v>
      </c>
      <c r="J492" t="str">
        <f>PROPER(TRIM(CLEAN(tbl_Original[[#This Row],[Column1]])))</f>
        <v>Aguilares</v>
      </c>
      <c r="K492" t="s">
        <v>1061</v>
      </c>
      <c r="L492" t="s">
        <v>1061</v>
      </c>
      <c r="M492" t="s">
        <v>246</v>
      </c>
      <c r="N492" s="1">
        <v>426.89</v>
      </c>
      <c r="O492">
        <v>2</v>
      </c>
      <c r="P492" t="s">
        <v>35</v>
      </c>
      <c r="Q492">
        <v>5</v>
      </c>
      <c r="R492">
        <v>1</v>
      </c>
      <c r="S492">
        <v>1</v>
      </c>
      <c r="T492" t="s">
        <v>44</v>
      </c>
      <c r="U492" t="s">
        <v>50</v>
      </c>
      <c r="V492">
        <v>1</v>
      </c>
      <c r="W492">
        <v>3</v>
      </c>
      <c r="X492" t="s">
        <v>59</v>
      </c>
      <c r="Y492" t="s">
        <v>60</v>
      </c>
      <c r="Z492" t="s">
        <v>51</v>
      </c>
      <c r="AA492" s="2">
        <v>45598</v>
      </c>
      <c r="AB492" t="b">
        <v>1</v>
      </c>
      <c r="AC492" t="b">
        <v>0</v>
      </c>
      <c r="AD492" t="s">
        <v>52</v>
      </c>
      <c r="AE492" t="s">
        <v>67</v>
      </c>
      <c r="AF492">
        <v>10</v>
      </c>
    </row>
    <row r="493" spans="1:32" x14ac:dyDescent="0.25">
      <c r="A493" t="s">
        <v>1062</v>
      </c>
      <c r="B493">
        <v>491</v>
      </c>
      <c r="C493">
        <v>25</v>
      </c>
      <c r="D493" t="str">
        <f>IF(tbl_Original[[#This Row],[Gender2]]="Female","Female",IF(tbl_Original[[#This Row],[Gender2]]="Male","Male","Other"))</f>
        <v>Male</v>
      </c>
      <c r="E493" t="s">
        <v>43</v>
      </c>
      <c r="F493" t="s">
        <v>30</v>
      </c>
      <c r="G493" t="s">
        <v>76</v>
      </c>
      <c r="H493" t="s">
        <v>56</v>
      </c>
      <c r="I493" t="s">
        <v>44</v>
      </c>
      <c r="J493" t="str">
        <f>PROPER(TRIM(CLEAN(tbl_Original[[#This Row],[Column1]])))</f>
        <v>Muslyumovo</v>
      </c>
      <c r="K493" t="s">
        <v>1063</v>
      </c>
      <c r="L493" t="s">
        <v>1063</v>
      </c>
      <c r="M493" t="s">
        <v>101</v>
      </c>
      <c r="N493" s="1">
        <v>365.37</v>
      </c>
      <c r="O493">
        <v>6</v>
      </c>
      <c r="P493" t="s">
        <v>35</v>
      </c>
      <c r="Q493">
        <v>1</v>
      </c>
      <c r="R493">
        <v>2</v>
      </c>
      <c r="S493">
        <v>1</v>
      </c>
      <c r="T493" t="s">
        <v>59</v>
      </c>
      <c r="U493" t="s">
        <v>85</v>
      </c>
      <c r="V493">
        <v>1</v>
      </c>
      <c r="W493">
        <v>5</v>
      </c>
      <c r="X493" t="s">
        <v>59</v>
      </c>
      <c r="Y493" t="s">
        <v>60</v>
      </c>
      <c r="Z493" t="s">
        <v>51</v>
      </c>
      <c r="AA493" s="2">
        <v>45475</v>
      </c>
      <c r="AB493" t="b">
        <v>1</v>
      </c>
      <c r="AC493" t="b">
        <v>1</v>
      </c>
      <c r="AD493" t="s">
        <v>52</v>
      </c>
      <c r="AE493" t="s">
        <v>67</v>
      </c>
      <c r="AF493">
        <v>7</v>
      </c>
    </row>
    <row r="494" spans="1:32" x14ac:dyDescent="0.25">
      <c r="A494" t="s">
        <v>1064</v>
      </c>
      <c r="B494">
        <v>492</v>
      </c>
      <c r="C494">
        <v>21</v>
      </c>
      <c r="D494" t="str">
        <f>IF(tbl_Original[[#This Row],[Gender2]]="Female","Female",IF(tbl_Original[[#This Row],[Gender2]]="Male","Male","Other"))</f>
        <v>Female</v>
      </c>
      <c r="E494" t="s">
        <v>29</v>
      </c>
      <c r="F494" t="s">
        <v>30</v>
      </c>
      <c r="G494" t="s">
        <v>76</v>
      </c>
      <c r="H494" t="s">
        <v>56</v>
      </c>
      <c r="I494" t="s">
        <v>44</v>
      </c>
      <c r="J494" t="str">
        <f>PROPER(TRIM(CLEAN(tbl_Original[[#This Row],[Column1]])))</f>
        <v>Taiyuan</v>
      </c>
      <c r="K494" t="s">
        <v>1065</v>
      </c>
      <c r="L494" t="s">
        <v>1065</v>
      </c>
      <c r="M494" t="s">
        <v>93</v>
      </c>
      <c r="N494" s="1">
        <v>487.25</v>
      </c>
      <c r="O494">
        <v>4</v>
      </c>
      <c r="P494" t="s">
        <v>78</v>
      </c>
      <c r="Q494">
        <v>3</v>
      </c>
      <c r="R494">
        <v>2</v>
      </c>
      <c r="S494">
        <v>1</v>
      </c>
      <c r="T494" t="s">
        <v>44</v>
      </c>
      <c r="U494" t="s">
        <v>85</v>
      </c>
      <c r="V494">
        <v>0</v>
      </c>
      <c r="W494">
        <v>4</v>
      </c>
      <c r="X494" t="s">
        <v>44</v>
      </c>
      <c r="Y494" t="s">
        <v>79</v>
      </c>
      <c r="Z494" t="s">
        <v>86</v>
      </c>
      <c r="AA494" s="2">
        <v>45573</v>
      </c>
      <c r="AB494" t="b">
        <v>0</v>
      </c>
      <c r="AC494" t="b">
        <v>0</v>
      </c>
      <c r="AD494" t="s">
        <v>52</v>
      </c>
      <c r="AE494" t="s">
        <v>53</v>
      </c>
      <c r="AF494">
        <v>1</v>
      </c>
    </row>
    <row r="495" spans="1:32" x14ac:dyDescent="0.25">
      <c r="A495" t="s">
        <v>1066</v>
      </c>
      <c r="B495">
        <v>493</v>
      </c>
      <c r="C495">
        <v>29</v>
      </c>
      <c r="D495" t="str">
        <f>IF(tbl_Original[[#This Row],[Gender2]]="Female","Female",IF(tbl_Original[[#This Row],[Gender2]]="Male","Male","Other"))</f>
        <v>Female</v>
      </c>
      <c r="E495" t="s">
        <v>29</v>
      </c>
      <c r="F495" t="s">
        <v>30</v>
      </c>
      <c r="G495" t="s">
        <v>31</v>
      </c>
      <c r="H495" t="s">
        <v>45</v>
      </c>
      <c r="I495" t="s">
        <v>44</v>
      </c>
      <c r="J495" t="str">
        <f>PROPER(TRIM(CLEAN(tbl_Original[[#This Row],[Column1]])))</f>
        <v>Chatturat</v>
      </c>
      <c r="K495" t="s">
        <v>1067</v>
      </c>
      <c r="L495" t="s">
        <v>1067</v>
      </c>
      <c r="M495" t="s">
        <v>123</v>
      </c>
      <c r="N495" s="1">
        <v>187.22</v>
      </c>
      <c r="O495">
        <v>10</v>
      </c>
      <c r="P495" t="s">
        <v>78</v>
      </c>
      <c r="Q495">
        <v>5</v>
      </c>
      <c r="R495">
        <v>3</v>
      </c>
      <c r="S495">
        <v>0</v>
      </c>
      <c r="T495" t="s">
        <v>49</v>
      </c>
      <c r="U495" t="s">
        <v>85</v>
      </c>
      <c r="V495">
        <v>1</v>
      </c>
      <c r="W495">
        <v>4</v>
      </c>
      <c r="X495" t="s">
        <v>59</v>
      </c>
      <c r="Y495" t="s">
        <v>79</v>
      </c>
      <c r="Z495" t="s">
        <v>39</v>
      </c>
      <c r="AA495" s="2">
        <v>45447</v>
      </c>
      <c r="AB495" t="b">
        <v>0</v>
      </c>
      <c r="AC495" t="b">
        <v>0</v>
      </c>
      <c r="AD495" t="s">
        <v>52</v>
      </c>
      <c r="AE495" t="s">
        <v>53</v>
      </c>
      <c r="AF495">
        <v>4</v>
      </c>
    </row>
    <row r="496" spans="1:32" x14ac:dyDescent="0.25">
      <c r="A496" t="s">
        <v>1068</v>
      </c>
      <c r="B496">
        <v>494</v>
      </c>
      <c r="C496">
        <v>41</v>
      </c>
      <c r="D496" t="str">
        <f>IF(tbl_Original[[#This Row],[Gender2]]="Female","Female",IF(tbl_Original[[#This Row],[Gender2]]="Male","Male","Other"))</f>
        <v>Male</v>
      </c>
      <c r="E496" t="s">
        <v>43</v>
      </c>
      <c r="F496" t="s">
        <v>44</v>
      </c>
      <c r="G496" t="s">
        <v>76</v>
      </c>
      <c r="H496" t="s">
        <v>56</v>
      </c>
      <c r="I496" t="s">
        <v>44</v>
      </c>
      <c r="J496" t="str">
        <f>PROPER(TRIM(CLEAN(tbl_Original[[#This Row],[Column1]])))</f>
        <v>Paisha</v>
      </c>
      <c r="K496" t="s">
        <v>1069</v>
      </c>
      <c r="L496" t="s">
        <v>1069</v>
      </c>
      <c r="M496" t="s">
        <v>126</v>
      </c>
      <c r="N496" s="1">
        <v>396.82</v>
      </c>
      <c r="O496">
        <v>7</v>
      </c>
      <c r="P496" t="s">
        <v>35</v>
      </c>
      <c r="Q496">
        <v>3</v>
      </c>
      <c r="R496">
        <v>4</v>
      </c>
      <c r="S496">
        <v>1</v>
      </c>
      <c r="T496" t="s">
        <v>36</v>
      </c>
      <c r="U496" t="s">
        <v>37</v>
      </c>
      <c r="V496">
        <v>1</v>
      </c>
      <c r="W496">
        <v>9</v>
      </c>
      <c r="X496" t="s">
        <v>44</v>
      </c>
      <c r="Y496" t="s">
        <v>79</v>
      </c>
      <c r="Z496" t="s">
        <v>39</v>
      </c>
      <c r="AA496" s="2">
        <v>45517</v>
      </c>
      <c r="AB496" t="b">
        <v>1</v>
      </c>
      <c r="AC496" t="b">
        <v>1</v>
      </c>
      <c r="AD496" t="s">
        <v>40</v>
      </c>
      <c r="AE496" t="s">
        <v>41</v>
      </c>
      <c r="AF496">
        <v>9</v>
      </c>
    </row>
    <row r="497" spans="1:32" x14ac:dyDescent="0.25">
      <c r="A497" t="s">
        <v>1070</v>
      </c>
      <c r="B497">
        <v>495</v>
      </c>
      <c r="C497">
        <v>38</v>
      </c>
      <c r="D497" t="str">
        <f>IF(tbl_Original[[#This Row],[Gender2]]="Female","Female",IF(tbl_Original[[#This Row],[Gender2]]="Male","Male","Other"))</f>
        <v>Other</v>
      </c>
      <c r="E497" t="s">
        <v>148</v>
      </c>
      <c r="F497" t="s">
        <v>44</v>
      </c>
      <c r="G497" t="s">
        <v>76</v>
      </c>
      <c r="H497" t="s">
        <v>56</v>
      </c>
      <c r="I497" t="s">
        <v>44</v>
      </c>
      <c r="J497" t="str">
        <f>PROPER(TRIM(CLEAN(tbl_Original[[#This Row],[Column1]])))</f>
        <v>Kadugadung</v>
      </c>
      <c r="K497" t="s">
        <v>1071</v>
      </c>
      <c r="L497" t="s">
        <v>1071</v>
      </c>
      <c r="M497" t="s">
        <v>194</v>
      </c>
      <c r="N497" s="1">
        <v>246.74</v>
      </c>
      <c r="O497">
        <v>10</v>
      </c>
      <c r="P497" t="s">
        <v>78</v>
      </c>
      <c r="Q497">
        <v>2</v>
      </c>
      <c r="R497">
        <v>3</v>
      </c>
      <c r="S497">
        <v>0</v>
      </c>
      <c r="T497" t="s">
        <v>49</v>
      </c>
      <c r="U497" t="s">
        <v>50</v>
      </c>
      <c r="V497">
        <v>1</v>
      </c>
      <c r="W497">
        <v>6</v>
      </c>
      <c r="X497" t="s">
        <v>44</v>
      </c>
      <c r="Y497" t="s">
        <v>79</v>
      </c>
      <c r="Z497" t="s">
        <v>51</v>
      </c>
      <c r="AA497" s="2">
        <v>45378</v>
      </c>
      <c r="AB497" t="b">
        <v>0</v>
      </c>
      <c r="AC497" t="b">
        <v>0</v>
      </c>
      <c r="AD497" t="s">
        <v>40</v>
      </c>
      <c r="AE497" t="s">
        <v>67</v>
      </c>
      <c r="AF497">
        <v>8</v>
      </c>
    </row>
    <row r="498" spans="1:32" x14ac:dyDescent="0.25">
      <c r="A498" t="s">
        <v>1072</v>
      </c>
      <c r="B498">
        <v>496</v>
      </c>
      <c r="C498">
        <v>26</v>
      </c>
      <c r="D498" t="str">
        <f>IF(tbl_Original[[#This Row],[Gender2]]="Female","Female",IF(tbl_Original[[#This Row],[Gender2]]="Male","Male","Other"))</f>
        <v>Male</v>
      </c>
      <c r="E498" t="s">
        <v>43</v>
      </c>
      <c r="F498" t="s">
        <v>44</v>
      </c>
      <c r="G498" t="s">
        <v>69</v>
      </c>
      <c r="H498" t="s">
        <v>32</v>
      </c>
      <c r="I498" t="s">
        <v>44</v>
      </c>
      <c r="J498" t="str">
        <f>PROPER(TRIM(CLEAN(tbl_Original[[#This Row],[Column1]])))</f>
        <v>Paris 15</v>
      </c>
      <c r="K498" t="s">
        <v>1073</v>
      </c>
      <c r="L498" t="s">
        <v>1073</v>
      </c>
      <c r="M498" t="s">
        <v>98</v>
      </c>
      <c r="N498" s="1">
        <v>128.74</v>
      </c>
      <c r="O498">
        <v>12</v>
      </c>
      <c r="P498" t="s">
        <v>35</v>
      </c>
      <c r="Q498">
        <v>5</v>
      </c>
      <c r="R498">
        <v>1</v>
      </c>
      <c r="S498">
        <v>1</v>
      </c>
      <c r="T498" t="s">
        <v>49</v>
      </c>
      <c r="U498" t="s">
        <v>37</v>
      </c>
      <c r="V498">
        <v>1</v>
      </c>
      <c r="W498">
        <v>8</v>
      </c>
      <c r="X498" t="s">
        <v>44</v>
      </c>
      <c r="Y498" t="s">
        <v>79</v>
      </c>
      <c r="Z498" t="s">
        <v>51</v>
      </c>
      <c r="AA498" s="2">
        <v>45297</v>
      </c>
      <c r="AB498" t="b">
        <v>0</v>
      </c>
      <c r="AC498" t="b">
        <v>1</v>
      </c>
      <c r="AD498" t="s">
        <v>74</v>
      </c>
      <c r="AE498" t="s">
        <v>53</v>
      </c>
      <c r="AF498">
        <v>1</v>
      </c>
    </row>
    <row r="499" spans="1:32" x14ac:dyDescent="0.25">
      <c r="A499" t="s">
        <v>1074</v>
      </c>
      <c r="B499">
        <v>497</v>
      </c>
      <c r="C499">
        <v>41</v>
      </c>
      <c r="D499" t="str">
        <f>IF(tbl_Original[[#This Row],[Gender2]]="Female","Female",IF(tbl_Original[[#This Row],[Gender2]]="Male","Male","Other"))</f>
        <v>Female</v>
      </c>
      <c r="E499" t="s">
        <v>29</v>
      </c>
      <c r="F499" t="s">
        <v>30</v>
      </c>
      <c r="G499" t="s">
        <v>69</v>
      </c>
      <c r="H499" t="s">
        <v>56</v>
      </c>
      <c r="I499" t="s">
        <v>30</v>
      </c>
      <c r="J499" t="str">
        <f>PROPER(TRIM(CLEAN(tbl_Original[[#This Row],[Column1]])))</f>
        <v>Dualing</v>
      </c>
      <c r="K499" t="s">
        <v>1075</v>
      </c>
      <c r="L499" t="s">
        <v>1075</v>
      </c>
      <c r="M499" t="s">
        <v>126</v>
      </c>
      <c r="N499" s="1">
        <v>339.63</v>
      </c>
      <c r="O499">
        <v>2</v>
      </c>
      <c r="P499" t="s">
        <v>48</v>
      </c>
      <c r="Q499">
        <v>3</v>
      </c>
      <c r="R499">
        <v>3</v>
      </c>
      <c r="S499">
        <v>2</v>
      </c>
      <c r="T499" t="s">
        <v>49</v>
      </c>
      <c r="U499" t="s">
        <v>85</v>
      </c>
      <c r="V499">
        <v>2</v>
      </c>
      <c r="W499">
        <v>1</v>
      </c>
      <c r="X499" t="s">
        <v>59</v>
      </c>
      <c r="Y499" t="s">
        <v>38</v>
      </c>
      <c r="Z499" t="s">
        <v>51</v>
      </c>
      <c r="AA499" s="2">
        <v>45530</v>
      </c>
      <c r="AB499" t="b">
        <v>1</v>
      </c>
      <c r="AC499" t="b">
        <v>0</v>
      </c>
      <c r="AD499" t="s">
        <v>62</v>
      </c>
      <c r="AE499" t="s">
        <v>41</v>
      </c>
      <c r="AF499">
        <v>6</v>
      </c>
    </row>
    <row r="500" spans="1:32" x14ac:dyDescent="0.25">
      <c r="A500" t="s">
        <v>1076</v>
      </c>
      <c r="B500">
        <v>498</v>
      </c>
      <c r="C500">
        <v>46</v>
      </c>
      <c r="D500" t="str">
        <f>IF(tbl_Original[[#This Row],[Gender2]]="Female","Female",IF(tbl_Original[[#This Row],[Gender2]]="Male","Male","Other"))</f>
        <v>Female</v>
      </c>
      <c r="E500" t="s">
        <v>29</v>
      </c>
      <c r="F500" t="s">
        <v>44</v>
      </c>
      <c r="G500" t="s">
        <v>55</v>
      </c>
      <c r="H500" t="s">
        <v>32</v>
      </c>
      <c r="I500" t="s">
        <v>44</v>
      </c>
      <c r="J500" t="str">
        <f>PROPER(TRIM(CLEAN(tbl_Original[[#This Row],[Column1]])))</f>
        <v>Adelaide</v>
      </c>
      <c r="K500" t="s">
        <v>1077</v>
      </c>
      <c r="L500" t="s">
        <v>1077</v>
      </c>
      <c r="M500" t="s">
        <v>90</v>
      </c>
      <c r="N500" s="1">
        <v>223.58</v>
      </c>
      <c r="O500">
        <v>11</v>
      </c>
      <c r="P500" t="s">
        <v>35</v>
      </c>
      <c r="Q500">
        <v>4</v>
      </c>
      <c r="R500">
        <v>3</v>
      </c>
      <c r="S500">
        <v>0</v>
      </c>
      <c r="T500" t="s">
        <v>44</v>
      </c>
      <c r="U500" t="s">
        <v>85</v>
      </c>
      <c r="V500">
        <v>0</v>
      </c>
      <c r="W500">
        <v>6</v>
      </c>
      <c r="X500" t="s">
        <v>36</v>
      </c>
      <c r="Y500" t="s">
        <v>38</v>
      </c>
      <c r="Z500" t="s">
        <v>51</v>
      </c>
      <c r="AA500" s="2">
        <v>45432</v>
      </c>
      <c r="AB500" t="b">
        <v>0</v>
      </c>
      <c r="AC500" t="b">
        <v>0</v>
      </c>
      <c r="AD500" t="s">
        <v>62</v>
      </c>
      <c r="AE500" t="s">
        <v>41</v>
      </c>
      <c r="AF500">
        <v>11</v>
      </c>
    </row>
    <row r="501" spans="1:32" x14ac:dyDescent="0.25">
      <c r="A501" t="s">
        <v>1078</v>
      </c>
      <c r="B501">
        <v>499</v>
      </c>
      <c r="C501">
        <v>39</v>
      </c>
      <c r="D501" t="str">
        <f>IF(tbl_Original[[#This Row],[Gender2]]="Female","Female",IF(tbl_Original[[#This Row],[Gender2]]="Male","Male","Other"))</f>
        <v>Other</v>
      </c>
      <c r="E501" t="s">
        <v>352</v>
      </c>
      <c r="F501" t="s">
        <v>44</v>
      </c>
      <c r="G501" t="s">
        <v>69</v>
      </c>
      <c r="H501" t="s">
        <v>32</v>
      </c>
      <c r="I501" t="s">
        <v>30</v>
      </c>
      <c r="J501" t="str">
        <f>PROPER(TRIM(CLEAN(tbl_Original[[#This Row],[Column1]])))</f>
        <v>Pingshi</v>
      </c>
      <c r="K501" t="s">
        <v>1079</v>
      </c>
      <c r="L501" t="s">
        <v>1079</v>
      </c>
      <c r="M501" t="s">
        <v>34</v>
      </c>
      <c r="N501" s="1">
        <v>446.92</v>
      </c>
      <c r="O501">
        <v>5</v>
      </c>
      <c r="P501" t="s">
        <v>35</v>
      </c>
      <c r="Q501">
        <v>1</v>
      </c>
      <c r="R501">
        <v>1</v>
      </c>
      <c r="S501">
        <v>1</v>
      </c>
      <c r="T501" t="s">
        <v>49</v>
      </c>
      <c r="U501" t="s">
        <v>85</v>
      </c>
      <c r="V501">
        <v>2</v>
      </c>
      <c r="W501">
        <v>6</v>
      </c>
      <c r="X501" t="s">
        <v>36</v>
      </c>
      <c r="Y501" t="s">
        <v>60</v>
      </c>
      <c r="Z501" t="s">
        <v>51</v>
      </c>
      <c r="AA501" s="2">
        <v>45492</v>
      </c>
      <c r="AB501" t="b">
        <v>1</v>
      </c>
      <c r="AC501" t="b">
        <v>0</v>
      </c>
      <c r="AD501" t="s">
        <v>74</v>
      </c>
      <c r="AE501" t="s">
        <v>67</v>
      </c>
      <c r="AF501">
        <v>10</v>
      </c>
    </row>
    <row r="502" spans="1:32" x14ac:dyDescent="0.25">
      <c r="A502" t="s">
        <v>1080</v>
      </c>
      <c r="B502">
        <v>500</v>
      </c>
      <c r="C502">
        <v>43</v>
      </c>
      <c r="D502" t="str">
        <f>IF(tbl_Original[[#This Row],[Gender2]]="Female","Female",IF(tbl_Original[[#This Row],[Gender2]]="Male","Male","Other"))</f>
        <v>Male</v>
      </c>
      <c r="E502" t="s">
        <v>43</v>
      </c>
      <c r="F502" t="s">
        <v>30</v>
      </c>
      <c r="G502" t="s">
        <v>76</v>
      </c>
      <c r="H502" t="s">
        <v>32</v>
      </c>
      <c r="I502" t="s">
        <v>30</v>
      </c>
      <c r="J502" t="str">
        <f>PROPER(TRIM(CLEAN(tbl_Original[[#This Row],[Column1]])))</f>
        <v>Renshan</v>
      </c>
      <c r="K502" t="s">
        <v>1081</v>
      </c>
      <c r="L502" t="s">
        <v>1081</v>
      </c>
      <c r="M502" t="s">
        <v>117</v>
      </c>
      <c r="N502" s="1">
        <v>175.65</v>
      </c>
      <c r="O502">
        <v>11</v>
      </c>
      <c r="P502" t="s">
        <v>35</v>
      </c>
      <c r="Q502">
        <v>4</v>
      </c>
      <c r="R502">
        <v>3</v>
      </c>
      <c r="S502">
        <v>2</v>
      </c>
      <c r="T502" t="s">
        <v>59</v>
      </c>
      <c r="U502" t="s">
        <v>50</v>
      </c>
      <c r="V502">
        <v>1</v>
      </c>
      <c r="W502">
        <v>7</v>
      </c>
      <c r="X502" t="s">
        <v>36</v>
      </c>
      <c r="Y502" t="s">
        <v>38</v>
      </c>
      <c r="Z502" t="s">
        <v>66</v>
      </c>
      <c r="AA502" s="2">
        <v>45634</v>
      </c>
      <c r="AB502" t="b">
        <v>0</v>
      </c>
      <c r="AC502" t="b">
        <v>1</v>
      </c>
      <c r="AD502" t="s">
        <v>52</v>
      </c>
      <c r="AE502" t="s">
        <v>67</v>
      </c>
      <c r="AF502">
        <v>8</v>
      </c>
    </row>
    <row r="503" spans="1:32" x14ac:dyDescent="0.25">
      <c r="A503" t="s">
        <v>1082</v>
      </c>
      <c r="B503">
        <v>501</v>
      </c>
      <c r="C503">
        <v>44</v>
      </c>
      <c r="D503" t="str">
        <f>IF(tbl_Original[[#This Row],[Gender2]]="Female","Female",IF(tbl_Original[[#This Row],[Gender2]]="Male","Male","Other"))</f>
        <v>Other</v>
      </c>
      <c r="E503" t="s">
        <v>148</v>
      </c>
      <c r="F503" t="s">
        <v>30</v>
      </c>
      <c r="G503" t="s">
        <v>31</v>
      </c>
      <c r="H503" t="s">
        <v>32</v>
      </c>
      <c r="I503" t="s">
        <v>30</v>
      </c>
      <c r="J503" t="str">
        <f>PROPER(TRIM(CLEAN(tbl_Original[[#This Row],[Column1]])))</f>
        <v>Sobinka</v>
      </c>
      <c r="K503" t="s">
        <v>1083</v>
      </c>
      <c r="L503" t="s">
        <v>1083</v>
      </c>
      <c r="M503" t="s">
        <v>183</v>
      </c>
      <c r="N503" s="1">
        <v>491.49</v>
      </c>
      <c r="O503">
        <v>10</v>
      </c>
      <c r="P503" t="s">
        <v>35</v>
      </c>
      <c r="Q503">
        <v>1</v>
      </c>
      <c r="R503">
        <v>1</v>
      </c>
      <c r="S503">
        <v>0</v>
      </c>
      <c r="T503" t="s">
        <v>59</v>
      </c>
      <c r="U503" t="s">
        <v>37</v>
      </c>
      <c r="V503">
        <v>2</v>
      </c>
      <c r="W503">
        <v>7</v>
      </c>
      <c r="X503" t="s">
        <v>36</v>
      </c>
      <c r="Y503" t="s">
        <v>79</v>
      </c>
      <c r="Z503" t="s">
        <v>51</v>
      </c>
      <c r="AA503" s="2">
        <v>45440</v>
      </c>
      <c r="AB503" t="b">
        <v>0</v>
      </c>
      <c r="AC503" t="b">
        <v>0</v>
      </c>
      <c r="AD503" t="s">
        <v>74</v>
      </c>
      <c r="AE503" t="s">
        <v>53</v>
      </c>
      <c r="AF503">
        <v>1</v>
      </c>
    </row>
    <row r="504" spans="1:32" x14ac:dyDescent="0.25">
      <c r="A504" t="s">
        <v>1084</v>
      </c>
      <c r="B504">
        <v>502</v>
      </c>
      <c r="C504">
        <v>26</v>
      </c>
      <c r="D504" t="str">
        <f>IF(tbl_Original[[#This Row],[Gender2]]="Female","Female",IF(tbl_Original[[#This Row],[Gender2]]="Male","Male","Other"))</f>
        <v>Male</v>
      </c>
      <c r="E504" t="s">
        <v>43</v>
      </c>
      <c r="F504" t="s">
        <v>30</v>
      </c>
      <c r="G504" t="s">
        <v>69</v>
      </c>
      <c r="H504" t="s">
        <v>32</v>
      </c>
      <c r="I504" t="s">
        <v>30</v>
      </c>
      <c r="J504" t="str">
        <f>PROPER(TRIM(CLEAN(tbl_Original[[#This Row],[Column1]])))</f>
        <v>Narol</v>
      </c>
      <c r="K504" t="s">
        <v>1085</v>
      </c>
      <c r="L504" t="s">
        <v>1085</v>
      </c>
      <c r="M504" t="s">
        <v>188</v>
      </c>
      <c r="N504" s="1">
        <v>88.4</v>
      </c>
      <c r="O504">
        <v>5</v>
      </c>
      <c r="P504" t="s">
        <v>48</v>
      </c>
      <c r="Q504">
        <v>5</v>
      </c>
      <c r="R504">
        <v>2</v>
      </c>
      <c r="S504">
        <v>0</v>
      </c>
      <c r="T504" t="s">
        <v>49</v>
      </c>
      <c r="U504" t="s">
        <v>50</v>
      </c>
      <c r="V504">
        <v>0</v>
      </c>
      <c r="W504">
        <v>4</v>
      </c>
      <c r="X504" t="s">
        <v>49</v>
      </c>
      <c r="Y504" t="s">
        <v>79</v>
      </c>
      <c r="Z504" t="s">
        <v>86</v>
      </c>
      <c r="AA504" s="2">
        <v>45438</v>
      </c>
      <c r="AB504" t="b">
        <v>1</v>
      </c>
      <c r="AC504" t="b">
        <v>0</v>
      </c>
      <c r="AD504" t="s">
        <v>40</v>
      </c>
      <c r="AE504" t="s">
        <v>41</v>
      </c>
      <c r="AF504">
        <v>4</v>
      </c>
    </row>
    <row r="505" spans="1:32" x14ac:dyDescent="0.25">
      <c r="A505" t="s">
        <v>1086</v>
      </c>
      <c r="B505">
        <v>503</v>
      </c>
      <c r="C505">
        <v>29</v>
      </c>
      <c r="D505" t="str">
        <f>IF(tbl_Original[[#This Row],[Gender2]]="Female","Female",IF(tbl_Original[[#This Row],[Gender2]]="Male","Male","Other"))</f>
        <v>Male</v>
      </c>
      <c r="E505" t="s">
        <v>43</v>
      </c>
      <c r="F505" t="s">
        <v>30</v>
      </c>
      <c r="G505" t="s">
        <v>69</v>
      </c>
      <c r="H505" t="s">
        <v>56</v>
      </c>
      <c r="I505" t="s">
        <v>44</v>
      </c>
      <c r="J505" t="str">
        <f>PROPER(TRIM(CLEAN(tbl_Original[[#This Row],[Column1]])))</f>
        <v>Fresno</v>
      </c>
      <c r="K505" t="s">
        <v>1087</v>
      </c>
      <c r="L505" t="s">
        <v>1087</v>
      </c>
      <c r="M505" t="s">
        <v>58</v>
      </c>
      <c r="N505" s="1">
        <v>430.9</v>
      </c>
      <c r="O505">
        <v>8</v>
      </c>
      <c r="P505" t="s">
        <v>78</v>
      </c>
      <c r="Q505">
        <v>4</v>
      </c>
      <c r="R505">
        <v>5</v>
      </c>
      <c r="S505">
        <v>1</v>
      </c>
      <c r="T505" t="s">
        <v>44</v>
      </c>
      <c r="U505" t="s">
        <v>50</v>
      </c>
      <c r="V505">
        <v>0</v>
      </c>
      <c r="W505">
        <v>6</v>
      </c>
      <c r="X505" t="s">
        <v>36</v>
      </c>
      <c r="Y505" t="s">
        <v>38</v>
      </c>
      <c r="Z505" t="s">
        <v>39</v>
      </c>
      <c r="AA505" s="2">
        <v>45449</v>
      </c>
      <c r="AB505" t="b">
        <v>0</v>
      </c>
      <c r="AC505" t="b">
        <v>0</v>
      </c>
      <c r="AD505" t="s">
        <v>52</v>
      </c>
      <c r="AE505" t="s">
        <v>53</v>
      </c>
      <c r="AF505">
        <v>11</v>
      </c>
    </row>
    <row r="506" spans="1:32" x14ac:dyDescent="0.25">
      <c r="A506" t="s">
        <v>1088</v>
      </c>
      <c r="B506">
        <v>504</v>
      </c>
      <c r="C506">
        <v>50</v>
      </c>
      <c r="D506" t="str">
        <f>IF(tbl_Original[[#This Row],[Gender2]]="Female","Female",IF(tbl_Original[[#This Row],[Gender2]]="Male","Male","Other"))</f>
        <v>Male</v>
      </c>
      <c r="E506" t="s">
        <v>43</v>
      </c>
      <c r="F506" t="s">
        <v>44</v>
      </c>
      <c r="G506" t="s">
        <v>69</v>
      </c>
      <c r="H506" t="s">
        <v>45</v>
      </c>
      <c r="I506" t="s">
        <v>44</v>
      </c>
      <c r="J506" t="str">
        <f>PROPER(TRIM(CLEAN(tbl_Original[[#This Row],[Column1]])))</f>
        <v>Vabalninkas</v>
      </c>
      <c r="K506" t="s">
        <v>1089</v>
      </c>
      <c r="L506" t="s">
        <v>1089</v>
      </c>
      <c r="M506" t="s">
        <v>93</v>
      </c>
      <c r="N506" s="1">
        <v>435.23</v>
      </c>
      <c r="O506">
        <v>2</v>
      </c>
      <c r="P506" t="s">
        <v>48</v>
      </c>
      <c r="Q506">
        <v>2</v>
      </c>
      <c r="R506">
        <v>4</v>
      </c>
      <c r="S506">
        <v>0</v>
      </c>
      <c r="T506" t="s">
        <v>36</v>
      </c>
      <c r="U506" t="s">
        <v>37</v>
      </c>
      <c r="V506">
        <v>2</v>
      </c>
      <c r="W506">
        <v>2</v>
      </c>
      <c r="X506" t="s">
        <v>49</v>
      </c>
      <c r="Y506" t="s">
        <v>60</v>
      </c>
      <c r="Z506" t="s">
        <v>86</v>
      </c>
      <c r="AA506" s="2">
        <v>45349</v>
      </c>
      <c r="AB506" t="b">
        <v>0</v>
      </c>
      <c r="AC506" t="b">
        <v>1</v>
      </c>
      <c r="AD506" t="s">
        <v>62</v>
      </c>
      <c r="AE506" t="s">
        <v>67</v>
      </c>
      <c r="AF506">
        <v>13</v>
      </c>
    </row>
    <row r="507" spans="1:32" x14ac:dyDescent="0.25">
      <c r="A507" t="s">
        <v>1090</v>
      </c>
      <c r="B507">
        <v>505</v>
      </c>
      <c r="C507">
        <v>19</v>
      </c>
      <c r="D507" t="str">
        <f>IF(tbl_Original[[#This Row],[Gender2]]="Female","Female",IF(tbl_Original[[#This Row],[Gender2]]="Male","Male","Other"))</f>
        <v>Female</v>
      </c>
      <c r="E507" t="s">
        <v>29</v>
      </c>
      <c r="F507" t="s">
        <v>44</v>
      </c>
      <c r="G507" t="s">
        <v>76</v>
      </c>
      <c r="H507" t="s">
        <v>56</v>
      </c>
      <c r="I507" t="s">
        <v>30</v>
      </c>
      <c r="J507" t="str">
        <f>PROPER(TRIM(CLEAN(tbl_Original[[#This Row],[Column1]])))</f>
        <v>Jambuwerkrajan</v>
      </c>
      <c r="K507" t="s">
        <v>1091</v>
      </c>
      <c r="L507" t="s">
        <v>1091</v>
      </c>
      <c r="M507" t="s">
        <v>126</v>
      </c>
      <c r="N507" s="1">
        <v>218.65</v>
      </c>
      <c r="O507">
        <v>3</v>
      </c>
      <c r="P507" t="s">
        <v>78</v>
      </c>
      <c r="Q507">
        <v>4</v>
      </c>
      <c r="R507">
        <v>2</v>
      </c>
      <c r="S507">
        <v>2</v>
      </c>
      <c r="T507" t="s">
        <v>59</v>
      </c>
      <c r="U507" t="s">
        <v>85</v>
      </c>
      <c r="V507">
        <v>0</v>
      </c>
      <c r="W507">
        <v>9</v>
      </c>
      <c r="X507" t="s">
        <v>49</v>
      </c>
      <c r="Y507" t="s">
        <v>60</v>
      </c>
      <c r="Z507" t="s">
        <v>39</v>
      </c>
      <c r="AA507" s="2">
        <v>45490</v>
      </c>
      <c r="AB507" t="b">
        <v>1</v>
      </c>
      <c r="AC507" t="b">
        <v>1</v>
      </c>
      <c r="AD507" t="s">
        <v>62</v>
      </c>
      <c r="AE507" t="s">
        <v>53</v>
      </c>
      <c r="AF507">
        <v>4</v>
      </c>
    </row>
    <row r="508" spans="1:32" x14ac:dyDescent="0.25">
      <c r="A508" t="s">
        <v>1092</v>
      </c>
      <c r="B508">
        <v>506</v>
      </c>
      <c r="C508">
        <v>27</v>
      </c>
      <c r="D508" t="str">
        <f>IF(tbl_Original[[#This Row],[Gender2]]="Female","Female",IF(tbl_Original[[#This Row],[Gender2]]="Male","Male","Other"))</f>
        <v>Male</v>
      </c>
      <c r="E508" t="s">
        <v>43</v>
      </c>
      <c r="F508" t="s">
        <v>44</v>
      </c>
      <c r="G508" t="s">
        <v>69</v>
      </c>
      <c r="H508" t="s">
        <v>45</v>
      </c>
      <c r="I508" t="s">
        <v>30</v>
      </c>
      <c r="J508" t="str">
        <f>PROPER(TRIM(CLEAN(tbl_Original[[#This Row],[Column1]])))</f>
        <v>Ozubulu</v>
      </c>
      <c r="K508" t="s">
        <v>1093</v>
      </c>
      <c r="L508" t="s">
        <v>1093</v>
      </c>
      <c r="M508" t="s">
        <v>142</v>
      </c>
      <c r="N508" s="1">
        <v>207.66</v>
      </c>
      <c r="O508">
        <v>10</v>
      </c>
      <c r="P508" t="s">
        <v>48</v>
      </c>
      <c r="Q508">
        <v>2</v>
      </c>
      <c r="R508">
        <v>3</v>
      </c>
      <c r="S508">
        <v>1</v>
      </c>
      <c r="T508" t="s">
        <v>44</v>
      </c>
      <c r="U508" t="s">
        <v>85</v>
      </c>
      <c r="V508">
        <v>2</v>
      </c>
      <c r="W508">
        <v>2</v>
      </c>
      <c r="X508" t="s">
        <v>49</v>
      </c>
      <c r="Y508" t="s">
        <v>79</v>
      </c>
      <c r="Z508" t="s">
        <v>66</v>
      </c>
      <c r="AA508" s="2">
        <v>45481</v>
      </c>
      <c r="AB508" t="b">
        <v>0</v>
      </c>
      <c r="AC508" t="b">
        <v>1</v>
      </c>
      <c r="AD508" t="s">
        <v>52</v>
      </c>
      <c r="AE508" t="s">
        <v>53</v>
      </c>
      <c r="AF508">
        <v>8</v>
      </c>
    </row>
    <row r="509" spans="1:32" x14ac:dyDescent="0.25">
      <c r="A509" t="s">
        <v>1094</v>
      </c>
      <c r="B509">
        <v>507</v>
      </c>
      <c r="C509">
        <v>34</v>
      </c>
      <c r="D509" t="str">
        <f>IF(tbl_Original[[#This Row],[Gender2]]="Female","Female",IF(tbl_Original[[#This Row],[Gender2]]="Male","Male","Other"))</f>
        <v>Female</v>
      </c>
      <c r="E509" t="s">
        <v>29</v>
      </c>
      <c r="F509" t="s">
        <v>44</v>
      </c>
      <c r="G509" t="s">
        <v>31</v>
      </c>
      <c r="H509" t="s">
        <v>45</v>
      </c>
      <c r="I509" t="s">
        <v>44</v>
      </c>
      <c r="J509" t="str">
        <f>PROPER(TRIM(CLEAN(tbl_Original[[#This Row],[Column1]])))</f>
        <v>Nakhchivan</v>
      </c>
      <c r="K509" t="s">
        <v>1095</v>
      </c>
      <c r="L509" t="s">
        <v>1095</v>
      </c>
      <c r="M509" t="s">
        <v>135</v>
      </c>
      <c r="N509" s="1">
        <v>141.09</v>
      </c>
      <c r="O509">
        <v>7</v>
      </c>
      <c r="P509" t="s">
        <v>48</v>
      </c>
      <c r="Q509">
        <v>3</v>
      </c>
      <c r="R509">
        <v>4</v>
      </c>
      <c r="S509">
        <v>0</v>
      </c>
      <c r="T509" t="s">
        <v>44</v>
      </c>
      <c r="U509" t="s">
        <v>85</v>
      </c>
      <c r="V509">
        <v>2</v>
      </c>
      <c r="W509">
        <v>3</v>
      </c>
      <c r="X509" t="s">
        <v>44</v>
      </c>
      <c r="Y509" t="s">
        <v>79</v>
      </c>
      <c r="Z509" t="s">
        <v>61</v>
      </c>
      <c r="AA509" s="2">
        <v>45462</v>
      </c>
      <c r="AB509" t="b">
        <v>0</v>
      </c>
      <c r="AC509" t="b">
        <v>1</v>
      </c>
      <c r="AD509" t="s">
        <v>52</v>
      </c>
      <c r="AE509" t="s">
        <v>67</v>
      </c>
      <c r="AF509">
        <v>1</v>
      </c>
    </row>
    <row r="510" spans="1:32" x14ac:dyDescent="0.25">
      <c r="A510" t="s">
        <v>1096</v>
      </c>
      <c r="B510">
        <v>508</v>
      </c>
      <c r="C510">
        <v>39</v>
      </c>
      <c r="D510" t="str">
        <f>IF(tbl_Original[[#This Row],[Gender2]]="Female","Female",IF(tbl_Original[[#This Row],[Gender2]]="Male","Male","Other"))</f>
        <v>Male</v>
      </c>
      <c r="E510" t="s">
        <v>43</v>
      </c>
      <c r="F510" t="s">
        <v>44</v>
      </c>
      <c r="G510" t="s">
        <v>76</v>
      </c>
      <c r="H510" t="s">
        <v>32</v>
      </c>
      <c r="I510" t="s">
        <v>30</v>
      </c>
      <c r="J510" t="str">
        <f>PROPER(TRIM(CLEAN(tbl_Original[[#This Row],[Column1]])))</f>
        <v>Curuman</v>
      </c>
      <c r="K510" t="s">
        <v>2210</v>
      </c>
      <c r="L510" t="s">
        <v>1097</v>
      </c>
      <c r="M510" t="s">
        <v>114</v>
      </c>
      <c r="N510" s="1">
        <v>142.69999999999999</v>
      </c>
      <c r="O510">
        <v>6</v>
      </c>
      <c r="P510" t="s">
        <v>48</v>
      </c>
      <c r="Q510">
        <v>3</v>
      </c>
      <c r="R510">
        <v>2</v>
      </c>
      <c r="S510">
        <v>1</v>
      </c>
      <c r="T510" t="s">
        <v>36</v>
      </c>
      <c r="U510" t="s">
        <v>85</v>
      </c>
      <c r="V510">
        <v>0</v>
      </c>
      <c r="W510">
        <v>4</v>
      </c>
      <c r="X510" t="s">
        <v>36</v>
      </c>
      <c r="Y510" t="s">
        <v>79</v>
      </c>
      <c r="Z510" t="s">
        <v>39</v>
      </c>
      <c r="AA510" s="2">
        <v>45429</v>
      </c>
      <c r="AB510" t="b">
        <v>0</v>
      </c>
      <c r="AC510" t="b">
        <v>1</v>
      </c>
      <c r="AD510" t="s">
        <v>62</v>
      </c>
      <c r="AE510" t="s">
        <v>41</v>
      </c>
      <c r="AF510">
        <v>11</v>
      </c>
    </row>
    <row r="511" spans="1:32" x14ac:dyDescent="0.25">
      <c r="A511" t="s">
        <v>1098</v>
      </c>
      <c r="B511">
        <v>509</v>
      </c>
      <c r="C511">
        <v>44</v>
      </c>
      <c r="D511" t="str">
        <f>IF(tbl_Original[[#This Row],[Gender2]]="Female","Female",IF(tbl_Original[[#This Row],[Gender2]]="Male","Male","Other"))</f>
        <v>Male</v>
      </c>
      <c r="E511" t="s">
        <v>43</v>
      </c>
      <c r="F511" t="s">
        <v>44</v>
      </c>
      <c r="G511" t="s">
        <v>76</v>
      </c>
      <c r="H511" t="s">
        <v>56</v>
      </c>
      <c r="I511" t="s">
        <v>44</v>
      </c>
      <c r="J511" t="str">
        <f>PROPER(TRIM(CLEAN(tbl_Original[[#This Row],[Column1]])))</f>
        <v>Praia</v>
      </c>
      <c r="K511" t="s">
        <v>1099</v>
      </c>
      <c r="L511" t="s">
        <v>1099</v>
      </c>
      <c r="M511" t="s">
        <v>101</v>
      </c>
      <c r="N511" s="1">
        <v>64.09</v>
      </c>
      <c r="O511">
        <v>10</v>
      </c>
      <c r="P511" t="s">
        <v>78</v>
      </c>
      <c r="Q511">
        <v>5</v>
      </c>
      <c r="R511">
        <v>5</v>
      </c>
      <c r="S511">
        <v>0</v>
      </c>
      <c r="T511" t="s">
        <v>36</v>
      </c>
      <c r="U511" t="s">
        <v>37</v>
      </c>
      <c r="V511">
        <v>0</v>
      </c>
      <c r="W511">
        <v>6</v>
      </c>
      <c r="X511" t="s">
        <v>59</v>
      </c>
      <c r="Y511" t="s">
        <v>79</v>
      </c>
      <c r="Z511" t="s">
        <v>39</v>
      </c>
      <c r="AA511" s="2">
        <v>45585</v>
      </c>
      <c r="AB511" t="b">
        <v>1</v>
      </c>
      <c r="AC511" t="b">
        <v>0</v>
      </c>
      <c r="AD511" t="s">
        <v>40</v>
      </c>
      <c r="AE511" t="s">
        <v>67</v>
      </c>
      <c r="AF511">
        <v>7</v>
      </c>
    </row>
    <row r="512" spans="1:32" x14ac:dyDescent="0.25">
      <c r="A512" t="s">
        <v>1100</v>
      </c>
      <c r="B512">
        <v>510</v>
      </c>
      <c r="C512">
        <v>20</v>
      </c>
      <c r="D512" t="str">
        <f>IF(tbl_Original[[#This Row],[Gender2]]="Female","Female",IF(tbl_Original[[#This Row],[Gender2]]="Male","Male","Other"))</f>
        <v>Female</v>
      </c>
      <c r="E512" t="s">
        <v>29</v>
      </c>
      <c r="F512" t="s">
        <v>30</v>
      </c>
      <c r="G512" t="s">
        <v>31</v>
      </c>
      <c r="H512" t="s">
        <v>45</v>
      </c>
      <c r="I512" t="s">
        <v>30</v>
      </c>
      <c r="J512" t="str">
        <f>PROPER(TRIM(CLEAN(tbl_Original[[#This Row],[Column1]])))</f>
        <v>So Cristvo</v>
      </c>
      <c r="K512" t="s">
        <v>2189</v>
      </c>
      <c r="L512" t="s">
        <v>820</v>
      </c>
      <c r="M512" t="s">
        <v>126</v>
      </c>
      <c r="N512" s="1">
        <v>126.26</v>
      </c>
      <c r="O512">
        <v>2</v>
      </c>
      <c r="P512" t="s">
        <v>78</v>
      </c>
      <c r="Q512">
        <v>4</v>
      </c>
      <c r="R512">
        <v>5</v>
      </c>
      <c r="S512">
        <v>1</v>
      </c>
      <c r="T512" t="s">
        <v>36</v>
      </c>
      <c r="U512" t="s">
        <v>37</v>
      </c>
      <c r="V512">
        <v>1</v>
      </c>
      <c r="W512">
        <v>6</v>
      </c>
      <c r="X512" t="s">
        <v>36</v>
      </c>
      <c r="Y512" t="s">
        <v>60</v>
      </c>
      <c r="Z512" t="s">
        <v>61</v>
      </c>
      <c r="AA512" s="2">
        <v>45554</v>
      </c>
      <c r="AB512" t="b">
        <v>1</v>
      </c>
      <c r="AC512" t="b">
        <v>0</v>
      </c>
      <c r="AD512" t="s">
        <v>74</v>
      </c>
      <c r="AE512" t="s">
        <v>53</v>
      </c>
      <c r="AF512">
        <v>13</v>
      </c>
    </row>
    <row r="513" spans="1:32" x14ac:dyDescent="0.25">
      <c r="A513" t="s">
        <v>1101</v>
      </c>
      <c r="B513">
        <v>511</v>
      </c>
      <c r="C513">
        <v>42</v>
      </c>
      <c r="D513" t="str">
        <f>IF(tbl_Original[[#This Row],[Gender2]]="Female","Female",IF(tbl_Original[[#This Row],[Gender2]]="Male","Male","Other"))</f>
        <v>Female</v>
      </c>
      <c r="E513" t="s">
        <v>29</v>
      </c>
      <c r="F513" t="s">
        <v>30</v>
      </c>
      <c r="G513" t="s">
        <v>55</v>
      </c>
      <c r="H513" t="s">
        <v>45</v>
      </c>
      <c r="I513" t="s">
        <v>44</v>
      </c>
      <c r="J513" t="str">
        <f>PROPER(TRIM(CLEAN(tbl_Original[[#This Row],[Column1]])))</f>
        <v>Pallisa</v>
      </c>
      <c r="K513" t="s">
        <v>1102</v>
      </c>
      <c r="L513" t="s">
        <v>1102</v>
      </c>
      <c r="M513" t="s">
        <v>107</v>
      </c>
      <c r="N513" s="1">
        <v>195.05</v>
      </c>
      <c r="O513">
        <v>5</v>
      </c>
      <c r="P513" t="s">
        <v>48</v>
      </c>
      <c r="Q513">
        <v>2</v>
      </c>
      <c r="R513">
        <v>1</v>
      </c>
      <c r="S513">
        <v>2</v>
      </c>
      <c r="T513" t="s">
        <v>49</v>
      </c>
      <c r="U513" t="s">
        <v>50</v>
      </c>
      <c r="V513">
        <v>0</v>
      </c>
      <c r="W513">
        <v>10</v>
      </c>
      <c r="X513" t="s">
        <v>44</v>
      </c>
      <c r="Y513" t="s">
        <v>60</v>
      </c>
      <c r="Z513" t="s">
        <v>66</v>
      </c>
      <c r="AA513" s="2">
        <v>45433</v>
      </c>
      <c r="AB513" t="b">
        <v>1</v>
      </c>
      <c r="AC513" t="b">
        <v>0</v>
      </c>
      <c r="AD513" t="s">
        <v>62</v>
      </c>
      <c r="AE513" t="s">
        <v>41</v>
      </c>
      <c r="AF513">
        <v>11</v>
      </c>
    </row>
    <row r="514" spans="1:32" x14ac:dyDescent="0.25">
      <c r="A514" t="s">
        <v>1103</v>
      </c>
      <c r="B514">
        <v>512</v>
      </c>
      <c r="C514">
        <v>22</v>
      </c>
      <c r="D514" t="str">
        <f>IF(tbl_Original[[#This Row],[Gender2]]="Female","Female",IF(tbl_Original[[#This Row],[Gender2]]="Male","Male","Other"))</f>
        <v>Female</v>
      </c>
      <c r="E514" t="s">
        <v>29</v>
      </c>
      <c r="F514" t="s">
        <v>30</v>
      </c>
      <c r="G514" t="s">
        <v>31</v>
      </c>
      <c r="H514" t="s">
        <v>56</v>
      </c>
      <c r="I514" t="s">
        <v>44</v>
      </c>
      <c r="J514" t="str">
        <f>PROPER(TRIM(CLEAN(tbl_Original[[#This Row],[Column1]])))</f>
        <v>San Pascual</v>
      </c>
      <c r="K514" t="s">
        <v>1104</v>
      </c>
      <c r="L514" t="s">
        <v>1104</v>
      </c>
      <c r="M514" t="s">
        <v>158</v>
      </c>
      <c r="N514" s="1">
        <v>432.84</v>
      </c>
      <c r="O514">
        <v>7</v>
      </c>
      <c r="P514" t="s">
        <v>35</v>
      </c>
      <c r="Q514">
        <v>4</v>
      </c>
      <c r="R514">
        <v>5</v>
      </c>
      <c r="S514">
        <v>2</v>
      </c>
      <c r="T514" t="s">
        <v>44</v>
      </c>
      <c r="U514" t="s">
        <v>85</v>
      </c>
      <c r="V514">
        <v>0</v>
      </c>
      <c r="W514">
        <v>1</v>
      </c>
      <c r="X514" t="s">
        <v>44</v>
      </c>
      <c r="Y514" t="s">
        <v>38</v>
      </c>
      <c r="Z514" t="s">
        <v>61</v>
      </c>
      <c r="AA514" s="2">
        <v>45327</v>
      </c>
      <c r="AB514" t="b">
        <v>0</v>
      </c>
      <c r="AC514" t="b">
        <v>0</v>
      </c>
      <c r="AD514" t="s">
        <v>52</v>
      </c>
      <c r="AE514" t="s">
        <v>41</v>
      </c>
      <c r="AF514">
        <v>4</v>
      </c>
    </row>
    <row r="515" spans="1:32" x14ac:dyDescent="0.25">
      <c r="A515" t="s">
        <v>1105</v>
      </c>
      <c r="B515">
        <v>513</v>
      </c>
      <c r="C515">
        <v>30</v>
      </c>
      <c r="D515" t="str">
        <f>IF(tbl_Original[[#This Row],[Gender2]]="Female","Female",IF(tbl_Original[[#This Row],[Gender2]]="Male","Male","Other"))</f>
        <v>Male</v>
      </c>
      <c r="E515" t="s">
        <v>43</v>
      </c>
      <c r="F515" t="s">
        <v>44</v>
      </c>
      <c r="G515" t="s">
        <v>31</v>
      </c>
      <c r="H515" t="s">
        <v>32</v>
      </c>
      <c r="I515" t="s">
        <v>30</v>
      </c>
      <c r="J515" t="str">
        <f>PROPER(TRIM(CLEAN(tbl_Original[[#This Row],[Column1]])))</f>
        <v>Arah Ash Shamlyah</v>
      </c>
      <c r="K515" t="s">
        <v>2135</v>
      </c>
      <c r="L515" t="s">
        <v>1106</v>
      </c>
      <c r="M515" t="s">
        <v>246</v>
      </c>
      <c r="N515" s="1">
        <v>404.12</v>
      </c>
      <c r="O515">
        <v>6</v>
      </c>
      <c r="P515" t="s">
        <v>48</v>
      </c>
      <c r="Q515">
        <v>1</v>
      </c>
      <c r="R515">
        <v>3</v>
      </c>
      <c r="S515">
        <v>1</v>
      </c>
      <c r="T515" t="s">
        <v>44</v>
      </c>
      <c r="U515" t="s">
        <v>85</v>
      </c>
      <c r="V515">
        <v>0</v>
      </c>
      <c r="W515">
        <v>4</v>
      </c>
      <c r="X515" t="s">
        <v>59</v>
      </c>
      <c r="Y515" t="s">
        <v>60</v>
      </c>
      <c r="Z515" t="s">
        <v>61</v>
      </c>
      <c r="AA515" s="2">
        <v>45351</v>
      </c>
      <c r="AB515" t="b">
        <v>0</v>
      </c>
      <c r="AC515" t="b">
        <v>0</v>
      </c>
      <c r="AD515" t="s">
        <v>62</v>
      </c>
      <c r="AE515" t="s">
        <v>67</v>
      </c>
      <c r="AF515">
        <v>11</v>
      </c>
    </row>
    <row r="516" spans="1:32" x14ac:dyDescent="0.25">
      <c r="A516" t="s">
        <v>1107</v>
      </c>
      <c r="B516">
        <v>514</v>
      </c>
      <c r="C516">
        <v>39</v>
      </c>
      <c r="D516" t="str">
        <f>IF(tbl_Original[[#This Row],[Gender2]]="Female","Female",IF(tbl_Original[[#This Row],[Gender2]]="Male","Male","Other"))</f>
        <v>Male</v>
      </c>
      <c r="E516" t="s">
        <v>43</v>
      </c>
      <c r="F516" t="s">
        <v>44</v>
      </c>
      <c r="G516" t="s">
        <v>76</v>
      </c>
      <c r="H516" t="s">
        <v>56</v>
      </c>
      <c r="I516" t="s">
        <v>44</v>
      </c>
      <c r="J516" t="str">
        <f>PROPER(TRIM(CLEAN(tbl_Original[[#This Row],[Column1]])))</f>
        <v>Dom Pedrito</v>
      </c>
      <c r="K516" t="s">
        <v>1108</v>
      </c>
      <c r="L516" t="s">
        <v>1108</v>
      </c>
      <c r="M516" t="s">
        <v>158</v>
      </c>
      <c r="N516" s="1">
        <v>438.26</v>
      </c>
      <c r="O516">
        <v>10</v>
      </c>
      <c r="P516" t="s">
        <v>48</v>
      </c>
      <c r="Q516">
        <v>3</v>
      </c>
      <c r="R516">
        <v>4</v>
      </c>
      <c r="S516">
        <v>1</v>
      </c>
      <c r="T516" t="s">
        <v>36</v>
      </c>
      <c r="U516" t="s">
        <v>37</v>
      </c>
      <c r="V516">
        <v>1</v>
      </c>
      <c r="W516">
        <v>3</v>
      </c>
      <c r="X516" t="s">
        <v>49</v>
      </c>
      <c r="Y516" t="s">
        <v>60</v>
      </c>
      <c r="Z516" t="s">
        <v>61</v>
      </c>
      <c r="AA516" s="2">
        <v>45477</v>
      </c>
      <c r="AB516" t="b">
        <v>1</v>
      </c>
      <c r="AC516" t="b">
        <v>0</v>
      </c>
      <c r="AD516" t="s">
        <v>74</v>
      </c>
      <c r="AE516" t="s">
        <v>67</v>
      </c>
      <c r="AF516">
        <v>10</v>
      </c>
    </row>
    <row r="517" spans="1:32" x14ac:dyDescent="0.25">
      <c r="A517" t="s">
        <v>1109</v>
      </c>
      <c r="B517">
        <v>515</v>
      </c>
      <c r="C517">
        <v>19</v>
      </c>
      <c r="D517" t="str">
        <f>IF(tbl_Original[[#This Row],[Gender2]]="Female","Female",IF(tbl_Original[[#This Row],[Gender2]]="Male","Male","Other"))</f>
        <v>Female</v>
      </c>
      <c r="E517" t="s">
        <v>29</v>
      </c>
      <c r="F517" t="s">
        <v>44</v>
      </c>
      <c r="G517" t="s">
        <v>55</v>
      </c>
      <c r="H517" t="s">
        <v>32</v>
      </c>
      <c r="I517" t="s">
        <v>44</v>
      </c>
      <c r="J517" t="str">
        <f>PROPER(TRIM(CLEAN(tbl_Original[[#This Row],[Column1]])))</f>
        <v>San Sebastin De Yal</v>
      </c>
      <c r="K517" t="s">
        <v>2211</v>
      </c>
      <c r="L517" t="s">
        <v>1110</v>
      </c>
      <c r="M517" t="s">
        <v>246</v>
      </c>
      <c r="N517" s="1">
        <v>233.02</v>
      </c>
      <c r="O517">
        <v>4</v>
      </c>
      <c r="P517" t="s">
        <v>35</v>
      </c>
      <c r="Q517">
        <v>3</v>
      </c>
      <c r="R517">
        <v>3</v>
      </c>
      <c r="S517">
        <v>1</v>
      </c>
      <c r="T517" t="s">
        <v>49</v>
      </c>
      <c r="U517" t="s">
        <v>50</v>
      </c>
      <c r="V517">
        <v>0</v>
      </c>
      <c r="W517">
        <v>3</v>
      </c>
      <c r="X517" t="s">
        <v>49</v>
      </c>
      <c r="Y517" t="s">
        <v>60</v>
      </c>
      <c r="Z517" t="s">
        <v>86</v>
      </c>
      <c r="AA517" s="2">
        <v>45594</v>
      </c>
      <c r="AB517" t="b">
        <v>0</v>
      </c>
      <c r="AC517" t="b">
        <v>0</v>
      </c>
      <c r="AD517" t="s">
        <v>62</v>
      </c>
      <c r="AE517" t="s">
        <v>53</v>
      </c>
      <c r="AF517">
        <v>8</v>
      </c>
    </row>
    <row r="518" spans="1:32" x14ac:dyDescent="0.25">
      <c r="A518" t="s">
        <v>1111</v>
      </c>
      <c r="B518">
        <v>516</v>
      </c>
      <c r="C518">
        <v>26</v>
      </c>
      <c r="D518" t="str">
        <f>IF(tbl_Original[[#This Row],[Gender2]]="Female","Female",IF(tbl_Original[[#This Row],[Gender2]]="Male","Male","Other"))</f>
        <v>Female</v>
      </c>
      <c r="E518" t="s">
        <v>29</v>
      </c>
      <c r="F518" t="s">
        <v>30</v>
      </c>
      <c r="G518" t="s">
        <v>69</v>
      </c>
      <c r="H518" t="s">
        <v>32</v>
      </c>
      <c r="I518" t="s">
        <v>30</v>
      </c>
      <c r="J518" t="str">
        <f>PROPER(TRIM(CLEAN(tbl_Original[[#This Row],[Column1]])))</f>
        <v>Shchkino</v>
      </c>
      <c r="K518" t="s">
        <v>2212</v>
      </c>
      <c r="L518" t="s">
        <v>1112</v>
      </c>
      <c r="M518" t="s">
        <v>114</v>
      </c>
      <c r="N518" s="1">
        <v>273.41000000000003</v>
      </c>
      <c r="O518">
        <v>7</v>
      </c>
      <c r="P518" t="s">
        <v>78</v>
      </c>
      <c r="Q518">
        <v>3</v>
      </c>
      <c r="R518">
        <v>5</v>
      </c>
      <c r="S518">
        <v>2</v>
      </c>
      <c r="T518" t="s">
        <v>59</v>
      </c>
      <c r="U518" t="s">
        <v>85</v>
      </c>
      <c r="V518">
        <v>0</v>
      </c>
      <c r="W518">
        <v>9</v>
      </c>
      <c r="X518" t="s">
        <v>49</v>
      </c>
      <c r="Y518" t="s">
        <v>38</v>
      </c>
      <c r="Z518" t="s">
        <v>66</v>
      </c>
      <c r="AA518" s="2">
        <v>45582</v>
      </c>
      <c r="AB518" t="b">
        <v>1</v>
      </c>
      <c r="AC518" t="b">
        <v>0</v>
      </c>
      <c r="AD518" t="s">
        <v>74</v>
      </c>
      <c r="AE518" t="s">
        <v>53</v>
      </c>
      <c r="AF518">
        <v>2</v>
      </c>
    </row>
    <row r="519" spans="1:32" x14ac:dyDescent="0.25">
      <c r="A519" t="s">
        <v>1113</v>
      </c>
      <c r="B519">
        <v>517</v>
      </c>
      <c r="C519">
        <v>21</v>
      </c>
      <c r="D519" t="str">
        <f>IF(tbl_Original[[#This Row],[Gender2]]="Female","Female",IF(tbl_Original[[#This Row],[Gender2]]="Male","Male","Other"))</f>
        <v>Female</v>
      </c>
      <c r="E519" t="s">
        <v>29</v>
      </c>
      <c r="F519" t="s">
        <v>44</v>
      </c>
      <c r="G519" t="s">
        <v>31</v>
      </c>
      <c r="H519" t="s">
        <v>45</v>
      </c>
      <c r="I519" t="s">
        <v>30</v>
      </c>
      <c r="J519" t="str">
        <f>PROPER(TRIM(CLEAN(tbl_Original[[#This Row],[Column1]])))</f>
        <v>Turkestan</v>
      </c>
      <c r="K519" t="s">
        <v>1114</v>
      </c>
      <c r="L519" t="s">
        <v>1114</v>
      </c>
      <c r="M519" t="s">
        <v>71</v>
      </c>
      <c r="N519" s="1">
        <v>338.96</v>
      </c>
      <c r="O519">
        <v>10</v>
      </c>
      <c r="P519" t="s">
        <v>78</v>
      </c>
      <c r="Q519">
        <v>1</v>
      </c>
      <c r="R519">
        <v>4</v>
      </c>
      <c r="S519">
        <v>2</v>
      </c>
      <c r="T519" t="s">
        <v>44</v>
      </c>
      <c r="U519" t="s">
        <v>37</v>
      </c>
      <c r="V519">
        <v>1</v>
      </c>
      <c r="W519">
        <v>9</v>
      </c>
      <c r="X519" t="s">
        <v>44</v>
      </c>
      <c r="Y519" t="s">
        <v>79</v>
      </c>
      <c r="Z519" t="s">
        <v>61</v>
      </c>
      <c r="AA519" s="2">
        <v>45600</v>
      </c>
      <c r="AB519" t="b">
        <v>1</v>
      </c>
      <c r="AC519" t="b">
        <v>1</v>
      </c>
      <c r="AD519" t="s">
        <v>52</v>
      </c>
      <c r="AE519" t="s">
        <v>53</v>
      </c>
      <c r="AF519">
        <v>4</v>
      </c>
    </row>
    <row r="520" spans="1:32" x14ac:dyDescent="0.25">
      <c r="A520" t="s">
        <v>1115</v>
      </c>
      <c r="B520">
        <v>518</v>
      </c>
      <c r="C520">
        <v>37</v>
      </c>
      <c r="D520" t="str">
        <f>IF(tbl_Original[[#This Row],[Gender2]]="Female","Female",IF(tbl_Original[[#This Row],[Gender2]]="Male","Male","Other"))</f>
        <v>Male</v>
      </c>
      <c r="E520" t="s">
        <v>43</v>
      </c>
      <c r="F520" t="s">
        <v>30</v>
      </c>
      <c r="G520" t="s">
        <v>76</v>
      </c>
      <c r="H520" t="s">
        <v>56</v>
      </c>
      <c r="I520" t="s">
        <v>44</v>
      </c>
      <c r="J520" t="str">
        <f>PROPER(TRIM(CLEAN(tbl_Original[[#This Row],[Column1]])))</f>
        <v>Rzeczenica</v>
      </c>
      <c r="K520" t="s">
        <v>1116</v>
      </c>
      <c r="L520" t="s">
        <v>1116</v>
      </c>
      <c r="M520" t="s">
        <v>98</v>
      </c>
      <c r="N520" s="1">
        <v>75.91</v>
      </c>
      <c r="O520">
        <v>12</v>
      </c>
      <c r="P520" t="s">
        <v>35</v>
      </c>
      <c r="Q520">
        <v>3</v>
      </c>
      <c r="R520">
        <v>5</v>
      </c>
      <c r="S520">
        <v>2</v>
      </c>
      <c r="T520" t="s">
        <v>59</v>
      </c>
      <c r="U520" t="s">
        <v>85</v>
      </c>
      <c r="V520">
        <v>0</v>
      </c>
      <c r="W520">
        <v>6</v>
      </c>
      <c r="X520" t="s">
        <v>36</v>
      </c>
      <c r="Y520" t="s">
        <v>79</v>
      </c>
      <c r="Z520" t="s">
        <v>51</v>
      </c>
      <c r="AA520" s="2">
        <v>45617</v>
      </c>
      <c r="AB520" t="b">
        <v>1</v>
      </c>
      <c r="AC520" t="b">
        <v>1</v>
      </c>
      <c r="AD520" t="s">
        <v>74</v>
      </c>
      <c r="AE520" t="s">
        <v>41</v>
      </c>
      <c r="AF520">
        <v>1</v>
      </c>
    </row>
    <row r="521" spans="1:32" x14ac:dyDescent="0.25">
      <c r="A521" t="s">
        <v>1117</v>
      </c>
      <c r="B521">
        <v>519</v>
      </c>
      <c r="C521">
        <v>23</v>
      </c>
      <c r="D521" t="str">
        <f>IF(tbl_Original[[#This Row],[Gender2]]="Female","Female",IF(tbl_Original[[#This Row],[Gender2]]="Male","Male","Other"))</f>
        <v>Male</v>
      </c>
      <c r="E521" t="s">
        <v>43</v>
      </c>
      <c r="F521" t="s">
        <v>44</v>
      </c>
      <c r="G521" t="s">
        <v>31</v>
      </c>
      <c r="H521" t="s">
        <v>45</v>
      </c>
      <c r="I521" t="s">
        <v>44</v>
      </c>
      <c r="J521" t="str">
        <f>PROPER(TRIM(CLEAN(tbl_Original[[#This Row],[Column1]])))</f>
        <v>Perzw</v>
      </c>
      <c r="K521" t="s">
        <v>2213</v>
      </c>
      <c r="L521" t="s">
        <v>1118</v>
      </c>
      <c r="M521" t="s">
        <v>93</v>
      </c>
      <c r="N521" s="1">
        <v>425.21</v>
      </c>
      <c r="O521">
        <v>12</v>
      </c>
      <c r="P521" t="s">
        <v>78</v>
      </c>
      <c r="Q521">
        <v>2</v>
      </c>
      <c r="R521">
        <v>4</v>
      </c>
      <c r="S521">
        <v>2</v>
      </c>
      <c r="T521" t="s">
        <v>59</v>
      </c>
      <c r="U521" t="s">
        <v>37</v>
      </c>
      <c r="V521">
        <v>0</v>
      </c>
      <c r="W521">
        <v>4</v>
      </c>
      <c r="X521" t="s">
        <v>44</v>
      </c>
      <c r="Y521" t="s">
        <v>79</v>
      </c>
      <c r="Z521" t="s">
        <v>66</v>
      </c>
      <c r="AA521" s="2">
        <v>45376</v>
      </c>
      <c r="AB521" t="b">
        <v>1</v>
      </c>
      <c r="AC521" t="b">
        <v>1</v>
      </c>
      <c r="AD521" t="s">
        <v>74</v>
      </c>
      <c r="AE521" t="s">
        <v>67</v>
      </c>
      <c r="AF521">
        <v>12</v>
      </c>
    </row>
    <row r="522" spans="1:32" x14ac:dyDescent="0.25">
      <c r="A522" t="s">
        <v>1119</v>
      </c>
      <c r="B522">
        <v>520</v>
      </c>
      <c r="C522">
        <v>46</v>
      </c>
      <c r="D522" t="str">
        <f>IF(tbl_Original[[#This Row],[Gender2]]="Female","Female",IF(tbl_Original[[#This Row],[Gender2]]="Male","Male","Other"))</f>
        <v>Male</v>
      </c>
      <c r="E522" t="s">
        <v>43</v>
      </c>
      <c r="F522" t="s">
        <v>30</v>
      </c>
      <c r="G522" t="s">
        <v>31</v>
      </c>
      <c r="H522" t="s">
        <v>56</v>
      </c>
      <c r="I522" t="s">
        <v>30</v>
      </c>
      <c r="J522" t="str">
        <f>PROPER(TRIM(CLEAN(tbl_Original[[#This Row],[Column1]])))</f>
        <v>Sabon Gari-Nangere</v>
      </c>
      <c r="K522" t="s">
        <v>1120</v>
      </c>
      <c r="L522" t="s">
        <v>1120</v>
      </c>
      <c r="M522" t="s">
        <v>120</v>
      </c>
      <c r="N522" s="1">
        <v>268.8</v>
      </c>
      <c r="O522">
        <v>2</v>
      </c>
      <c r="P522" t="s">
        <v>48</v>
      </c>
      <c r="Q522">
        <v>1</v>
      </c>
      <c r="R522">
        <v>3</v>
      </c>
      <c r="S522">
        <v>0</v>
      </c>
      <c r="T522" t="s">
        <v>44</v>
      </c>
      <c r="U522" t="s">
        <v>85</v>
      </c>
      <c r="V522">
        <v>1</v>
      </c>
      <c r="W522">
        <v>7</v>
      </c>
      <c r="X522" t="s">
        <v>36</v>
      </c>
      <c r="Y522" t="s">
        <v>79</v>
      </c>
      <c r="Z522" t="s">
        <v>61</v>
      </c>
      <c r="AA522" s="2">
        <v>45402</v>
      </c>
      <c r="AB522" t="b">
        <v>0</v>
      </c>
      <c r="AC522" t="b">
        <v>0</v>
      </c>
      <c r="AD522" t="s">
        <v>40</v>
      </c>
      <c r="AE522" t="s">
        <v>53</v>
      </c>
      <c r="AF522">
        <v>12</v>
      </c>
    </row>
    <row r="523" spans="1:32" x14ac:dyDescent="0.25">
      <c r="A523" t="s">
        <v>1121</v>
      </c>
      <c r="B523">
        <v>521</v>
      </c>
      <c r="C523">
        <v>35</v>
      </c>
      <c r="D523" t="str">
        <f>IF(tbl_Original[[#This Row],[Gender2]]="Female","Female",IF(tbl_Original[[#This Row],[Gender2]]="Male","Male","Other"))</f>
        <v>Female</v>
      </c>
      <c r="E523" t="s">
        <v>29</v>
      </c>
      <c r="F523" t="s">
        <v>30</v>
      </c>
      <c r="G523" t="s">
        <v>76</v>
      </c>
      <c r="H523" t="s">
        <v>56</v>
      </c>
      <c r="I523" t="s">
        <v>44</v>
      </c>
      <c r="J523" t="str">
        <f>PROPER(TRIM(CLEAN(tbl_Original[[#This Row],[Column1]])))</f>
        <v>Hengshui</v>
      </c>
      <c r="K523" t="s">
        <v>1122</v>
      </c>
      <c r="L523" t="s">
        <v>1122</v>
      </c>
      <c r="M523" t="s">
        <v>104</v>
      </c>
      <c r="N523" s="1">
        <v>170.71</v>
      </c>
      <c r="O523">
        <v>10</v>
      </c>
      <c r="P523" t="s">
        <v>35</v>
      </c>
      <c r="Q523">
        <v>5</v>
      </c>
      <c r="R523">
        <v>3</v>
      </c>
      <c r="S523">
        <v>0</v>
      </c>
      <c r="T523" t="s">
        <v>59</v>
      </c>
      <c r="U523" t="s">
        <v>37</v>
      </c>
      <c r="V523">
        <v>1</v>
      </c>
      <c r="W523">
        <v>9</v>
      </c>
      <c r="X523" t="s">
        <v>59</v>
      </c>
      <c r="Y523" t="s">
        <v>79</v>
      </c>
      <c r="Z523" t="s">
        <v>39</v>
      </c>
      <c r="AA523" s="2">
        <v>45396</v>
      </c>
      <c r="AB523" t="b">
        <v>1</v>
      </c>
      <c r="AC523" t="b">
        <v>1</v>
      </c>
      <c r="AD523" t="s">
        <v>74</v>
      </c>
      <c r="AE523" t="s">
        <v>41</v>
      </c>
      <c r="AF523">
        <v>7</v>
      </c>
    </row>
    <row r="524" spans="1:32" x14ac:dyDescent="0.25">
      <c r="A524" t="s">
        <v>1123</v>
      </c>
      <c r="B524">
        <v>522</v>
      </c>
      <c r="C524">
        <v>33</v>
      </c>
      <c r="D524" t="str">
        <f>IF(tbl_Original[[#This Row],[Gender2]]="Female","Female",IF(tbl_Original[[#This Row],[Gender2]]="Male","Male","Other"))</f>
        <v>Other</v>
      </c>
      <c r="E524" t="s">
        <v>190</v>
      </c>
      <c r="F524" t="s">
        <v>30</v>
      </c>
      <c r="G524" t="s">
        <v>69</v>
      </c>
      <c r="H524" t="s">
        <v>45</v>
      </c>
      <c r="I524" t="s">
        <v>30</v>
      </c>
      <c r="J524" t="str">
        <f>PROPER(TRIM(CLEAN(tbl_Original[[#This Row],[Column1]])))</f>
        <v>Nantes</v>
      </c>
      <c r="K524" t="s">
        <v>1124</v>
      </c>
      <c r="L524" t="s">
        <v>1124</v>
      </c>
      <c r="M524" t="s">
        <v>101</v>
      </c>
      <c r="N524" s="1">
        <v>444.05</v>
      </c>
      <c r="O524">
        <v>10</v>
      </c>
      <c r="P524" t="s">
        <v>78</v>
      </c>
      <c r="Q524">
        <v>5</v>
      </c>
      <c r="R524">
        <v>4</v>
      </c>
      <c r="S524">
        <v>0</v>
      </c>
      <c r="T524" t="s">
        <v>59</v>
      </c>
      <c r="U524" t="s">
        <v>50</v>
      </c>
      <c r="V524">
        <v>1</v>
      </c>
      <c r="W524">
        <v>8</v>
      </c>
      <c r="X524" t="s">
        <v>49</v>
      </c>
      <c r="Y524" t="s">
        <v>79</v>
      </c>
      <c r="Z524" t="s">
        <v>51</v>
      </c>
      <c r="AA524" s="2">
        <v>45447</v>
      </c>
      <c r="AB524" t="b">
        <v>1</v>
      </c>
      <c r="AC524" t="b">
        <v>1</v>
      </c>
      <c r="AD524" t="s">
        <v>52</v>
      </c>
      <c r="AE524" t="s">
        <v>53</v>
      </c>
      <c r="AF524">
        <v>8</v>
      </c>
    </row>
    <row r="525" spans="1:32" x14ac:dyDescent="0.25">
      <c r="A525" t="s">
        <v>1125</v>
      </c>
      <c r="B525">
        <v>523</v>
      </c>
      <c r="C525">
        <v>47</v>
      </c>
      <c r="D525" t="str">
        <f>IF(tbl_Original[[#This Row],[Gender2]]="Female","Female",IF(tbl_Original[[#This Row],[Gender2]]="Male","Male","Other"))</f>
        <v>Male</v>
      </c>
      <c r="E525" t="s">
        <v>43</v>
      </c>
      <c r="F525" t="s">
        <v>30</v>
      </c>
      <c r="G525" t="s">
        <v>76</v>
      </c>
      <c r="H525" t="s">
        <v>45</v>
      </c>
      <c r="I525" t="s">
        <v>30</v>
      </c>
      <c r="J525" t="str">
        <f>PROPER(TRIM(CLEAN(tbl_Original[[#This Row],[Column1]])))</f>
        <v>Tamorot</v>
      </c>
      <c r="K525" t="s">
        <v>1126</v>
      </c>
      <c r="L525" t="s">
        <v>1126</v>
      </c>
      <c r="M525" t="s">
        <v>34</v>
      </c>
      <c r="N525" s="1">
        <v>255.1</v>
      </c>
      <c r="O525">
        <v>5</v>
      </c>
      <c r="P525" t="s">
        <v>35</v>
      </c>
      <c r="Q525">
        <v>5</v>
      </c>
      <c r="R525">
        <v>1</v>
      </c>
      <c r="S525">
        <v>2</v>
      </c>
      <c r="T525" t="s">
        <v>44</v>
      </c>
      <c r="U525" t="s">
        <v>85</v>
      </c>
      <c r="V525">
        <v>1</v>
      </c>
      <c r="W525">
        <v>1</v>
      </c>
      <c r="X525" t="s">
        <v>59</v>
      </c>
      <c r="Y525" t="s">
        <v>79</v>
      </c>
      <c r="Z525" t="s">
        <v>51</v>
      </c>
      <c r="AA525" s="2">
        <v>45319</v>
      </c>
      <c r="AB525" t="b">
        <v>1</v>
      </c>
      <c r="AC525" t="b">
        <v>0</v>
      </c>
      <c r="AD525" t="s">
        <v>74</v>
      </c>
      <c r="AE525" t="s">
        <v>41</v>
      </c>
      <c r="AF525">
        <v>14</v>
      </c>
    </row>
    <row r="526" spans="1:32" x14ac:dyDescent="0.25">
      <c r="A526" t="s">
        <v>1127</v>
      </c>
      <c r="B526">
        <v>524</v>
      </c>
      <c r="C526">
        <v>32</v>
      </c>
      <c r="D526" t="str">
        <f>IF(tbl_Original[[#This Row],[Gender2]]="Female","Female",IF(tbl_Original[[#This Row],[Gender2]]="Male","Male","Other"))</f>
        <v>Male</v>
      </c>
      <c r="E526" t="s">
        <v>43</v>
      </c>
      <c r="F526" t="s">
        <v>44</v>
      </c>
      <c r="G526" t="s">
        <v>69</v>
      </c>
      <c r="H526" t="s">
        <v>32</v>
      </c>
      <c r="I526" t="s">
        <v>44</v>
      </c>
      <c r="J526" t="str">
        <f>PROPER(TRIM(CLEAN(tbl_Original[[#This Row],[Column1]])))</f>
        <v>Sinchao</v>
      </c>
      <c r="K526" t="s">
        <v>1128</v>
      </c>
      <c r="L526" t="s">
        <v>1128</v>
      </c>
      <c r="M526" t="s">
        <v>142</v>
      </c>
      <c r="N526" s="1">
        <v>236.44</v>
      </c>
      <c r="O526">
        <v>6</v>
      </c>
      <c r="P526" t="s">
        <v>35</v>
      </c>
      <c r="Q526">
        <v>4</v>
      </c>
      <c r="R526">
        <v>4</v>
      </c>
      <c r="S526">
        <v>0</v>
      </c>
      <c r="T526" t="s">
        <v>49</v>
      </c>
      <c r="U526" t="s">
        <v>85</v>
      </c>
      <c r="V526">
        <v>2</v>
      </c>
      <c r="W526">
        <v>2</v>
      </c>
      <c r="X526" t="s">
        <v>36</v>
      </c>
      <c r="Y526" t="s">
        <v>60</v>
      </c>
      <c r="Z526" t="s">
        <v>51</v>
      </c>
      <c r="AA526" s="2">
        <v>45427</v>
      </c>
      <c r="AB526" t="b">
        <v>0</v>
      </c>
      <c r="AC526" t="b">
        <v>0</v>
      </c>
      <c r="AD526" t="s">
        <v>62</v>
      </c>
      <c r="AE526" t="s">
        <v>53</v>
      </c>
      <c r="AF526">
        <v>6</v>
      </c>
    </row>
    <row r="527" spans="1:32" x14ac:dyDescent="0.25">
      <c r="A527" t="s">
        <v>1129</v>
      </c>
      <c r="B527">
        <v>525</v>
      </c>
      <c r="C527">
        <v>20</v>
      </c>
      <c r="D527" t="str">
        <f>IF(tbl_Original[[#This Row],[Gender2]]="Female","Female",IF(tbl_Original[[#This Row],[Gender2]]="Male","Male","Other"))</f>
        <v>Male</v>
      </c>
      <c r="E527" t="s">
        <v>43</v>
      </c>
      <c r="F527" t="s">
        <v>30</v>
      </c>
      <c r="G527" t="s">
        <v>69</v>
      </c>
      <c r="H527" t="s">
        <v>32</v>
      </c>
      <c r="I527" t="s">
        <v>44</v>
      </c>
      <c r="J527" t="str">
        <f>PROPER(TRIM(CLEAN(tbl_Original[[#This Row],[Column1]])))</f>
        <v>Anding</v>
      </c>
      <c r="K527" t="s">
        <v>1130</v>
      </c>
      <c r="L527" t="s">
        <v>1130</v>
      </c>
      <c r="M527" t="s">
        <v>71</v>
      </c>
      <c r="N527" s="1">
        <v>201.69</v>
      </c>
      <c r="O527">
        <v>11</v>
      </c>
      <c r="P527" t="s">
        <v>35</v>
      </c>
      <c r="Q527">
        <v>4</v>
      </c>
      <c r="R527">
        <v>5</v>
      </c>
      <c r="S527">
        <v>0</v>
      </c>
      <c r="T527" t="s">
        <v>44</v>
      </c>
      <c r="U527" t="s">
        <v>85</v>
      </c>
      <c r="V527">
        <v>2</v>
      </c>
      <c r="W527">
        <v>8</v>
      </c>
      <c r="X527" t="s">
        <v>59</v>
      </c>
      <c r="Y527" t="s">
        <v>38</v>
      </c>
      <c r="Z527" t="s">
        <v>66</v>
      </c>
      <c r="AA527" s="2">
        <v>45492</v>
      </c>
      <c r="AB527" t="b">
        <v>1</v>
      </c>
      <c r="AC527" t="b">
        <v>0</v>
      </c>
      <c r="AD527" t="s">
        <v>74</v>
      </c>
      <c r="AE527" t="s">
        <v>41</v>
      </c>
      <c r="AF527">
        <v>3</v>
      </c>
    </row>
    <row r="528" spans="1:32" x14ac:dyDescent="0.25">
      <c r="A528" t="s">
        <v>1131</v>
      </c>
      <c r="B528">
        <v>526</v>
      </c>
      <c r="C528">
        <v>37</v>
      </c>
      <c r="D528" t="str">
        <f>IF(tbl_Original[[#This Row],[Gender2]]="Female","Female",IF(tbl_Original[[#This Row],[Gender2]]="Male","Male","Other"))</f>
        <v>Female</v>
      </c>
      <c r="E528" t="s">
        <v>29</v>
      </c>
      <c r="F528" t="s">
        <v>44</v>
      </c>
      <c r="G528" t="s">
        <v>55</v>
      </c>
      <c r="H528" t="s">
        <v>32</v>
      </c>
      <c r="I528" t="s">
        <v>30</v>
      </c>
      <c r="J528" t="str">
        <f>PROPER(TRIM(CLEAN(tbl_Original[[#This Row],[Column1]])))</f>
        <v>Rukem</v>
      </c>
      <c r="K528" t="s">
        <v>1132</v>
      </c>
      <c r="L528" t="s">
        <v>1132</v>
      </c>
      <c r="M528" t="s">
        <v>135</v>
      </c>
      <c r="N528" s="1">
        <v>390.51</v>
      </c>
      <c r="O528">
        <v>6</v>
      </c>
      <c r="P528" t="s">
        <v>78</v>
      </c>
      <c r="Q528">
        <v>3</v>
      </c>
      <c r="R528">
        <v>2</v>
      </c>
      <c r="S528">
        <v>0</v>
      </c>
      <c r="T528" t="s">
        <v>49</v>
      </c>
      <c r="U528" t="s">
        <v>85</v>
      </c>
      <c r="V528">
        <v>0</v>
      </c>
      <c r="W528">
        <v>2</v>
      </c>
      <c r="X528" t="s">
        <v>44</v>
      </c>
      <c r="Y528" t="s">
        <v>79</v>
      </c>
      <c r="Z528" t="s">
        <v>86</v>
      </c>
      <c r="AA528" s="2">
        <v>45397</v>
      </c>
      <c r="AB528" t="b">
        <v>0</v>
      </c>
      <c r="AC528" t="b">
        <v>0</v>
      </c>
      <c r="AD528" t="s">
        <v>52</v>
      </c>
      <c r="AE528" t="s">
        <v>67</v>
      </c>
      <c r="AF528">
        <v>6</v>
      </c>
    </row>
    <row r="529" spans="1:32" x14ac:dyDescent="0.25">
      <c r="A529" t="s">
        <v>1133</v>
      </c>
      <c r="B529">
        <v>527</v>
      </c>
      <c r="C529">
        <v>35</v>
      </c>
      <c r="D529" t="str">
        <f>IF(tbl_Original[[#This Row],[Gender2]]="Female","Female",IF(tbl_Original[[#This Row],[Gender2]]="Male","Male","Other"))</f>
        <v>Other</v>
      </c>
      <c r="E529" t="s">
        <v>190</v>
      </c>
      <c r="F529" t="s">
        <v>44</v>
      </c>
      <c r="G529" t="s">
        <v>76</v>
      </c>
      <c r="H529" t="s">
        <v>56</v>
      </c>
      <c r="I529" t="s">
        <v>44</v>
      </c>
      <c r="J529" t="str">
        <f>PROPER(TRIM(CLEAN(tbl_Original[[#This Row],[Column1]])))</f>
        <v>Bogovarovo</v>
      </c>
      <c r="K529" t="s">
        <v>1134</v>
      </c>
      <c r="L529" t="s">
        <v>1134</v>
      </c>
      <c r="M529" t="s">
        <v>183</v>
      </c>
      <c r="N529" s="1">
        <v>442.29</v>
      </c>
      <c r="O529">
        <v>9</v>
      </c>
      <c r="P529" t="s">
        <v>35</v>
      </c>
      <c r="Q529">
        <v>1</v>
      </c>
      <c r="R529">
        <v>2</v>
      </c>
      <c r="S529">
        <v>0</v>
      </c>
      <c r="T529" t="s">
        <v>49</v>
      </c>
      <c r="U529" t="s">
        <v>37</v>
      </c>
      <c r="V529">
        <v>1</v>
      </c>
      <c r="W529">
        <v>2</v>
      </c>
      <c r="X529" t="s">
        <v>59</v>
      </c>
      <c r="Y529" t="s">
        <v>38</v>
      </c>
      <c r="Z529" t="s">
        <v>51</v>
      </c>
      <c r="AA529" s="2">
        <v>45546</v>
      </c>
      <c r="AB529" t="b">
        <v>0</v>
      </c>
      <c r="AC529" t="b">
        <v>0</v>
      </c>
      <c r="AD529" t="s">
        <v>74</v>
      </c>
      <c r="AE529" t="s">
        <v>67</v>
      </c>
      <c r="AF529">
        <v>13</v>
      </c>
    </row>
    <row r="530" spans="1:32" x14ac:dyDescent="0.25">
      <c r="A530" t="s">
        <v>1135</v>
      </c>
      <c r="B530">
        <v>528</v>
      </c>
      <c r="C530">
        <v>18</v>
      </c>
      <c r="D530" t="str">
        <f>IF(tbl_Original[[#This Row],[Gender2]]="Female","Female",IF(tbl_Original[[#This Row],[Gender2]]="Male","Male","Other"))</f>
        <v>Female</v>
      </c>
      <c r="E530" t="s">
        <v>29</v>
      </c>
      <c r="F530" t="s">
        <v>30</v>
      </c>
      <c r="G530" t="s">
        <v>55</v>
      </c>
      <c r="H530" t="s">
        <v>45</v>
      </c>
      <c r="I530" t="s">
        <v>44</v>
      </c>
      <c r="J530" t="str">
        <f>PROPER(TRIM(CLEAN(tbl_Original[[#This Row],[Column1]])))</f>
        <v>Valbo</v>
      </c>
      <c r="K530" t="s">
        <v>1136</v>
      </c>
      <c r="L530" t="s">
        <v>1136</v>
      </c>
      <c r="M530" t="s">
        <v>71</v>
      </c>
      <c r="N530" s="1">
        <v>89.6</v>
      </c>
      <c r="O530">
        <v>7</v>
      </c>
      <c r="P530" t="s">
        <v>48</v>
      </c>
      <c r="Q530">
        <v>5</v>
      </c>
      <c r="R530">
        <v>3</v>
      </c>
      <c r="S530">
        <v>2</v>
      </c>
      <c r="T530" t="s">
        <v>36</v>
      </c>
      <c r="U530" t="s">
        <v>50</v>
      </c>
      <c r="V530">
        <v>1</v>
      </c>
      <c r="W530">
        <v>5</v>
      </c>
      <c r="X530" t="s">
        <v>59</v>
      </c>
      <c r="Y530" t="s">
        <v>79</v>
      </c>
      <c r="Z530" t="s">
        <v>86</v>
      </c>
      <c r="AA530" s="2">
        <v>45361</v>
      </c>
      <c r="AB530" t="b">
        <v>0</v>
      </c>
      <c r="AC530" t="b">
        <v>0</v>
      </c>
      <c r="AD530" t="s">
        <v>74</v>
      </c>
      <c r="AE530" t="s">
        <v>53</v>
      </c>
      <c r="AF530">
        <v>8</v>
      </c>
    </row>
    <row r="531" spans="1:32" x14ac:dyDescent="0.25">
      <c r="A531" t="s">
        <v>1137</v>
      </c>
      <c r="B531">
        <v>529</v>
      </c>
      <c r="C531">
        <v>27</v>
      </c>
      <c r="D531" t="str">
        <f>IF(tbl_Original[[#This Row],[Gender2]]="Female","Female",IF(tbl_Original[[#This Row],[Gender2]]="Male","Male","Other"))</f>
        <v>Male</v>
      </c>
      <c r="E531" t="s">
        <v>43</v>
      </c>
      <c r="F531" t="s">
        <v>30</v>
      </c>
      <c r="G531" t="s">
        <v>69</v>
      </c>
      <c r="H531" t="s">
        <v>45</v>
      </c>
      <c r="I531" t="s">
        <v>44</v>
      </c>
      <c r="J531" t="str">
        <f>PROPER(TRIM(CLEAN(tbl_Original[[#This Row],[Column1]])))</f>
        <v>Jaguaruana</v>
      </c>
      <c r="K531" t="s">
        <v>1138</v>
      </c>
      <c r="L531" t="s">
        <v>1138</v>
      </c>
      <c r="M531" t="s">
        <v>90</v>
      </c>
      <c r="N531" s="1">
        <v>166.74</v>
      </c>
      <c r="O531">
        <v>6</v>
      </c>
      <c r="P531" t="s">
        <v>35</v>
      </c>
      <c r="Q531">
        <v>2</v>
      </c>
      <c r="R531">
        <v>5</v>
      </c>
      <c r="S531">
        <v>0</v>
      </c>
      <c r="T531" t="s">
        <v>44</v>
      </c>
      <c r="U531" t="s">
        <v>50</v>
      </c>
      <c r="V531">
        <v>0</v>
      </c>
      <c r="W531">
        <v>6</v>
      </c>
      <c r="X531" t="s">
        <v>59</v>
      </c>
      <c r="Y531" t="s">
        <v>79</v>
      </c>
      <c r="Z531" t="s">
        <v>66</v>
      </c>
      <c r="AA531" s="2">
        <v>45305</v>
      </c>
      <c r="AB531" t="b">
        <v>0</v>
      </c>
      <c r="AC531" t="b">
        <v>0</v>
      </c>
      <c r="AD531" t="s">
        <v>62</v>
      </c>
      <c r="AE531" t="s">
        <v>41</v>
      </c>
      <c r="AF531">
        <v>1</v>
      </c>
    </row>
    <row r="532" spans="1:32" x14ac:dyDescent="0.25">
      <c r="A532" t="s">
        <v>1139</v>
      </c>
      <c r="B532">
        <v>530</v>
      </c>
      <c r="C532">
        <v>29</v>
      </c>
      <c r="D532" t="str">
        <f>IF(tbl_Original[[#This Row],[Gender2]]="Female","Female",IF(tbl_Original[[#This Row],[Gender2]]="Male","Male","Other"))</f>
        <v>Female</v>
      </c>
      <c r="E532" t="s">
        <v>29</v>
      </c>
      <c r="F532" t="s">
        <v>44</v>
      </c>
      <c r="G532" t="s">
        <v>31</v>
      </c>
      <c r="H532" t="s">
        <v>32</v>
      </c>
      <c r="I532" t="s">
        <v>30</v>
      </c>
      <c r="J532" t="str">
        <f>PROPER(TRIM(CLEAN(tbl_Original[[#This Row],[Column1]])))</f>
        <v>Cqchah Khnah</v>
      </c>
      <c r="K532" t="s">
        <v>2214</v>
      </c>
      <c r="L532" t="s">
        <v>1140</v>
      </c>
      <c r="M532" t="s">
        <v>93</v>
      </c>
      <c r="N532" s="1">
        <v>299.27999999999997</v>
      </c>
      <c r="O532">
        <v>12</v>
      </c>
      <c r="P532" t="s">
        <v>35</v>
      </c>
      <c r="Q532">
        <v>4</v>
      </c>
      <c r="R532">
        <v>5</v>
      </c>
      <c r="S532">
        <v>1</v>
      </c>
      <c r="T532" t="s">
        <v>44</v>
      </c>
      <c r="U532" t="s">
        <v>37</v>
      </c>
      <c r="V532">
        <v>0</v>
      </c>
      <c r="W532">
        <v>9</v>
      </c>
      <c r="X532" t="s">
        <v>44</v>
      </c>
      <c r="Y532" t="s">
        <v>60</v>
      </c>
      <c r="Z532" t="s">
        <v>61</v>
      </c>
      <c r="AA532" s="2">
        <v>45441</v>
      </c>
      <c r="AB532" t="b">
        <v>0</v>
      </c>
      <c r="AC532" t="b">
        <v>0</v>
      </c>
      <c r="AD532" t="s">
        <v>52</v>
      </c>
      <c r="AE532" t="s">
        <v>53</v>
      </c>
      <c r="AF532">
        <v>3</v>
      </c>
    </row>
    <row r="533" spans="1:32" x14ac:dyDescent="0.25">
      <c r="A533" t="s">
        <v>1141</v>
      </c>
      <c r="B533">
        <v>531</v>
      </c>
      <c r="C533">
        <v>24</v>
      </c>
      <c r="D533" t="str">
        <f>IF(tbl_Original[[#This Row],[Gender2]]="Female","Female",IF(tbl_Original[[#This Row],[Gender2]]="Male","Male","Other"))</f>
        <v>Male</v>
      </c>
      <c r="E533" t="s">
        <v>43</v>
      </c>
      <c r="F533" t="s">
        <v>44</v>
      </c>
      <c r="G533" t="s">
        <v>69</v>
      </c>
      <c r="H533" t="s">
        <v>56</v>
      </c>
      <c r="I533" t="s">
        <v>44</v>
      </c>
      <c r="J533" t="str">
        <f>PROPER(TRIM(CLEAN(tbl_Original[[#This Row],[Column1]])))</f>
        <v>Lipovci</v>
      </c>
      <c r="K533" t="s">
        <v>1142</v>
      </c>
      <c r="L533" t="s">
        <v>1142</v>
      </c>
      <c r="M533" t="s">
        <v>90</v>
      </c>
      <c r="N533" s="1">
        <v>404.57</v>
      </c>
      <c r="O533">
        <v>5</v>
      </c>
      <c r="P533" t="s">
        <v>35</v>
      </c>
      <c r="Q533">
        <v>4</v>
      </c>
      <c r="R533">
        <v>3</v>
      </c>
      <c r="S533">
        <v>0</v>
      </c>
      <c r="T533" t="s">
        <v>49</v>
      </c>
      <c r="U533" t="s">
        <v>50</v>
      </c>
      <c r="V533">
        <v>2</v>
      </c>
      <c r="W533">
        <v>7</v>
      </c>
      <c r="X533" t="s">
        <v>36</v>
      </c>
      <c r="Y533" t="s">
        <v>60</v>
      </c>
      <c r="Z533" t="s">
        <v>61</v>
      </c>
      <c r="AA533" s="2">
        <v>45535</v>
      </c>
      <c r="AB533" t="b">
        <v>0</v>
      </c>
      <c r="AC533" t="b">
        <v>1</v>
      </c>
      <c r="AD533" t="s">
        <v>40</v>
      </c>
      <c r="AE533" t="s">
        <v>67</v>
      </c>
      <c r="AF533">
        <v>14</v>
      </c>
    </row>
    <row r="534" spans="1:32" x14ac:dyDescent="0.25">
      <c r="A534" t="s">
        <v>1143</v>
      </c>
      <c r="B534">
        <v>532</v>
      </c>
      <c r="C534">
        <v>27</v>
      </c>
      <c r="D534" t="str">
        <f>IF(tbl_Original[[#This Row],[Gender2]]="Female","Female",IF(tbl_Original[[#This Row],[Gender2]]="Male","Male","Other"))</f>
        <v>Male</v>
      </c>
      <c r="E534" t="s">
        <v>43</v>
      </c>
      <c r="F534" t="s">
        <v>44</v>
      </c>
      <c r="G534" t="s">
        <v>55</v>
      </c>
      <c r="H534" t="s">
        <v>32</v>
      </c>
      <c r="I534" t="s">
        <v>44</v>
      </c>
      <c r="J534" t="str">
        <f>PROPER(TRIM(CLEAN(tbl_Original[[#This Row],[Column1]])))</f>
        <v>Panagyurishte</v>
      </c>
      <c r="K534" t="s">
        <v>1144</v>
      </c>
      <c r="L534" t="s">
        <v>1144</v>
      </c>
      <c r="M534" t="s">
        <v>120</v>
      </c>
      <c r="N534" s="1">
        <v>344.81</v>
      </c>
      <c r="O534">
        <v>10</v>
      </c>
      <c r="P534" t="s">
        <v>48</v>
      </c>
      <c r="Q534">
        <v>3</v>
      </c>
      <c r="R534">
        <v>1</v>
      </c>
      <c r="S534">
        <v>2</v>
      </c>
      <c r="T534" t="s">
        <v>59</v>
      </c>
      <c r="U534" t="s">
        <v>37</v>
      </c>
      <c r="V534">
        <v>1</v>
      </c>
      <c r="W534">
        <v>9</v>
      </c>
      <c r="X534" t="s">
        <v>44</v>
      </c>
      <c r="Y534" t="s">
        <v>79</v>
      </c>
      <c r="Z534" t="s">
        <v>66</v>
      </c>
      <c r="AA534" s="2">
        <v>45649</v>
      </c>
      <c r="AB534" t="b">
        <v>1</v>
      </c>
      <c r="AC534" t="b">
        <v>1</v>
      </c>
      <c r="AD534" t="s">
        <v>52</v>
      </c>
      <c r="AE534" t="s">
        <v>67</v>
      </c>
      <c r="AF534">
        <v>14</v>
      </c>
    </row>
    <row r="535" spans="1:32" x14ac:dyDescent="0.25">
      <c r="A535" t="s">
        <v>1145</v>
      </c>
      <c r="B535">
        <v>533</v>
      </c>
      <c r="C535">
        <v>34</v>
      </c>
      <c r="D535" t="str">
        <f>IF(tbl_Original[[#This Row],[Gender2]]="Female","Female",IF(tbl_Original[[#This Row],[Gender2]]="Male","Male","Other"))</f>
        <v>Male</v>
      </c>
      <c r="E535" t="s">
        <v>43</v>
      </c>
      <c r="F535" t="s">
        <v>44</v>
      </c>
      <c r="G535" t="s">
        <v>55</v>
      </c>
      <c r="H535" t="s">
        <v>56</v>
      </c>
      <c r="I535" t="s">
        <v>44</v>
      </c>
      <c r="J535" t="str">
        <f>PROPER(TRIM(CLEAN(tbl_Original[[#This Row],[Column1]])))</f>
        <v>Thl Tryn Than Uyn</v>
      </c>
      <c r="K535" t="s">
        <v>2215</v>
      </c>
      <c r="L535" t="s">
        <v>1146</v>
      </c>
      <c r="M535" t="s">
        <v>104</v>
      </c>
      <c r="N535" s="1">
        <v>217.84</v>
      </c>
      <c r="O535">
        <v>10</v>
      </c>
      <c r="P535" t="s">
        <v>78</v>
      </c>
      <c r="Q535">
        <v>2</v>
      </c>
      <c r="R535">
        <v>2</v>
      </c>
      <c r="S535">
        <v>2</v>
      </c>
      <c r="T535" t="s">
        <v>36</v>
      </c>
      <c r="U535" t="s">
        <v>85</v>
      </c>
      <c r="V535">
        <v>0</v>
      </c>
      <c r="W535">
        <v>8</v>
      </c>
      <c r="X535" t="s">
        <v>44</v>
      </c>
      <c r="Y535" t="s">
        <v>38</v>
      </c>
      <c r="Z535" t="s">
        <v>86</v>
      </c>
      <c r="AA535" s="2">
        <v>45307</v>
      </c>
      <c r="AB535" t="b">
        <v>1</v>
      </c>
      <c r="AC535" t="b">
        <v>1</v>
      </c>
      <c r="AD535" t="s">
        <v>52</v>
      </c>
      <c r="AE535" t="s">
        <v>53</v>
      </c>
      <c r="AF535">
        <v>11</v>
      </c>
    </row>
    <row r="536" spans="1:32" x14ac:dyDescent="0.25">
      <c r="A536" t="s">
        <v>1147</v>
      </c>
      <c r="B536">
        <v>534</v>
      </c>
      <c r="C536">
        <v>21</v>
      </c>
      <c r="D536" t="str">
        <f>IF(tbl_Original[[#This Row],[Gender2]]="Female","Female",IF(tbl_Original[[#This Row],[Gender2]]="Male","Male","Other"))</f>
        <v>Male</v>
      </c>
      <c r="E536" t="s">
        <v>43</v>
      </c>
      <c r="F536" t="s">
        <v>30</v>
      </c>
      <c r="G536" t="s">
        <v>76</v>
      </c>
      <c r="H536" t="s">
        <v>32</v>
      </c>
      <c r="I536" t="s">
        <v>30</v>
      </c>
      <c r="J536" t="str">
        <f>PROPER(TRIM(CLEAN(tbl_Original[[#This Row],[Column1]])))</f>
        <v>Clichy</v>
      </c>
      <c r="K536" t="s">
        <v>1148</v>
      </c>
      <c r="L536" t="s">
        <v>1148</v>
      </c>
      <c r="M536" t="s">
        <v>90</v>
      </c>
      <c r="N536" s="1">
        <v>445.34</v>
      </c>
      <c r="O536">
        <v>9</v>
      </c>
      <c r="P536" t="s">
        <v>48</v>
      </c>
      <c r="Q536">
        <v>5</v>
      </c>
      <c r="R536">
        <v>2</v>
      </c>
      <c r="S536">
        <v>1</v>
      </c>
      <c r="T536" t="s">
        <v>59</v>
      </c>
      <c r="U536" t="s">
        <v>37</v>
      </c>
      <c r="V536">
        <v>1</v>
      </c>
      <c r="W536">
        <v>3</v>
      </c>
      <c r="X536" t="s">
        <v>44</v>
      </c>
      <c r="Y536" t="s">
        <v>38</v>
      </c>
      <c r="Z536" t="s">
        <v>86</v>
      </c>
      <c r="AA536" s="2">
        <v>45355</v>
      </c>
      <c r="AB536" t="b">
        <v>1</v>
      </c>
      <c r="AC536" t="b">
        <v>1</v>
      </c>
      <c r="AD536" t="s">
        <v>62</v>
      </c>
      <c r="AE536" t="s">
        <v>41</v>
      </c>
      <c r="AF536">
        <v>3</v>
      </c>
    </row>
    <row r="537" spans="1:32" x14ac:dyDescent="0.25">
      <c r="A537" t="s">
        <v>1149</v>
      </c>
      <c r="B537">
        <v>535</v>
      </c>
      <c r="C537">
        <v>18</v>
      </c>
      <c r="D537" t="str">
        <f>IF(tbl_Original[[#This Row],[Gender2]]="Female","Female",IF(tbl_Original[[#This Row],[Gender2]]="Male","Male","Other"))</f>
        <v>Male</v>
      </c>
      <c r="E537" t="s">
        <v>43</v>
      </c>
      <c r="F537" t="s">
        <v>44</v>
      </c>
      <c r="G537" t="s">
        <v>69</v>
      </c>
      <c r="H537" t="s">
        <v>45</v>
      </c>
      <c r="I537" t="s">
        <v>44</v>
      </c>
      <c r="J537" t="str">
        <f>PROPER(TRIM(CLEAN(tbl_Original[[#This Row],[Column1]])))</f>
        <v>Koczew</v>
      </c>
      <c r="K537" t="s">
        <v>2216</v>
      </c>
      <c r="L537" t="s">
        <v>1150</v>
      </c>
      <c r="M537" t="s">
        <v>65</v>
      </c>
      <c r="N537" s="1">
        <v>151.72999999999999</v>
      </c>
      <c r="O537">
        <v>3</v>
      </c>
      <c r="P537" t="s">
        <v>48</v>
      </c>
      <c r="Q537">
        <v>2</v>
      </c>
      <c r="R537">
        <v>4</v>
      </c>
      <c r="S537">
        <v>1</v>
      </c>
      <c r="T537" t="s">
        <v>49</v>
      </c>
      <c r="U537" t="s">
        <v>85</v>
      </c>
      <c r="V537">
        <v>1</v>
      </c>
      <c r="W537">
        <v>3</v>
      </c>
      <c r="X537" t="s">
        <v>36</v>
      </c>
      <c r="Y537" t="s">
        <v>60</v>
      </c>
      <c r="Z537" t="s">
        <v>66</v>
      </c>
      <c r="AA537" s="2">
        <v>45559</v>
      </c>
      <c r="AB537" t="b">
        <v>0</v>
      </c>
      <c r="AC537" t="b">
        <v>1</v>
      </c>
      <c r="AD537" t="s">
        <v>52</v>
      </c>
      <c r="AE537" t="s">
        <v>67</v>
      </c>
      <c r="AF537">
        <v>11</v>
      </c>
    </row>
    <row r="538" spans="1:32" x14ac:dyDescent="0.25">
      <c r="A538" t="s">
        <v>1151</v>
      </c>
      <c r="B538">
        <v>536</v>
      </c>
      <c r="C538">
        <v>50</v>
      </c>
      <c r="D538" t="str">
        <f>IF(tbl_Original[[#This Row],[Gender2]]="Female","Female",IF(tbl_Original[[#This Row],[Gender2]]="Male","Male","Other"))</f>
        <v>Other</v>
      </c>
      <c r="E538" t="s">
        <v>88</v>
      </c>
      <c r="F538" t="s">
        <v>44</v>
      </c>
      <c r="G538" t="s">
        <v>31</v>
      </c>
      <c r="H538" t="s">
        <v>45</v>
      </c>
      <c r="I538" t="s">
        <v>44</v>
      </c>
      <c r="J538" t="str">
        <f>PROPER(TRIM(CLEAN(tbl_Original[[#This Row],[Column1]])))</f>
        <v>Zhukovo</v>
      </c>
      <c r="K538" t="s">
        <v>1152</v>
      </c>
      <c r="L538" t="s">
        <v>1152</v>
      </c>
      <c r="M538" t="s">
        <v>117</v>
      </c>
      <c r="N538" s="1">
        <v>123.73</v>
      </c>
      <c r="O538">
        <v>9</v>
      </c>
      <c r="P538" t="s">
        <v>78</v>
      </c>
      <c r="Q538">
        <v>1</v>
      </c>
      <c r="R538">
        <v>4</v>
      </c>
      <c r="S538">
        <v>0</v>
      </c>
      <c r="T538" t="s">
        <v>44</v>
      </c>
      <c r="U538" t="s">
        <v>50</v>
      </c>
      <c r="V538">
        <v>2</v>
      </c>
      <c r="W538">
        <v>5</v>
      </c>
      <c r="X538" t="s">
        <v>44</v>
      </c>
      <c r="Y538" t="s">
        <v>60</v>
      </c>
      <c r="Z538" t="s">
        <v>39</v>
      </c>
      <c r="AA538" s="2">
        <v>45572</v>
      </c>
      <c r="AB538" t="b">
        <v>0</v>
      </c>
      <c r="AC538" t="b">
        <v>1</v>
      </c>
      <c r="AD538" t="s">
        <v>40</v>
      </c>
      <c r="AE538" t="s">
        <v>41</v>
      </c>
      <c r="AF538">
        <v>10</v>
      </c>
    </row>
    <row r="539" spans="1:32" x14ac:dyDescent="0.25">
      <c r="A539" t="s">
        <v>1153</v>
      </c>
      <c r="B539">
        <v>537</v>
      </c>
      <c r="C539">
        <v>31</v>
      </c>
      <c r="D539" t="str">
        <f>IF(tbl_Original[[#This Row],[Gender2]]="Female","Female",IF(tbl_Original[[#This Row],[Gender2]]="Male","Male","Other"))</f>
        <v>Male</v>
      </c>
      <c r="E539" t="s">
        <v>43</v>
      </c>
      <c r="F539" t="s">
        <v>30</v>
      </c>
      <c r="G539" t="s">
        <v>55</v>
      </c>
      <c r="H539" t="s">
        <v>56</v>
      </c>
      <c r="I539" t="s">
        <v>44</v>
      </c>
      <c r="J539" t="str">
        <f>PROPER(TRIM(CLEAN(tbl_Original[[#This Row],[Column1]])))</f>
        <v>Nykping</v>
      </c>
      <c r="K539" t="s">
        <v>2217</v>
      </c>
      <c r="L539" t="s">
        <v>1154</v>
      </c>
      <c r="M539" t="s">
        <v>194</v>
      </c>
      <c r="N539" s="1">
        <v>370.54</v>
      </c>
      <c r="O539">
        <v>2</v>
      </c>
      <c r="P539" t="s">
        <v>48</v>
      </c>
      <c r="Q539">
        <v>3</v>
      </c>
      <c r="R539">
        <v>3</v>
      </c>
      <c r="S539">
        <v>0</v>
      </c>
      <c r="T539" t="s">
        <v>59</v>
      </c>
      <c r="U539" t="s">
        <v>85</v>
      </c>
      <c r="V539">
        <v>1</v>
      </c>
      <c r="W539">
        <v>9</v>
      </c>
      <c r="X539" t="s">
        <v>59</v>
      </c>
      <c r="Y539" t="s">
        <v>60</v>
      </c>
      <c r="Z539" t="s">
        <v>39</v>
      </c>
      <c r="AA539" s="2">
        <v>45376</v>
      </c>
      <c r="AB539" t="b">
        <v>1</v>
      </c>
      <c r="AC539" t="b">
        <v>0</v>
      </c>
      <c r="AD539" t="s">
        <v>62</v>
      </c>
      <c r="AE539" t="s">
        <v>41</v>
      </c>
      <c r="AF539">
        <v>7</v>
      </c>
    </row>
    <row r="540" spans="1:32" x14ac:dyDescent="0.25">
      <c r="A540" t="s">
        <v>1155</v>
      </c>
      <c r="B540">
        <v>538</v>
      </c>
      <c r="C540">
        <v>45</v>
      </c>
      <c r="D540" t="str">
        <f>IF(tbl_Original[[#This Row],[Gender2]]="Female","Female",IF(tbl_Original[[#This Row],[Gender2]]="Male","Male","Other"))</f>
        <v>Male</v>
      </c>
      <c r="E540" t="s">
        <v>43</v>
      </c>
      <c r="F540" t="s">
        <v>44</v>
      </c>
      <c r="G540" t="s">
        <v>31</v>
      </c>
      <c r="H540" t="s">
        <v>56</v>
      </c>
      <c r="I540" t="s">
        <v>44</v>
      </c>
      <c r="J540" t="str">
        <f>PROPER(TRIM(CLEAN(tbl_Original[[#This Row],[Column1]])))</f>
        <v>Jianmin</v>
      </c>
      <c r="K540" t="s">
        <v>1156</v>
      </c>
      <c r="L540" t="s">
        <v>1156</v>
      </c>
      <c r="M540" t="s">
        <v>123</v>
      </c>
      <c r="N540" s="1">
        <v>152.87</v>
      </c>
      <c r="O540">
        <v>3</v>
      </c>
      <c r="P540" t="s">
        <v>48</v>
      </c>
      <c r="Q540">
        <v>1</v>
      </c>
      <c r="R540">
        <v>5</v>
      </c>
      <c r="S540">
        <v>2</v>
      </c>
      <c r="T540" t="s">
        <v>44</v>
      </c>
      <c r="U540" t="s">
        <v>85</v>
      </c>
      <c r="V540">
        <v>1</v>
      </c>
      <c r="W540">
        <v>8</v>
      </c>
      <c r="X540" t="s">
        <v>36</v>
      </c>
      <c r="Y540" t="s">
        <v>38</v>
      </c>
      <c r="Z540" t="s">
        <v>61</v>
      </c>
      <c r="AA540" s="2">
        <v>45524</v>
      </c>
      <c r="AB540" t="b">
        <v>0</v>
      </c>
      <c r="AC540" t="b">
        <v>0</v>
      </c>
      <c r="AD540" t="s">
        <v>62</v>
      </c>
      <c r="AE540" t="s">
        <v>67</v>
      </c>
      <c r="AF540">
        <v>11</v>
      </c>
    </row>
    <row r="541" spans="1:32" x14ac:dyDescent="0.25">
      <c r="A541" t="s">
        <v>1157</v>
      </c>
      <c r="B541">
        <v>539</v>
      </c>
      <c r="C541">
        <v>29</v>
      </c>
      <c r="D541" t="str">
        <f>IF(tbl_Original[[#This Row],[Gender2]]="Female","Female",IF(tbl_Original[[#This Row],[Gender2]]="Male","Male","Other"))</f>
        <v>Male</v>
      </c>
      <c r="E541" t="s">
        <v>43</v>
      </c>
      <c r="F541" t="s">
        <v>30</v>
      </c>
      <c r="G541" t="s">
        <v>55</v>
      </c>
      <c r="H541" t="s">
        <v>56</v>
      </c>
      <c r="I541" t="s">
        <v>30</v>
      </c>
      <c r="J541" t="str">
        <f>PROPER(TRIM(CLEAN(tbl_Original[[#This Row],[Column1]])))</f>
        <v>Bucaramanga</v>
      </c>
      <c r="K541" t="s">
        <v>1158</v>
      </c>
      <c r="L541" t="s">
        <v>1158</v>
      </c>
      <c r="M541" t="s">
        <v>142</v>
      </c>
      <c r="N541" s="1">
        <v>295.75</v>
      </c>
      <c r="O541">
        <v>4</v>
      </c>
      <c r="P541" t="s">
        <v>35</v>
      </c>
      <c r="Q541">
        <v>1</v>
      </c>
      <c r="R541">
        <v>1</v>
      </c>
      <c r="S541">
        <v>0</v>
      </c>
      <c r="T541" t="s">
        <v>44</v>
      </c>
      <c r="U541" t="s">
        <v>37</v>
      </c>
      <c r="V541">
        <v>1</v>
      </c>
      <c r="W541">
        <v>10</v>
      </c>
      <c r="X541" t="s">
        <v>59</v>
      </c>
      <c r="Y541" t="s">
        <v>38</v>
      </c>
      <c r="Z541" t="s">
        <v>39</v>
      </c>
      <c r="AA541" s="2">
        <v>45633</v>
      </c>
      <c r="AB541" t="b">
        <v>1</v>
      </c>
      <c r="AC541" t="b">
        <v>1</v>
      </c>
      <c r="AD541" t="s">
        <v>40</v>
      </c>
      <c r="AE541" t="s">
        <v>53</v>
      </c>
      <c r="AF541">
        <v>8</v>
      </c>
    </row>
    <row r="542" spans="1:32" x14ac:dyDescent="0.25">
      <c r="A542" t="s">
        <v>1159</v>
      </c>
      <c r="B542">
        <v>540</v>
      </c>
      <c r="C542">
        <v>36</v>
      </c>
      <c r="D542" t="str">
        <f>IF(tbl_Original[[#This Row],[Gender2]]="Female","Female",IF(tbl_Original[[#This Row],[Gender2]]="Male","Male","Other"))</f>
        <v>Male</v>
      </c>
      <c r="E542" t="s">
        <v>43</v>
      </c>
      <c r="F542" t="s">
        <v>44</v>
      </c>
      <c r="G542" t="s">
        <v>69</v>
      </c>
      <c r="H542" t="s">
        <v>45</v>
      </c>
      <c r="I542" t="s">
        <v>30</v>
      </c>
      <c r="J542" t="str">
        <f>PROPER(TRIM(CLEAN(tbl_Original[[#This Row],[Column1]])))</f>
        <v>Kudanding</v>
      </c>
      <c r="K542" t="s">
        <v>1160</v>
      </c>
      <c r="L542" t="s">
        <v>1160</v>
      </c>
      <c r="M542" t="s">
        <v>58</v>
      </c>
      <c r="N542" s="1">
        <v>358.11</v>
      </c>
      <c r="O542">
        <v>11</v>
      </c>
      <c r="P542" t="s">
        <v>35</v>
      </c>
      <c r="Q542">
        <v>5</v>
      </c>
      <c r="R542">
        <v>1</v>
      </c>
      <c r="S542">
        <v>0</v>
      </c>
      <c r="T542" t="s">
        <v>44</v>
      </c>
      <c r="U542" t="s">
        <v>85</v>
      </c>
      <c r="V542">
        <v>0</v>
      </c>
      <c r="W542">
        <v>3</v>
      </c>
      <c r="X542" t="s">
        <v>44</v>
      </c>
      <c r="Y542" t="s">
        <v>79</v>
      </c>
      <c r="Z542" t="s">
        <v>39</v>
      </c>
      <c r="AA542" s="2">
        <v>45538</v>
      </c>
      <c r="AB542" t="b">
        <v>0</v>
      </c>
      <c r="AC542" t="b">
        <v>0</v>
      </c>
      <c r="AD542" t="s">
        <v>40</v>
      </c>
      <c r="AE542" t="s">
        <v>53</v>
      </c>
      <c r="AF542">
        <v>11</v>
      </c>
    </row>
    <row r="543" spans="1:32" x14ac:dyDescent="0.25">
      <c r="A543" t="s">
        <v>1161</v>
      </c>
      <c r="B543">
        <v>541</v>
      </c>
      <c r="C543">
        <v>27</v>
      </c>
      <c r="D543" t="str">
        <f>IF(tbl_Original[[#This Row],[Gender2]]="Female","Female",IF(tbl_Original[[#This Row],[Gender2]]="Male","Male","Other"))</f>
        <v>Female</v>
      </c>
      <c r="E543" t="s">
        <v>29</v>
      </c>
      <c r="F543" t="s">
        <v>44</v>
      </c>
      <c r="G543" t="s">
        <v>69</v>
      </c>
      <c r="H543" t="s">
        <v>56</v>
      </c>
      <c r="I543" t="s">
        <v>44</v>
      </c>
      <c r="J543" t="str">
        <f>PROPER(TRIM(CLEAN(tbl_Original[[#This Row],[Column1]])))</f>
        <v>Kyoto</v>
      </c>
      <c r="K543" t="s">
        <v>1162</v>
      </c>
      <c r="L543" t="s">
        <v>1162</v>
      </c>
      <c r="M543" t="s">
        <v>246</v>
      </c>
      <c r="N543" s="1">
        <v>63.6</v>
      </c>
      <c r="O543">
        <v>12</v>
      </c>
      <c r="P543" t="s">
        <v>35</v>
      </c>
      <c r="Q543">
        <v>5</v>
      </c>
      <c r="R543">
        <v>1</v>
      </c>
      <c r="S543">
        <v>0</v>
      </c>
      <c r="T543" t="s">
        <v>44</v>
      </c>
      <c r="U543" t="s">
        <v>50</v>
      </c>
      <c r="V543">
        <v>2</v>
      </c>
      <c r="W543">
        <v>1</v>
      </c>
      <c r="X543" t="s">
        <v>36</v>
      </c>
      <c r="Y543" t="s">
        <v>79</v>
      </c>
      <c r="Z543" t="s">
        <v>51</v>
      </c>
      <c r="AA543" s="2">
        <v>45331</v>
      </c>
      <c r="AB543" t="b">
        <v>0</v>
      </c>
      <c r="AC543" t="b">
        <v>1</v>
      </c>
      <c r="AD543" t="s">
        <v>52</v>
      </c>
      <c r="AE543" t="s">
        <v>41</v>
      </c>
      <c r="AF543">
        <v>6</v>
      </c>
    </row>
    <row r="544" spans="1:32" x14ac:dyDescent="0.25">
      <c r="A544" t="s">
        <v>1163</v>
      </c>
      <c r="B544">
        <v>542</v>
      </c>
      <c r="C544">
        <v>24</v>
      </c>
      <c r="D544" t="str">
        <f>IF(tbl_Original[[#This Row],[Gender2]]="Female","Female",IF(tbl_Original[[#This Row],[Gender2]]="Male","Male","Other"))</f>
        <v>Male</v>
      </c>
      <c r="E544" t="s">
        <v>43</v>
      </c>
      <c r="F544" t="s">
        <v>44</v>
      </c>
      <c r="G544" t="s">
        <v>55</v>
      </c>
      <c r="H544" t="s">
        <v>45</v>
      </c>
      <c r="I544" t="s">
        <v>30</v>
      </c>
      <c r="J544" t="str">
        <f>PROPER(TRIM(CLEAN(tbl_Original[[#This Row],[Column1]])))</f>
        <v>Saraburi</v>
      </c>
      <c r="K544" t="s">
        <v>1164</v>
      </c>
      <c r="L544" t="s">
        <v>1164</v>
      </c>
      <c r="M544" t="s">
        <v>82</v>
      </c>
      <c r="N544" s="1">
        <v>419.53</v>
      </c>
      <c r="O544">
        <v>3</v>
      </c>
      <c r="P544" t="s">
        <v>35</v>
      </c>
      <c r="Q544">
        <v>1</v>
      </c>
      <c r="R544">
        <v>5</v>
      </c>
      <c r="S544">
        <v>2</v>
      </c>
      <c r="T544" t="s">
        <v>44</v>
      </c>
      <c r="U544" t="s">
        <v>50</v>
      </c>
      <c r="V544">
        <v>2</v>
      </c>
      <c r="W544">
        <v>10</v>
      </c>
      <c r="X544" t="s">
        <v>49</v>
      </c>
      <c r="Y544" t="s">
        <v>38</v>
      </c>
      <c r="Z544" t="s">
        <v>66</v>
      </c>
      <c r="AA544" s="2">
        <v>45378</v>
      </c>
      <c r="AB544" t="b">
        <v>0</v>
      </c>
      <c r="AC544" t="b">
        <v>0</v>
      </c>
      <c r="AD544" t="s">
        <v>52</v>
      </c>
      <c r="AE544" t="s">
        <v>67</v>
      </c>
      <c r="AF544">
        <v>6</v>
      </c>
    </row>
    <row r="545" spans="1:32" x14ac:dyDescent="0.25">
      <c r="A545" t="s">
        <v>1165</v>
      </c>
      <c r="B545">
        <v>543</v>
      </c>
      <c r="C545">
        <v>49</v>
      </c>
      <c r="D545" t="str">
        <f>IF(tbl_Original[[#This Row],[Gender2]]="Female","Female",IF(tbl_Original[[#This Row],[Gender2]]="Male","Male","Other"))</f>
        <v>Other</v>
      </c>
      <c r="E545" t="s">
        <v>274</v>
      </c>
      <c r="F545" t="s">
        <v>44</v>
      </c>
      <c r="G545" t="s">
        <v>69</v>
      </c>
      <c r="H545" t="s">
        <v>45</v>
      </c>
      <c r="I545" t="s">
        <v>30</v>
      </c>
      <c r="J545" t="str">
        <f>PROPER(TRIM(CLEAN(tbl_Original[[#This Row],[Column1]])))</f>
        <v>Negeriagung</v>
      </c>
      <c r="K545" t="s">
        <v>1166</v>
      </c>
      <c r="L545" t="s">
        <v>1166</v>
      </c>
      <c r="M545" t="s">
        <v>158</v>
      </c>
      <c r="N545" s="1">
        <v>491.92</v>
      </c>
      <c r="O545">
        <v>10</v>
      </c>
      <c r="P545" t="s">
        <v>48</v>
      </c>
      <c r="Q545">
        <v>5</v>
      </c>
      <c r="R545">
        <v>3</v>
      </c>
      <c r="S545">
        <v>0</v>
      </c>
      <c r="T545" t="s">
        <v>49</v>
      </c>
      <c r="U545" t="s">
        <v>85</v>
      </c>
      <c r="V545">
        <v>1</v>
      </c>
      <c r="W545">
        <v>1</v>
      </c>
      <c r="X545" t="s">
        <v>59</v>
      </c>
      <c r="Y545" t="s">
        <v>79</v>
      </c>
      <c r="Z545" t="s">
        <v>39</v>
      </c>
      <c r="AA545" s="2">
        <v>45655</v>
      </c>
      <c r="AB545" t="b">
        <v>0</v>
      </c>
      <c r="AC545" t="b">
        <v>0</v>
      </c>
      <c r="AD545" t="s">
        <v>52</v>
      </c>
      <c r="AE545" t="s">
        <v>53</v>
      </c>
      <c r="AF545">
        <v>2</v>
      </c>
    </row>
    <row r="546" spans="1:32" x14ac:dyDescent="0.25">
      <c r="A546" t="s">
        <v>1167</v>
      </c>
      <c r="B546">
        <v>544</v>
      </c>
      <c r="C546">
        <v>21</v>
      </c>
      <c r="D546" t="str">
        <f>IF(tbl_Original[[#This Row],[Gender2]]="Female","Female",IF(tbl_Original[[#This Row],[Gender2]]="Male","Male","Other"))</f>
        <v>Other</v>
      </c>
      <c r="E546" t="s">
        <v>88</v>
      </c>
      <c r="F546" t="s">
        <v>30</v>
      </c>
      <c r="G546" t="s">
        <v>76</v>
      </c>
      <c r="H546" t="s">
        <v>45</v>
      </c>
      <c r="I546" t="s">
        <v>44</v>
      </c>
      <c r="J546" t="str">
        <f>PROPER(TRIM(CLEAN(tbl_Original[[#This Row],[Column1]])))</f>
        <v>Latacunga</v>
      </c>
      <c r="K546" t="s">
        <v>1168</v>
      </c>
      <c r="L546" t="s">
        <v>1168</v>
      </c>
      <c r="M546" t="s">
        <v>90</v>
      </c>
      <c r="N546" s="1">
        <v>114.44</v>
      </c>
      <c r="O546">
        <v>4</v>
      </c>
      <c r="P546" t="s">
        <v>78</v>
      </c>
      <c r="Q546">
        <v>5</v>
      </c>
      <c r="R546">
        <v>3</v>
      </c>
      <c r="S546">
        <v>2</v>
      </c>
      <c r="T546" t="s">
        <v>59</v>
      </c>
      <c r="U546" t="s">
        <v>50</v>
      </c>
      <c r="V546">
        <v>1</v>
      </c>
      <c r="W546">
        <v>9</v>
      </c>
      <c r="X546" t="s">
        <v>36</v>
      </c>
      <c r="Y546" t="s">
        <v>79</v>
      </c>
      <c r="Z546" t="s">
        <v>39</v>
      </c>
      <c r="AA546" s="2">
        <v>45585</v>
      </c>
      <c r="AB546" t="b">
        <v>0</v>
      </c>
      <c r="AC546" t="b">
        <v>0</v>
      </c>
      <c r="AD546" t="s">
        <v>74</v>
      </c>
      <c r="AE546" t="s">
        <v>67</v>
      </c>
      <c r="AF546">
        <v>1</v>
      </c>
    </row>
    <row r="547" spans="1:32" x14ac:dyDescent="0.25">
      <c r="A547" t="s">
        <v>1169</v>
      </c>
      <c r="B547">
        <v>545</v>
      </c>
      <c r="C547">
        <v>19</v>
      </c>
      <c r="D547" t="str">
        <f>IF(tbl_Original[[#This Row],[Gender2]]="Female","Female",IF(tbl_Original[[#This Row],[Gender2]]="Male","Male","Other"))</f>
        <v>Female</v>
      </c>
      <c r="E547" t="s">
        <v>29</v>
      </c>
      <c r="F547" t="s">
        <v>30</v>
      </c>
      <c r="G547" t="s">
        <v>31</v>
      </c>
      <c r="H547" t="s">
        <v>56</v>
      </c>
      <c r="I547" t="s">
        <v>44</v>
      </c>
      <c r="J547" t="str">
        <f>PROPER(TRIM(CLEAN(tbl_Original[[#This Row],[Column1]])))</f>
        <v>Guanzhou</v>
      </c>
      <c r="K547" t="s">
        <v>1170</v>
      </c>
      <c r="L547" t="s">
        <v>1170</v>
      </c>
      <c r="M547" t="s">
        <v>93</v>
      </c>
      <c r="N547" s="1">
        <v>388.82</v>
      </c>
      <c r="O547">
        <v>10</v>
      </c>
      <c r="P547" t="s">
        <v>35</v>
      </c>
      <c r="Q547">
        <v>2</v>
      </c>
      <c r="R547">
        <v>3</v>
      </c>
      <c r="S547">
        <v>0</v>
      </c>
      <c r="T547" t="s">
        <v>59</v>
      </c>
      <c r="U547" t="s">
        <v>85</v>
      </c>
      <c r="V547">
        <v>0</v>
      </c>
      <c r="W547">
        <v>8</v>
      </c>
      <c r="X547" t="s">
        <v>59</v>
      </c>
      <c r="Y547" t="s">
        <v>79</v>
      </c>
      <c r="Z547" t="s">
        <v>66</v>
      </c>
      <c r="AA547" s="2">
        <v>45538</v>
      </c>
      <c r="AB547" t="b">
        <v>0</v>
      </c>
      <c r="AC547" t="b">
        <v>0</v>
      </c>
      <c r="AD547" t="s">
        <v>40</v>
      </c>
      <c r="AE547" t="s">
        <v>41</v>
      </c>
      <c r="AF547">
        <v>6</v>
      </c>
    </row>
    <row r="548" spans="1:32" x14ac:dyDescent="0.25">
      <c r="A548" t="s">
        <v>1171</v>
      </c>
      <c r="B548">
        <v>546</v>
      </c>
      <c r="C548">
        <v>23</v>
      </c>
      <c r="D548" t="str">
        <f>IF(tbl_Original[[#This Row],[Gender2]]="Female","Female",IF(tbl_Original[[#This Row],[Gender2]]="Male","Male","Other"))</f>
        <v>Female</v>
      </c>
      <c r="E548" t="s">
        <v>29</v>
      </c>
      <c r="F548" t="s">
        <v>30</v>
      </c>
      <c r="G548" t="s">
        <v>31</v>
      </c>
      <c r="H548" t="s">
        <v>32</v>
      </c>
      <c r="I548" t="s">
        <v>44</v>
      </c>
      <c r="J548" t="str">
        <f>PROPER(TRIM(CLEAN(tbl_Original[[#This Row],[Column1]])))</f>
        <v>Tabuc Pontevedra</v>
      </c>
      <c r="K548" t="s">
        <v>1172</v>
      </c>
      <c r="L548" t="s">
        <v>1172</v>
      </c>
      <c r="M548" t="s">
        <v>93</v>
      </c>
      <c r="N548" s="1">
        <v>58.32</v>
      </c>
      <c r="O548">
        <v>7</v>
      </c>
      <c r="P548" t="s">
        <v>48</v>
      </c>
      <c r="Q548">
        <v>1</v>
      </c>
      <c r="R548">
        <v>5</v>
      </c>
      <c r="S548">
        <v>0</v>
      </c>
      <c r="T548" t="s">
        <v>59</v>
      </c>
      <c r="U548" t="s">
        <v>50</v>
      </c>
      <c r="V548">
        <v>1</v>
      </c>
      <c r="W548">
        <v>6</v>
      </c>
      <c r="X548" t="s">
        <v>59</v>
      </c>
      <c r="Y548" t="s">
        <v>60</v>
      </c>
      <c r="Z548" t="s">
        <v>51</v>
      </c>
      <c r="AA548" s="2">
        <v>45364</v>
      </c>
      <c r="AB548" t="b">
        <v>1</v>
      </c>
      <c r="AC548" t="b">
        <v>1</v>
      </c>
      <c r="AD548" t="s">
        <v>40</v>
      </c>
      <c r="AE548" t="s">
        <v>53</v>
      </c>
      <c r="AF548">
        <v>8</v>
      </c>
    </row>
    <row r="549" spans="1:32" x14ac:dyDescent="0.25">
      <c r="A549" t="s">
        <v>1173</v>
      </c>
      <c r="B549">
        <v>547</v>
      </c>
      <c r="C549">
        <v>28</v>
      </c>
      <c r="D549" t="str">
        <f>IF(tbl_Original[[#This Row],[Gender2]]="Female","Female",IF(tbl_Original[[#This Row],[Gender2]]="Male","Male","Other"))</f>
        <v>Female</v>
      </c>
      <c r="E549" t="s">
        <v>29</v>
      </c>
      <c r="F549" t="s">
        <v>44</v>
      </c>
      <c r="G549" t="s">
        <v>76</v>
      </c>
      <c r="H549" t="s">
        <v>56</v>
      </c>
      <c r="I549" t="s">
        <v>44</v>
      </c>
      <c r="J549" t="str">
        <f>PROPER(TRIM(CLEAN(tbl_Original[[#This Row],[Column1]])))</f>
        <v>Kabale</v>
      </c>
      <c r="K549" t="s">
        <v>1174</v>
      </c>
      <c r="L549" t="s">
        <v>1174</v>
      </c>
      <c r="M549" t="s">
        <v>158</v>
      </c>
      <c r="N549" s="1">
        <v>464.76</v>
      </c>
      <c r="O549">
        <v>2</v>
      </c>
      <c r="P549" t="s">
        <v>35</v>
      </c>
      <c r="Q549">
        <v>5</v>
      </c>
      <c r="R549">
        <v>1</v>
      </c>
      <c r="S549">
        <v>0</v>
      </c>
      <c r="T549" t="s">
        <v>59</v>
      </c>
      <c r="U549" t="s">
        <v>85</v>
      </c>
      <c r="V549">
        <v>0</v>
      </c>
      <c r="W549">
        <v>3</v>
      </c>
      <c r="X549" t="s">
        <v>59</v>
      </c>
      <c r="Y549" t="s">
        <v>79</v>
      </c>
      <c r="Z549" t="s">
        <v>61</v>
      </c>
      <c r="AA549" s="2">
        <v>45326</v>
      </c>
      <c r="AB549" t="b">
        <v>0</v>
      </c>
      <c r="AC549" t="b">
        <v>1</v>
      </c>
      <c r="AD549" t="s">
        <v>40</v>
      </c>
      <c r="AE549" t="s">
        <v>41</v>
      </c>
      <c r="AF549">
        <v>3</v>
      </c>
    </row>
    <row r="550" spans="1:32" x14ac:dyDescent="0.25">
      <c r="A550" t="s">
        <v>1175</v>
      </c>
      <c r="B550">
        <v>548</v>
      </c>
      <c r="C550">
        <v>27</v>
      </c>
      <c r="D550" t="str">
        <f>IF(tbl_Original[[#This Row],[Gender2]]="Female","Female",IF(tbl_Original[[#This Row],[Gender2]]="Male","Male","Other"))</f>
        <v>Female</v>
      </c>
      <c r="E550" t="s">
        <v>29</v>
      </c>
      <c r="F550" t="s">
        <v>44</v>
      </c>
      <c r="G550" t="s">
        <v>76</v>
      </c>
      <c r="H550" t="s">
        <v>56</v>
      </c>
      <c r="I550" t="s">
        <v>44</v>
      </c>
      <c r="J550" t="str">
        <f>PROPER(TRIM(CLEAN(tbl_Original[[#This Row],[Column1]])))</f>
        <v>Malveira</v>
      </c>
      <c r="K550" t="s">
        <v>1176</v>
      </c>
      <c r="L550" t="s">
        <v>1176</v>
      </c>
      <c r="M550" t="s">
        <v>65</v>
      </c>
      <c r="N550" s="1">
        <v>116.92</v>
      </c>
      <c r="O550">
        <v>7</v>
      </c>
      <c r="P550" t="s">
        <v>35</v>
      </c>
      <c r="Q550">
        <v>2</v>
      </c>
      <c r="R550">
        <v>3</v>
      </c>
      <c r="S550">
        <v>2</v>
      </c>
      <c r="T550" t="s">
        <v>36</v>
      </c>
      <c r="U550" t="s">
        <v>85</v>
      </c>
      <c r="V550">
        <v>2</v>
      </c>
      <c r="W550">
        <v>3</v>
      </c>
      <c r="X550" t="s">
        <v>59</v>
      </c>
      <c r="Y550" t="s">
        <v>79</v>
      </c>
      <c r="Z550" t="s">
        <v>61</v>
      </c>
      <c r="AA550" s="2">
        <v>45382</v>
      </c>
      <c r="AB550" t="b">
        <v>1</v>
      </c>
      <c r="AC550" t="b">
        <v>0</v>
      </c>
      <c r="AD550" t="s">
        <v>62</v>
      </c>
      <c r="AE550" t="s">
        <v>41</v>
      </c>
      <c r="AF550">
        <v>14</v>
      </c>
    </row>
    <row r="551" spans="1:32" x14ac:dyDescent="0.25">
      <c r="A551" t="s">
        <v>1177</v>
      </c>
      <c r="B551">
        <v>549</v>
      </c>
      <c r="C551">
        <v>47</v>
      </c>
      <c r="D551" t="str">
        <f>IF(tbl_Original[[#This Row],[Gender2]]="Female","Female",IF(tbl_Original[[#This Row],[Gender2]]="Male","Male","Other"))</f>
        <v>Female</v>
      </c>
      <c r="E551" t="s">
        <v>29</v>
      </c>
      <c r="F551" t="s">
        <v>44</v>
      </c>
      <c r="G551" t="s">
        <v>76</v>
      </c>
      <c r="H551" t="s">
        <v>32</v>
      </c>
      <c r="I551" t="s">
        <v>30</v>
      </c>
      <c r="J551" t="str">
        <f>PROPER(TRIM(CLEAN(tbl_Original[[#This Row],[Column1]])))</f>
        <v>Veiga</v>
      </c>
      <c r="K551" t="s">
        <v>1178</v>
      </c>
      <c r="L551" t="s">
        <v>1178</v>
      </c>
      <c r="M551" t="s">
        <v>246</v>
      </c>
      <c r="N551" s="1">
        <v>396.76</v>
      </c>
      <c r="O551">
        <v>8</v>
      </c>
      <c r="P551" t="s">
        <v>78</v>
      </c>
      <c r="Q551">
        <v>3</v>
      </c>
      <c r="R551">
        <v>3</v>
      </c>
      <c r="S551">
        <v>1</v>
      </c>
      <c r="T551" t="s">
        <v>36</v>
      </c>
      <c r="U551" t="s">
        <v>85</v>
      </c>
      <c r="V551">
        <v>2</v>
      </c>
      <c r="W551">
        <v>4</v>
      </c>
      <c r="X551" t="s">
        <v>44</v>
      </c>
      <c r="Y551" t="s">
        <v>38</v>
      </c>
      <c r="Z551" t="s">
        <v>86</v>
      </c>
      <c r="AA551" s="2">
        <v>45490</v>
      </c>
      <c r="AB551" t="b">
        <v>1</v>
      </c>
      <c r="AC551" t="b">
        <v>1</v>
      </c>
      <c r="AD551" t="s">
        <v>74</v>
      </c>
      <c r="AE551" t="s">
        <v>67</v>
      </c>
      <c r="AF551">
        <v>8</v>
      </c>
    </row>
    <row r="552" spans="1:32" x14ac:dyDescent="0.25">
      <c r="A552" t="s">
        <v>1179</v>
      </c>
      <c r="B552">
        <v>550</v>
      </c>
      <c r="C552">
        <v>20</v>
      </c>
      <c r="D552" t="str">
        <f>IF(tbl_Original[[#This Row],[Gender2]]="Female","Female",IF(tbl_Original[[#This Row],[Gender2]]="Male","Male","Other"))</f>
        <v>Other</v>
      </c>
      <c r="E552" t="s">
        <v>274</v>
      </c>
      <c r="F552" t="s">
        <v>44</v>
      </c>
      <c r="G552" t="s">
        <v>69</v>
      </c>
      <c r="H552" t="s">
        <v>56</v>
      </c>
      <c r="I552" t="s">
        <v>30</v>
      </c>
      <c r="J552" t="str">
        <f>PROPER(TRIM(CLEAN(tbl_Original[[#This Row],[Column1]])))</f>
        <v>Jagistay</v>
      </c>
      <c r="K552" t="s">
        <v>1180</v>
      </c>
      <c r="L552" t="s">
        <v>1180</v>
      </c>
      <c r="M552" t="s">
        <v>114</v>
      </c>
      <c r="N552" s="1">
        <v>393.35</v>
      </c>
      <c r="O552">
        <v>7</v>
      </c>
      <c r="P552" t="s">
        <v>35</v>
      </c>
      <c r="Q552">
        <v>3</v>
      </c>
      <c r="R552">
        <v>4</v>
      </c>
      <c r="S552">
        <v>2</v>
      </c>
      <c r="T552" t="s">
        <v>44</v>
      </c>
      <c r="U552" t="s">
        <v>50</v>
      </c>
      <c r="V552">
        <v>0</v>
      </c>
      <c r="W552">
        <v>4</v>
      </c>
      <c r="X552" t="s">
        <v>44</v>
      </c>
      <c r="Y552" t="s">
        <v>38</v>
      </c>
      <c r="Z552" t="s">
        <v>39</v>
      </c>
      <c r="AA552" s="2">
        <v>45459</v>
      </c>
      <c r="AB552" t="b">
        <v>1</v>
      </c>
      <c r="AC552" t="b">
        <v>1</v>
      </c>
      <c r="AD552" t="s">
        <v>40</v>
      </c>
      <c r="AE552" t="s">
        <v>41</v>
      </c>
      <c r="AF552">
        <v>12</v>
      </c>
    </row>
    <row r="553" spans="1:32" x14ac:dyDescent="0.25">
      <c r="A553" t="s">
        <v>1181</v>
      </c>
      <c r="B553">
        <v>551</v>
      </c>
      <c r="C553">
        <v>26</v>
      </c>
      <c r="D553" t="str">
        <f>IF(tbl_Original[[#This Row],[Gender2]]="Female","Female",IF(tbl_Original[[#This Row],[Gender2]]="Male","Male","Other"))</f>
        <v>Female</v>
      </c>
      <c r="E553" t="s">
        <v>29</v>
      </c>
      <c r="F553" t="s">
        <v>44</v>
      </c>
      <c r="G553" t="s">
        <v>55</v>
      </c>
      <c r="H553" t="s">
        <v>56</v>
      </c>
      <c r="I553" t="s">
        <v>44</v>
      </c>
      <c r="J553" t="str">
        <f>PROPER(TRIM(CLEAN(tbl_Original[[#This Row],[Column1]])))</f>
        <v>Yuannan</v>
      </c>
      <c r="K553" t="s">
        <v>1182</v>
      </c>
      <c r="L553" t="s">
        <v>1182</v>
      </c>
      <c r="M553" t="s">
        <v>117</v>
      </c>
      <c r="N553" s="1">
        <v>114.03</v>
      </c>
      <c r="O553">
        <v>7</v>
      </c>
      <c r="P553" t="s">
        <v>35</v>
      </c>
      <c r="Q553">
        <v>4</v>
      </c>
      <c r="R553">
        <v>3</v>
      </c>
      <c r="S553">
        <v>0</v>
      </c>
      <c r="T553" t="s">
        <v>49</v>
      </c>
      <c r="U553" t="s">
        <v>50</v>
      </c>
      <c r="V553">
        <v>1</v>
      </c>
      <c r="W553">
        <v>10</v>
      </c>
      <c r="X553" t="s">
        <v>44</v>
      </c>
      <c r="Y553" t="s">
        <v>38</v>
      </c>
      <c r="Z553" t="s">
        <v>39</v>
      </c>
      <c r="AA553" s="2">
        <v>45395</v>
      </c>
      <c r="AB553" t="b">
        <v>1</v>
      </c>
      <c r="AC553" t="b">
        <v>1</v>
      </c>
      <c r="AD553" t="s">
        <v>74</v>
      </c>
      <c r="AE553" t="s">
        <v>41</v>
      </c>
      <c r="AF553">
        <v>6</v>
      </c>
    </row>
    <row r="554" spans="1:32" x14ac:dyDescent="0.25">
      <c r="A554" t="s">
        <v>1183</v>
      </c>
      <c r="B554">
        <v>552</v>
      </c>
      <c r="C554">
        <v>49</v>
      </c>
      <c r="D554" t="str">
        <f>IF(tbl_Original[[#This Row],[Gender2]]="Female","Female",IF(tbl_Original[[#This Row],[Gender2]]="Male","Male","Other"))</f>
        <v>Male</v>
      </c>
      <c r="E554" t="s">
        <v>43</v>
      </c>
      <c r="F554" t="s">
        <v>44</v>
      </c>
      <c r="G554" t="s">
        <v>55</v>
      </c>
      <c r="H554" t="s">
        <v>32</v>
      </c>
      <c r="I554" t="s">
        <v>30</v>
      </c>
      <c r="J554" t="str">
        <f>PROPER(TRIM(CLEAN(tbl_Original[[#This Row],[Column1]])))</f>
        <v>Mount Darwin</v>
      </c>
      <c r="K554" t="s">
        <v>1184</v>
      </c>
      <c r="L554" t="s">
        <v>1184</v>
      </c>
      <c r="M554" t="s">
        <v>142</v>
      </c>
      <c r="N554" s="1">
        <v>109.97</v>
      </c>
      <c r="O554">
        <v>4</v>
      </c>
      <c r="P554" t="s">
        <v>48</v>
      </c>
      <c r="Q554">
        <v>4</v>
      </c>
      <c r="R554">
        <v>4</v>
      </c>
      <c r="S554">
        <v>1</v>
      </c>
      <c r="T554" t="s">
        <v>36</v>
      </c>
      <c r="U554" t="s">
        <v>85</v>
      </c>
      <c r="V554">
        <v>1</v>
      </c>
      <c r="W554">
        <v>5</v>
      </c>
      <c r="X554" t="s">
        <v>36</v>
      </c>
      <c r="Y554" t="s">
        <v>38</v>
      </c>
      <c r="Z554" t="s">
        <v>39</v>
      </c>
      <c r="AA554" s="2">
        <v>45516</v>
      </c>
      <c r="AB554" t="b">
        <v>1</v>
      </c>
      <c r="AC554" t="b">
        <v>0</v>
      </c>
      <c r="AD554" t="s">
        <v>52</v>
      </c>
      <c r="AE554" t="s">
        <v>41</v>
      </c>
      <c r="AF554">
        <v>1</v>
      </c>
    </row>
    <row r="555" spans="1:32" x14ac:dyDescent="0.25">
      <c r="A555" t="s">
        <v>1185</v>
      </c>
      <c r="B555">
        <v>553</v>
      </c>
      <c r="C555">
        <v>39</v>
      </c>
      <c r="D555" t="str">
        <f>IF(tbl_Original[[#This Row],[Gender2]]="Female","Female",IF(tbl_Original[[#This Row],[Gender2]]="Male","Male","Other"))</f>
        <v>Female</v>
      </c>
      <c r="E555" t="s">
        <v>29</v>
      </c>
      <c r="F555" t="s">
        <v>44</v>
      </c>
      <c r="G555" t="s">
        <v>69</v>
      </c>
      <c r="H555" t="s">
        <v>56</v>
      </c>
      <c r="I555" t="s">
        <v>44</v>
      </c>
      <c r="J555" t="str">
        <f>PROPER(TRIM(CLEAN(tbl_Original[[#This Row],[Column1]])))</f>
        <v>Qalaeh-Ye Khvjeh</v>
      </c>
      <c r="K555" t="s">
        <v>2218</v>
      </c>
      <c r="L555" t="s">
        <v>1186</v>
      </c>
      <c r="M555" t="s">
        <v>188</v>
      </c>
      <c r="N555" s="1">
        <v>310.23</v>
      </c>
      <c r="O555">
        <v>12</v>
      </c>
      <c r="P555" t="s">
        <v>48</v>
      </c>
      <c r="Q555">
        <v>1</v>
      </c>
      <c r="R555">
        <v>4</v>
      </c>
      <c r="S555">
        <v>0</v>
      </c>
      <c r="T555" t="s">
        <v>36</v>
      </c>
      <c r="U555" t="s">
        <v>37</v>
      </c>
      <c r="V555">
        <v>0</v>
      </c>
      <c r="W555">
        <v>6</v>
      </c>
      <c r="X555" t="s">
        <v>36</v>
      </c>
      <c r="Y555" t="s">
        <v>79</v>
      </c>
      <c r="Z555" t="s">
        <v>51</v>
      </c>
      <c r="AA555" s="2">
        <v>45643</v>
      </c>
      <c r="AB555" t="b">
        <v>1</v>
      </c>
      <c r="AC555" t="b">
        <v>0</v>
      </c>
      <c r="AD555" t="s">
        <v>62</v>
      </c>
      <c r="AE555" t="s">
        <v>67</v>
      </c>
      <c r="AF555">
        <v>3</v>
      </c>
    </row>
    <row r="556" spans="1:32" x14ac:dyDescent="0.25">
      <c r="A556" t="s">
        <v>1187</v>
      </c>
      <c r="B556">
        <v>554</v>
      </c>
      <c r="C556">
        <v>22</v>
      </c>
      <c r="D556" t="str">
        <f>IF(tbl_Original[[#This Row],[Gender2]]="Female","Female",IF(tbl_Original[[#This Row],[Gender2]]="Male","Male","Other"))</f>
        <v>Male</v>
      </c>
      <c r="E556" t="s">
        <v>43</v>
      </c>
      <c r="F556" t="s">
        <v>30</v>
      </c>
      <c r="G556" t="s">
        <v>76</v>
      </c>
      <c r="H556" t="s">
        <v>56</v>
      </c>
      <c r="I556" t="s">
        <v>30</v>
      </c>
      <c r="J556" t="str">
        <f>PROPER(TRIM(CLEAN(tbl_Original[[#This Row],[Column1]])))</f>
        <v>Veiga</v>
      </c>
      <c r="K556" t="s">
        <v>1178</v>
      </c>
      <c r="L556" t="s">
        <v>1178</v>
      </c>
      <c r="M556" t="s">
        <v>194</v>
      </c>
      <c r="N556" s="1">
        <v>383.13</v>
      </c>
      <c r="O556">
        <v>3</v>
      </c>
      <c r="P556" t="s">
        <v>35</v>
      </c>
      <c r="Q556">
        <v>4</v>
      </c>
      <c r="R556">
        <v>5</v>
      </c>
      <c r="S556">
        <v>0</v>
      </c>
      <c r="T556" t="s">
        <v>49</v>
      </c>
      <c r="U556" t="s">
        <v>50</v>
      </c>
      <c r="V556">
        <v>2</v>
      </c>
      <c r="W556">
        <v>6</v>
      </c>
      <c r="X556" t="s">
        <v>36</v>
      </c>
      <c r="Y556" t="s">
        <v>79</v>
      </c>
      <c r="Z556" t="s">
        <v>86</v>
      </c>
      <c r="AA556" s="2">
        <v>45560</v>
      </c>
      <c r="AB556" t="b">
        <v>0</v>
      </c>
      <c r="AC556" t="b">
        <v>0</v>
      </c>
      <c r="AD556" t="s">
        <v>40</v>
      </c>
      <c r="AE556" t="s">
        <v>41</v>
      </c>
      <c r="AF556">
        <v>7</v>
      </c>
    </row>
    <row r="557" spans="1:32" x14ac:dyDescent="0.25">
      <c r="A557" t="s">
        <v>1188</v>
      </c>
      <c r="B557">
        <v>555</v>
      </c>
      <c r="C557">
        <v>25</v>
      </c>
      <c r="D557" t="str">
        <f>IF(tbl_Original[[#This Row],[Gender2]]="Female","Female",IF(tbl_Original[[#This Row],[Gender2]]="Male","Male","Other"))</f>
        <v>Male</v>
      </c>
      <c r="E557" t="s">
        <v>43</v>
      </c>
      <c r="F557" t="s">
        <v>44</v>
      </c>
      <c r="G557" t="s">
        <v>55</v>
      </c>
      <c r="H557" t="s">
        <v>45</v>
      </c>
      <c r="I557" t="s">
        <v>30</v>
      </c>
      <c r="J557" t="str">
        <f>PROPER(TRIM(CLEAN(tbl_Original[[#This Row],[Column1]])))</f>
        <v>Al Qarrah</v>
      </c>
      <c r="K557" t="s">
        <v>2138</v>
      </c>
      <c r="L557" t="s">
        <v>1189</v>
      </c>
      <c r="M557" t="s">
        <v>142</v>
      </c>
      <c r="N557" s="1">
        <v>434.86</v>
      </c>
      <c r="O557">
        <v>11</v>
      </c>
      <c r="P557" t="s">
        <v>48</v>
      </c>
      <c r="Q557">
        <v>2</v>
      </c>
      <c r="R557">
        <v>5</v>
      </c>
      <c r="S557">
        <v>2</v>
      </c>
      <c r="T557" t="s">
        <v>44</v>
      </c>
      <c r="U557" t="s">
        <v>37</v>
      </c>
      <c r="V557">
        <v>0</v>
      </c>
      <c r="W557">
        <v>4</v>
      </c>
      <c r="X557" t="s">
        <v>49</v>
      </c>
      <c r="Y557" t="s">
        <v>60</v>
      </c>
      <c r="Z557" t="s">
        <v>66</v>
      </c>
      <c r="AA557" s="2">
        <v>45467</v>
      </c>
      <c r="AB557" t="b">
        <v>1</v>
      </c>
      <c r="AC557" t="b">
        <v>0</v>
      </c>
      <c r="AD557" t="s">
        <v>62</v>
      </c>
      <c r="AE557" t="s">
        <v>67</v>
      </c>
      <c r="AF557">
        <v>11</v>
      </c>
    </row>
    <row r="558" spans="1:32" x14ac:dyDescent="0.25">
      <c r="A558" t="s">
        <v>1190</v>
      </c>
      <c r="B558">
        <v>556</v>
      </c>
      <c r="C558">
        <v>30</v>
      </c>
      <c r="D558" t="str">
        <f>IF(tbl_Original[[#This Row],[Gender2]]="Female","Female",IF(tbl_Original[[#This Row],[Gender2]]="Male","Male","Other"))</f>
        <v>Female</v>
      </c>
      <c r="E558" t="s">
        <v>29</v>
      </c>
      <c r="F558" t="s">
        <v>30</v>
      </c>
      <c r="G558" t="s">
        <v>31</v>
      </c>
      <c r="H558" t="s">
        <v>32</v>
      </c>
      <c r="I558" t="s">
        <v>30</v>
      </c>
      <c r="J558" t="str">
        <f>PROPER(TRIM(CLEAN(tbl_Original[[#This Row],[Column1]])))</f>
        <v>Fandriana</v>
      </c>
      <c r="K558" t="s">
        <v>1191</v>
      </c>
      <c r="L558" t="s">
        <v>1191</v>
      </c>
      <c r="M558" t="s">
        <v>58</v>
      </c>
      <c r="N558" s="1">
        <v>489.1</v>
      </c>
      <c r="O558">
        <v>9</v>
      </c>
      <c r="P558" t="s">
        <v>35</v>
      </c>
      <c r="Q558">
        <v>3</v>
      </c>
      <c r="R558">
        <v>4</v>
      </c>
      <c r="S558">
        <v>1</v>
      </c>
      <c r="T558" t="s">
        <v>59</v>
      </c>
      <c r="U558" t="s">
        <v>37</v>
      </c>
      <c r="V558">
        <v>2</v>
      </c>
      <c r="W558">
        <v>4</v>
      </c>
      <c r="X558" t="s">
        <v>49</v>
      </c>
      <c r="Y558" t="s">
        <v>60</v>
      </c>
      <c r="Z558" t="s">
        <v>39</v>
      </c>
      <c r="AA558" s="2">
        <v>45614</v>
      </c>
      <c r="AB558" t="b">
        <v>1</v>
      </c>
      <c r="AC558" t="b">
        <v>0</v>
      </c>
      <c r="AD558" t="s">
        <v>40</v>
      </c>
      <c r="AE558" t="s">
        <v>53</v>
      </c>
      <c r="AF558">
        <v>13</v>
      </c>
    </row>
    <row r="559" spans="1:32" x14ac:dyDescent="0.25">
      <c r="A559" t="s">
        <v>1192</v>
      </c>
      <c r="B559">
        <v>557</v>
      </c>
      <c r="C559">
        <v>19</v>
      </c>
      <c r="D559" t="str">
        <f>IF(tbl_Original[[#This Row],[Gender2]]="Female","Female",IF(tbl_Original[[#This Row],[Gender2]]="Male","Male","Other"))</f>
        <v>Other</v>
      </c>
      <c r="E559" t="s">
        <v>212</v>
      </c>
      <c r="F559" t="s">
        <v>44</v>
      </c>
      <c r="G559" t="s">
        <v>31</v>
      </c>
      <c r="H559" t="s">
        <v>32</v>
      </c>
      <c r="I559" t="s">
        <v>44</v>
      </c>
      <c r="J559" t="str">
        <f>PROPER(TRIM(CLEAN(tbl_Original[[#This Row],[Column1]])))</f>
        <v>Carregueira</v>
      </c>
      <c r="K559" t="s">
        <v>1193</v>
      </c>
      <c r="L559" t="s">
        <v>1193</v>
      </c>
      <c r="M559" t="s">
        <v>246</v>
      </c>
      <c r="N559" s="1">
        <v>288.14999999999998</v>
      </c>
      <c r="O559">
        <v>3</v>
      </c>
      <c r="P559" t="s">
        <v>78</v>
      </c>
      <c r="Q559">
        <v>1</v>
      </c>
      <c r="R559">
        <v>4</v>
      </c>
      <c r="S559">
        <v>1</v>
      </c>
      <c r="T559" t="s">
        <v>44</v>
      </c>
      <c r="U559" t="s">
        <v>37</v>
      </c>
      <c r="V559">
        <v>1</v>
      </c>
      <c r="W559">
        <v>4</v>
      </c>
      <c r="X559" t="s">
        <v>49</v>
      </c>
      <c r="Y559" t="s">
        <v>38</v>
      </c>
      <c r="Z559" t="s">
        <v>86</v>
      </c>
      <c r="AA559" s="2">
        <v>45510</v>
      </c>
      <c r="AB559" t="b">
        <v>1</v>
      </c>
      <c r="AC559" t="b">
        <v>0</v>
      </c>
      <c r="AD559" t="s">
        <v>62</v>
      </c>
      <c r="AE559" t="s">
        <v>53</v>
      </c>
      <c r="AF559">
        <v>13</v>
      </c>
    </row>
    <row r="560" spans="1:32" x14ac:dyDescent="0.25">
      <c r="A560" t="s">
        <v>1194</v>
      </c>
      <c r="B560">
        <v>558</v>
      </c>
      <c r="C560">
        <v>35</v>
      </c>
      <c r="D560" t="str">
        <f>IF(tbl_Original[[#This Row],[Gender2]]="Female","Female",IF(tbl_Original[[#This Row],[Gender2]]="Male","Male","Other"))</f>
        <v>Male</v>
      </c>
      <c r="E560" t="s">
        <v>43</v>
      </c>
      <c r="F560" t="s">
        <v>44</v>
      </c>
      <c r="G560" t="s">
        <v>76</v>
      </c>
      <c r="H560" t="s">
        <v>56</v>
      </c>
      <c r="I560" t="s">
        <v>30</v>
      </c>
      <c r="J560" t="str">
        <f>PROPER(TRIM(CLEAN(tbl_Original[[#This Row],[Column1]])))</f>
        <v>Lincheng</v>
      </c>
      <c r="K560" t="s">
        <v>1195</v>
      </c>
      <c r="L560" t="s">
        <v>1195</v>
      </c>
      <c r="M560" t="s">
        <v>183</v>
      </c>
      <c r="N560" s="1">
        <v>105.87</v>
      </c>
      <c r="O560">
        <v>12</v>
      </c>
      <c r="P560" t="s">
        <v>35</v>
      </c>
      <c r="Q560">
        <v>3</v>
      </c>
      <c r="R560">
        <v>2</v>
      </c>
      <c r="S560">
        <v>1</v>
      </c>
      <c r="T560" t="s">
        <v>59</v>
      </c>
      <c r="U560" t="s">
        <v>50</v>
      </c>
      <c r="V560">
        <v>1</v>
      </c>
      <c r="W560">
        <v>1</v>
      </c>
      <c r="X560" t="s">
        <v>49</v>
      </c>
      <c r="Y560" t="s">
        <v>38</v>
      </c>
      <c r="Z560" t="s">
        <v>86</v>
      </c>
      <c r="AA560" s="2">
        <v>45550</v>
      </c>
      <c r="AB560" t="b">
        <v>0</v>
      </c>
      <c r="AC560" t="b">
        <v>0</v>
      </c>
      <c r="AD560" t="s">
        <v>74</v>
      </c>
      <c r="AE560" t="s">
        <v>67</v>
      </c>
      <c r="AF560">
        <v>4</v>
      </c>
    </row>
    <row r="561" spans="1:32" x14ac:dyDescent="0.25">
      <c r="A561" t="s">
        <v>1196</v>
      </c>
      <c r="B561">
        <v>559</v>
      </c>
      <c r="C561">
        <v>45</v>
      </c>
      <c r="D561" t="str">
        <f>IF(tbl_Original[[#This Row],[Gender2]]="Female","Female",IF(tbl_Original[[#This Row],[Gender2]]="Male","Male","Other"))</f>
        <v>Male</v>
      </c>
      <c r="E561" t="s">
        <v>43</v>
      </c>
      <c r="F561" t="s">
        <v>30</v>
      </c>
      <c r="G561" t="s">
        <v>69</v>
      </c>
      <c r="H561" t="s">
        <v>45</v>
      </c>
      <c r="I561" t="s">
        <v>44</v>
      </c>
      <c r="J561" t="str">
        <f>PROPER(TRIM(CLEAN(tbl_Original[[#This Row],[Column1]])))</f>
        <v>Semenivka</v>
      </c>
      <c r="K561" t="s">
        <v>1197</v>
      </c>
      <c r="L561" t="s">
        <v>1197</v>
      </c>
      <c r="M561" t="s">
        <v>98</v>
      </c>
      <c r="N561" s="1">
        <v>163.4</v>
      </c>
      <c r="O561">
        <v>3</v>
      </c>
      <c r="P561" t="s">
        <v>48</v>
      </c>
      <c r="Q561">
        <v>3</v>
      </c>
      <c r="R561">
        <v>5</v>
      </c>
      <c r="S561">
        <v>1</v>
      </c>
      <c r="T561" t="s">
        <v>44</v>
      </c>
      <c r="U561" t="s">
        <v>37</v>
      </c>
      <c r="V561">
        <v>2</v>
      </c>
      <c r="W561">
        <v>10</v>
      </c>
      <c r="X561" t="s">
        <v>44</v>
      </c>
      <c r="Y561" t="s">
        <v>79</v>
      </c>
      <c r="Z561" t="s">
        <v>86</v>
      </c>
      <c r="AA561" s="2">
        <v>45481</v>
      </c>
      <c r="AB561" t="b">
        <v>1</v>
      </c>
      <c r="AC561" t="b">
        <v>0</v>
      </c>
      <c r="AD561" t="s">
        <v>74</v>
      </c>
      <c r="AE561" t="s">
        <v>53</v>
      </c>
      <c r="AF561">
        <v>7</v>
      </c>
    </row>
    <row r="562" spans="1:32" x14ac:dyDescent="0.25">
      <c r="A562" t="s">
        <v>1198</v>
      </c>
      <c r="B562">
        <v>560</v>
      </c>
      <c r="C562">
        <v>20</v>
      </c>
      <c r="D562" t="str">
        <f>IF(tbl_Original[[#This Row],[Gender2]]="Female","Female",IF(tbl_Original[[#This Row],[Gender2]]="Male","Male","Other"))</f>
        <v>Male</v>
      </c>
      <c r="E562" t="s">
        <v>43</v>
      </c>
      <c r="F562" t="s">
        <v>44</v>
      </c>
      <c r="G562" t="s">
        <v>55</v>
      </c>
      <c r="H562" t="s">
        <v>45</v>
      </c>
      <c r="I562" t="s">
        <v>44</v>
      </c>
      <c r="J562" t="str">
        <f>PROPER(TRIM(CLEAN(tbl_Original[[#This Row],[Column1]])))</f>
        <v>Ylne</v>
      </c>
      <c r="K562" t="s">
        <v>2219</v>
      </c>
      <c r="L562" t="s">
        <v>1199</v>
      </c>
      <c r="M562" t="s">
        <v>34</v>
      </c>
      <c r="N562" s="1">
        <v>422.92</v>
      </c>
      <c r="O562">
        <v>6</v>
      </c>
      <c r="P562" t="s">
        <v>35</v>
      </c>
      <c r="Q562">
        <v>4</v>
      </c>
      <c r="R562">
        <v>1</v>
      </c>
      <c r="S562">
        <v>2</v>
      </c>
      <c r="T562" t="s">
        <v>36</v>
      </c>
      <c r="U562" t="s">
        <v>37</v>
      </c>
      <c r="V562">
        <v>0</v>
      </c>
      <c r="W562">
        <v>6</v>
      </c>
      <c r="X562" t="s">
        <v>59</v>
      </c>
      <c r="Y562" t="s">
        <v>79</v>
      </c>
      <c r="Z562" t="s">
        <v>61</v>
      </c>
      <c r="AA562" s="2">
        <v>45582</v>
      </c>
      <c r="AB562" t="b">
        <v>0</v>
      </c>
      <c r="AC562" t="b">
        <v>1</v>
      </c>
      <c r="AD562" t="s">
        <v>74</v>
      </c>
      <c r="AE562" t="s">
        <v>41</v>
      </c>
      <c r="AF562">
        <v>6</v>
      </c>
    </row>
    <row r="563" spans="1:32" x14ac:dyDescent="0.25">
      <c r="A563" t="s">
        <v>1200</v>
      </c>
      <c r="B563">
        <v>561</v>
      </c>
      <c r="C563">
        <v>48</v>
      </c>
      <c r="D563" t="str">
        <f>IF(tbl_Original[[#This Row],[Gender2]]="Female","Female",IF(tbl_Original[[#This Row],[Gender2]]="Male","Male","Other"))</f>
        <v>Male</v>
      </c>
      <c r="E563" t="s">
        <v>43</v>
      </c>
      <c r="F563" t="s">
        <v>30</v>
      </c>
      <c r="G563" t="s">
        <v>76</v>
      </c>
      <c r="H563" t="s">
        <v>45</v>
      </c>
      <c r="I563" t="s">
        <v>44</v>
      </c>
      <c r="J563" t="str">
        <f>PROPER(TRIM(CLEAN(tbl_Original[[#This Row],[Column1]])))</f>
        <v>Cendagah</v>
      </c>
      <c r="K563" t="s">
        <v>1201</v>
      </c>
      <c r="L563" t="s">
        <v>1201</v>
      </c>
      <c r="M563" t="s">
        <v>34</v>
      </c>
      <c r="N563" s="1">
        <v>361.48</v>
      </c>
      <c r="O563">
        <v>10</v>
      </c>
      <c r="P563" t="s">
        <v>78</v>
      </c>
      <c r="Q563">
        <v>1</v>
      </c>
      <c r="R563">
        <v>4</v>
      </c>
      <c r="S563">
        <v>1</v>
      </c>
      <c r="T563" t="s">
        <v>49</v>
      </c>
      <c r="U563" t="s">
        <v>37</v>
      </c>
      <c r="V563">
        <v>2</v>
      </c>
      <c r="W563">
        <v>9</v>
      </c>
      <c r="X563" t="s">
        <v>44</v>
      </c>
      <c r="Y563" t="s">
        <v>38</v>
      </c>
      <c r="Z563" t="s">
        <v>86</v>
      </c>
      <c r="AA563" s="2">
        <v>45459</v>
      </c>
      <c r="AB563" t="b">
        <v>1</v>
      </c>
      <c r="AC563" t="b">
        <v>1</v>
      </c>
      <c r="AD563" t="s">
        <v>52</v>
      </c>
      <c r="AE563" t="s">
        <v>67</v>
      </c>
      <c r="AF563">
        <v>13</v>
      </c>
    </row>
    <row r="564" spans="1:32" x14ac:dyDescent="0.25">
      <c r="A564" t="s">
        <v>1202</v>
      </c>
      <c r="B564">
        <v>562</v>
      </c>
      <c r="C564">
        <v>23</v>
      </c>
      <c r="D564" t="str">
        <f>IF(tbl_Original[[#This Row],[Gender2]]="Female","Female",IF(tbl_Original[[#This Row],[Gender2]]="Male","Male","Other"))</f>
        <v>Male</v>
      </c>
      <c r="E564" t="s">
        <v>43</v>
      </c>
      <c r="F564" t="s">
        <v>30</v>
      </c>
      <c r="G564" t="s">
        <v>55</v>
      </c>
      <c r="H564" t="s">
        <v>56</v>
      </c>
      <c r="I564" t="s">
        <v>44</v>
      </c>
      <c r="J564" t="str">
        <f>PROPER(TRIM(CLEAN(tbl_Original[[#This Row],[Column1]])))</f>
        <v>Frzbd</v>
      </c>
      <c r="K564" t="s">
        <v>2220</v>
      </c>
      <c r="L564" t="s">
        <v>1203</v>
      </c>
      <c r="M564" t="s">
        <v>107</v>
      </c>
      <c r="N564" s="1">
        <v>270.82</v>
      </c>
      <c r="O564">
        <v>2</v>
      </c>
      <c r="P564" t="s">
        <v>48</v>
      </c>
      <c r="Q564">
        <v>4</v>
      </c>
      <c r="R564">
        <v>2</v>
      </c>
      <c r="S564">
        <v>0</v>
      </c>
      <c r="T564" t="s">
        <v>36</v>
      </c>
      <c r="U564" t="s">
        <v>37</v>
      </c>
      <c r="V564">
        <v>1</v>
      </c>
      <c r="W564">
        <v>8</v>
      </c>
      <c r="X564" t="s">
        <v>59</v>
      </c>
      <c r="Y564" t="s">
        <v>38</v>
      </c>
      <c r="Z564" t="s">
        <v>66</v>
      </c>
      <c r="AA564" s="2">
        <v>45595</v>
      </c>
      <c r="AB564" t="b">
        <v>1</v>
      </c>
      <c r="AC564" t="b">
        <v>0</v>
      </c>
      <c r="AD564" t="s">
        <v>52</v>
      </c>
      <c r="AE564" t="s">
        <v>53</v>
      </c>
      <c r="AF564">
        <v>13</v>
      </c>
    </row>
    <row r="565" spans="1:32" x14ac:dyDescent="0.25">
      <c r="A565" t="s">
        <v>1204</v>
      </c>
      <c r="B565">
        <v>563</v>
      </c>
      <c r="C565">
        <v>49</v>
      </c>
      <c r="D565" t="str">
        <f>IF(tbl_Original[[#This Row],[Gender2]]="Female","Female",IF(tbl_Original[[#This Row],[Gender2]]="Male","Male","Other"))</f>
        <v>Female</v>
      </c>
      <c r="E565" t="s">
        <v>29</v>
      </c>
      <c r="F565" t="s">
        <v>44</v>
      </c>
      <c r="G565" t="s">
        <v>69</v>
      </c>
      <c r="H565" t="s">
        <v>45</v>
      </c>
      <c r="I565" t="s">
        <v>44</v>
      </c>
      <c r="J565" t="str">
        <f>PROPER(TRIM(CLEAN(tbl_Original[[#This Row],[Column1]])))</f>
        <v>Trondheim</v>
      </c>
      <c r="K565" t="s">
        <v>1205</v>
      </c>
      <c r="L565" t="s">
        <v>1205</v>
      </c>
      <c r="M565" t="s">
        <v>126</v>
      </c>
      <c r="N565" s="1">
        <v>372.26</v>
      </c>
      <c r="O565">
        <v>11</v>
      </c>
      <c r="P565" t="s">
        <v>48</v>
      </c>
      <c r="Q565">
        <v>1</v>
      </c>
      <c r="R565">
        <v>5</v>
      </c>
      <c r="S565">
        <v>2</v>
      </c>
      <c r="T565" t="s">
        <v>36</v>
      </c>
      <c r="U565" t="s">
        <v>85</v>
      </c>
      <c r="V565">
        <v>1</v>
      </c>
      <c r="W565">
        <v>8</v>
      </c>
      <c r="X565" t="s">
        <v>44</v>
      </c>
      <c r="Y565" t="s">
        <v>60</v>
      </c>
      <c r="Z565" t="s">
        <v>51</v>
      </c>
      <c r="AA565" s="2">
        <v>45517</v>
      </c>
      <c r="AB565" t="b">
        <v>0</v>
      </c>
      <c r="AC565" t="b">
        <v>1</v>
      </c>
      <c r="AD565" t="s">
        <v>52</v>
      </c>
      <c r="AE565" t="s">
        <v>67</v>
      </c>
      <c r="AF565">
        <v>6</v>
      </c>
    </row>
    <row r="566" spans="1:32" x14ac:dyDescent="0.25">
      <c r="A566" t="s">
        <v>1206</v>
      </c>
      <c r="B566">
        <v>564</v>
      </c>
      <c r="C566">
        <v>23</v>
      </c>
      <c r="D566" t="str">
        <f>IF(tbl_Original[[#This Row],[Gender2]]="Female","Female",IF(tbl_Original[[#This Row],[Gender2]]="Male","Male","Other"))</f>
        <v>Female</v>
      </c>
      <c r="E566" t="s">
        <v>29</v>
      </c>
      <c r="F566" t="s">
        <v>30</v>
      </c>
      <c r="G566" t="s">
        <v>69</v>
      </c>
      <c r="H566" t="s">
        <v>32</v>
      </c>
      <c r="I566" t="s">
        <v>44</v>
      </c>
      <c r="J566" t="str">
        <f>PROPER(TRIM(CLEAN(tbl_Original[[#This Row],[Column1]])))</f>
        <v>Yakovlevo</v>
      </c>
      <c r="K566" t="s">
        <v>1207</v>
      </c>
      <c r="L566" t="s">
        <v>1207</v>
      </c>
      <c r="M566" t="s">
        <v>117</v>
      </c>
      <c r="N566" s="1">
        <v>208.59</v>
      </c>
      <c r="O566">
        <v>3</v>
      </c>
      <c r="P566" t="s">
        <v>35</v>
      </c>
      <c r="Q566">
        <v>1</v>
      </c>
      <c r="R566">
        <v>1</v>
      </c>
      <c r="S566">
        <v>2</v>
      </c>
      <c r="T566" t="s">
        <v>49</v>
      </c>
      <c r="U566" t="s">
        <v>37</v>
      </c>
      <c r="V566">
        <v>0</v>
      </c>
      <c r="W566">
        <v>4</v>
      </c>
      <c r="X566" t="s">
        <v>36</v>
      </c>
      <c r="Y566" t="s">
        <v>79</v>
      </c>
      <c r="Z566" t="s">
        <v>51</v>
      </c>
      <c r="AA566" s="2">
        <v>45538</v>
      </c>
      <c r="AB566" t="b">
        <v>1</v>
      </c>
      <c r="AC566" t="b">
        <v>0</v>
      </c>
      <c r="AD566" t="s">
        <v>62</v>
      </c>
      <c r="AE566" t="s">
        <v>67</v>
      </c>
      <c r="AF566">
        <v>1</v>
      </c>
    </row>
    <row r="567" spans="1:32" x14ac:dyDescent="0.25">
      <c r="A567" t="s">
        <v>1208</v>
      </c>
      <c r="B567">
        <v>565</v>
      </c>
      <c r="C567">
        <v>39</v>
      </c>
      <c r="D567" t="str">
        <f>IF(tbl_Original[[#This Row],[Gender2]]="Female","Female",IF(tbl_Original[[#This Row],[Gender2]]="Male","Male","Other"))</f>
        <v>Male</v>
      </c>
      <c r="E567" t="s">
        <v>43</v>
      </c>
      <c r="F567" t="s">
        <v>30</v>
      </c>
      <c r="G567" t="s">
        <v>69</v>
      </c>
      <c r="H567" t="s">
        <v>45</v>
      </c>
      <c r="I567" t="s">
        <v>44</v>
      </c>
      <c r="J567" t="str">
        <f>PROPER(TRIM(CLEAN(tbl_Original[[#This Row],[Column1]])))</f>
        <v>Katav-Ivanovsk</v>
      </c>
      <c r="K567" t="s">
        <v>1209</v>
      </c>
      <c r="L567" t="s">
        <v>1209</v>
      </c>
      <c r="M567" t="s">
        <v>34</v>
      </c>
      <c r="N567" s="1">
        <v>163.22</v>
      </c>
      <c r="O567">
        <v>8</v>
      </c>
      <c r="P567" t="s">
        <v>78</v>
      </c>
      <c r="Q567">
        <v>5</v>
      </c>
      <c r="R567">
        <v>3</v>
      </c>
      <c r="S567">
        <v>0</v>
      </c>
      <c r="T567" t="s">
        <v>44</v>
      </c>
      <c r="U567" t="s">
        <v>37</v>
      </c>
      <c r="V567">
        <v>1</v>
      </c>
      <c r="W567">
        <v>3</v>
      </c>
      <c r="X567" t="s">
        <v>36</v>
      </c>
      <c r="Y567" t="s">
        <v>60</v>
      </c>
      <c r="Z567" t="s">
        <v>51</v>
      </c>
      <c r="AA567" s="2">
        <v>45474</v>
      </c>
      <c r="AB567" t="b">
        <v>0</v>
      </c>
      <c r="AC567" t="b">
        <v>1</v>
      </c>
      <c r="AD567" t="s">
        <v>52</v>
      </c>
      <c r="AE567" t="s">
        <v>41</v>
      </c>
      <c r="AF567">
        <v>8</v>
      </c>
    </row>
    <row r="568" spans="1:32" x14ac:dyDescent="0.25">
      <c r="A568" t="s">
        <v>1210</v>
      </c>
      <c r="B568">
        <v>566</v>
      </c>
      <c r="C568">
        <v>45</v>
      </c>
      <c r="D568" t="str">
        <f>IF(tbl_Original[[#This Row],[Gender2]]="Female","Female",IF(tbl_Original[[#This Row],[Gender2]]="Male","Male","Other"))</f>
        <v>Male</v>
      </c>
      <c r="E568" t="s">
        <v>43</v>
      </c>
      <c r="F568" t="s">
        <v>44</v>
      </c>
      <c r="G568" t="s">
        <v>31</v>
      </c>
      <c r="H568" t="s">
        <v>45</v>
      </c>
      <c r="I568" t="s">
        <v>44</v>
      </c>
      <c r="J568" t="str">
        <f>PROPER(TRIM(CLEAN(tbl_Original[[#This Row],[Column1]])))</f>
        <v>Voznesenskoye</v>
      </c>
      <c r="K568" t="s">
        <v>1211</v>
      </c>
      <c r="L568" t="s">
        <v>1211</v>
      </c>
      <c r="M568" t="s">
        <v>101</v>
      </c>
      <c r="N568" s="1">
        <v>364.98</v>
      </c>
      <c r="O568">
        <v>7</v>
      </c>
      <c r="P568" t="s">
        <v>48</v>
      </c>
      <c r="Q568">
        <v>4</v>
      </c>
      <c r="R568">
        <v>1</v>
      </c>
      <c r="S568">
        <v>0</v>
      </c>
      <c r="T568" t="s">
        <v>59</v>
      </c>
      <c r="U568" t="s">
        <v>85</v>
      </c>
      <c r="V568">
        <v>0</v>
      </c>
      <c r="W568">
        <v>1</v>
      </c>
      <c r="X568" t="s">
        <v>36</v>
      </c>
      <c r="Y568" t="s">
        <v>79</v>
      </c>
      <c r="Z568" t="s">
        <v>86</v>
      </c>
      <c r="AA568" s="2">
        <v>45423</v>
      </c>
      <c r="AB568" t="b">
        <v>1</v>
      </c>
      <c r="AC568" t="b">
        <v>0</v>
      </c>
      <c r="AD568" t="s">
        <v>52</v>
      </c>
      <c r="AE568" t="s">
        <v>53</v>
      </c>
      <c r="AF568">
        <v>8</v>
      </c>
    </row>
    <row r="569" spans="1:32" x14ac:dyDescent="0.25">
      <c r="A569" t="s">
        <v>1212</v>
      </c>
      <c r="B569">
        <v>567</v>
      </c>
      <c r="C569">
        <v>31</v>
      </c>
      <c r="D569" t="str">
        <f>IF(tbl_Original[[#This Row],[Gender2]]="Female","Female",IF(tbl_Original[[#This Row],[Gender2]]="Male","Male","Other"))</f>
        <v>Other</v>
      </c>
      <c r="E569" t="s">
        <v>352</v>
      </c>
      <c r="F569" t="s">
        <v>44</v>
      </c>
      <c r="G569" t="s">
        <v>76</v>
      </c>
      <c r="H569" t="s">
        <v>56</v>
      </c>
      <c r="I569" t="s">
        <v>44</v>
      </c>
      <c r="J569" t="str">
        <f>PROPER(TRIM(CLEAN(tbl_Original[[#This Row],[Column1]])))</f>
        <v>Voskhod</v>
      </c>
      <c r="K569" t="s">
        <v>1213</v>
      </c>
      <c r="L569" t="s">
        <v>1213</v>
      </c>
      <c r="M569" t="s">
        <v>158</v>
      </c>
      <c r="N569" s="1">
        <v>142.43</v>
      </c>
      <c r="O569">
        <v>3</v>
      </c>
      <c r="P569" t="s">
        <v>48</v>
      </c>
      <c r="Q569">
        <v>2</v>
      </c>
      <c r="R569">
        <v>5</v>
      </c>
      <c r="S569">
        <v>2</v>
      </c>
      <c r="T569" t="s">
        <v>44</v>
      </c>
      <c r="U569" t="s">
        <v>85</v>
      </c>
      <c r="V569">
        <v>1</v>
      </c>
      <c r="W569">
        <v>9</v>
      </c>
      <c r="X569" t="s">
        <v>36</v>
      </c>
      <c r="Y569" t="s">
        <v>79</v>
      </c>
      <c r="Z569" t="s">
        <v>51</v>
      </c>
      <c r="AA569" s="2">
        <v>45563</v>
      </c>
      <c r="AB569" t="b">
        <v>1</v>
      </c>
      <c r="AC569" t="b">
        <v>0</v>
      </c>
      <c r="AD569" t="s">
        <v>74</v>
      </c>
      <c r="AE569" t="s">
        <v>67</v>
      </c>
      <c r="AF569">
        <v>8</v>
      </c>
    </row>
    <row r="570" spans="1:32" x14ac:dyDescent="0.25">
      <c r="A570" t="s">
        <v>1214</v>
      </c>
      <c r="B570">
        <v>568</v>
      </c>
      <c r="C570">
        <v>19</v>
      </c>
      <c r="D570" t="str">
        <f>IF(tbl_Original[[#This Row],[Gender2]]="Female","Female",IF(tbl_Original[[#This Row],[Gender2]]="Male","Male","Other"))</f>
        <v>Female</v>
      </c>
      <c r="E570" t="s">
        <v>29</v>
      </c>
      <c r="F570" t="s">
        <v>30</v>
      </c>
      <c r="G570" t="s">
        <v>31</v>
      </c>
      <c r="H570" t="s">
        <v>32</v>
      </c>
      <c r="I570" t="s">
        <v>44</v>
      </c>
      <c r="J570" t="str">
        <f>PROPER(TRIM(CLEAN(tbl_Original[[#This Row],[Column1]])))</f>
        <v>Gudja</v>
      </c>
      <c r="K570" t="s">
        <v>1215</v>
      </c>
      <c r="L570" t="s">
        <v>1215</v>
      </c>
      <c r="M570" t="s">
        <v>117</v>
      </c>
      <c r="N570" s="1">
        <v>449.72</v>
      </c>
      <c r="O570">
        <v>3</v>
      </c>
      <c r="P570" t="s">
        <v>35</v>
      </c>
      <c r="Q570">
        <v>3</v>
      </c>
      <c r="R570">
        <v>3</v>
      </c>
      <c r="S570">
        <v>0</v>
      </c>
      <c r="T570" t="s">
        <v>44</v>
      </c>
      <c r="U570" t="s">
        <v>37</v>
      </c>
      <c r="V570">
        <v>1</v>
      </c>
      <c r="W570">
        <v>9</v>
      </c>
      <c r="X570" t="s">
        <v>36</v>
      </c>
      <c r="Y570" t="s">
        <v>60</v>
      </c>
      <c r="Z570" t="s">
        <v>66</v>
      </c>
      <c r="AA570" s="2">
        <v>45340</v>
      </c>
      <c r="AB570" t="b">
        <v>1</v>
      </c>
      <c r="AC570" t="b">
        <v>1</v>
      </c>
      <c r="AD570" t="s">
        <v>52</v>
      </c>
      <c r="AE570" t="s">
        <v>67</v>
      </c>
      <c r="AF570">
        <v>3</v>
      </c>
    </row>
    <row r="571" spans="1:32" x14ac:dyDescent="0.25">
      <c r="A571" t="s">
        <v>1216</v>
      </c>
      <c r="B571">
        <v>569</v>
      </c>
      <c r="C571">
        <v>27</v>
      </c>
      <c r="D571" t="str">
        <f>IF(tbl_Original[[#This Row],[Gender2]]="Female","Female",IF(tbl_Original[[#This Row],[Gender2]]="Male","Male","Other"))</f>
        <v>Male</v>
      </c>
      <c r="E571" t="s">
        <v>43</v>
      </c>
      <c r="F571" t="s">
        <v>30</v>
      </c>
      <c r="G571" t="s">
        <v>55</v>
      </c>
      <c r="H571" t="s">
        <v>32</v>
      </c>
      <c r="I571" t="s">
        <v>44</v>
      </c>
      <c r="J571" t="str">
        <f>PROPER(TRIM(CLEAN(tbl_Original[[#This Row],[Column1]])))</f>
        <v>Gawul</v>
      </c>
      <c r="K571" t="s">
        <v>1217</v>
      </c>
      <c r="L571" t="s">
        <v>1217</v>
      </c>
      <c r="M571" t="s">
        <v>34</v>
      </c>
      <c r="N571" s="1">
        <v>241.56</v>
      </c>
      <c r="O571">
        <v>12</v>
      </c>
      <c r="P571" t="s">
        <v>35</v>
      </c>
      <c r="Q571">
        <v>3</v>
      </c>
      <c r="R571">
        <v>2</v>
      </c>
      <c r="S571">
        <v>0</v>
      </c>
      <c r="T571" t="s">
        <v>44</v>
      </c>
      <c r="U571" t="s">
        <v>50</v>
      </c>
      <c r="V571">
        <v>0</v>
      </c>
      <c r="W571">
        <v>5</v>
      </c>
      <c r="X571" t="s">
        <v>44</v>
      </c>
      <c r="Y571" t="s">
        <v>38</v>
      </c>
      <c r="Z571" t="s">
        <v>51</v>
      </c>
      <c r="AA571" s="2">
        <v>45624</v>
      </c>
      <c r="AB571" t="b">
        <v>1</v>
      </c>
      <c r="AC571" t="b">
        <v>0</v>
      </c>
      <c r="AD571" t="s">
        <v>40</v>
      </c>
      <c r="AE571" t="s">
        <v>67</v>
      </c>
      <c r="AF571">
        <v>2</v>
      </c>
    </row>
    <row r="572" spans="1:32" x14ac:dyDescent="0.25">
      <c r="A572" t="s">
        <v>1218</v>
      </c>
      <c r="B572">
        <v>570</v>
      </c>
      <c r="C572">
        <v>32</v>
      </c>
      <c r="D572" t="str">
        <f>IF(tbl_Original[[#This Row],[Gender2]]="Female","Female",IF(tbl_Original[[#This Row],[Gender2]]="Male","Male","Other"))</f>
        <v>Other</v>
      </c>
      <c r="E572" t="s">
        <v>88</v>
      </c>
      <c r="F572" t="s">
        <v>30</v>
      </c>
      <c r="G572" t="s">
        <v>76</v>
      </c>
      <c r="H572" t="s">
        <v>56</v>
      </c>
      <c r="I572" t="s">
        <v>44</v>
      </c>
      <c r="J572" t="str">
        <f>PROPER(TRIM(CLEAN(tbl_Original[[#This Row],[Column1]])))</f>
        <v>Sobeok</v>
      </c>
      <c r="K572" t="s">
        <v>1219</v>
      </c>
      <c r="L572" t="s">
        <v>1219</v>
      </c>
      <c r="M572" t="s">
        <v>183</v>
      </c>
      <c r="N572" s="1">
        <v>249.73</v>
      </c>
      <c r="O572">
        <v>5</v>
      </c>
      <c r="P572" t="s">
        <v>35</v>
      </c>
      <c r="Q572">
        <v>1</v>
      </c>
      <c r="R572">
        <v>4</v>
      </c>
      <c r="S572">
        <v>2</v>
      </c>
      <c r="T572" t="s">
        <v>59</v>
      </c>
      <c r="U572" t="s">
        <v>85</v>
      </c>
      <c r="V572">
        <v>1</v>
      </c>
      <c r="W572">
        <v>4</v>
      </c>
      <c r="X572" t="s">
        <v>59</v>
      </c>
      <c r="Y572" t="s">
        <v>79</v>
      </c>
      <c r="Z572" t="s">
        <v>86</v>
      </c>
      <c r="AA572" s="2">
        <v>45611</v>
      </c>
      <c r="AB572" t="b">
        <v>1</v>
      </c>
      <c r="AC572" t="b">
        <v>0</v>
      </c>
      <c r="AD572" t="s">
        <v>52</v>
      </c>
      <c r="AE572" t="s">
        <v>41</v>
      </c>
      <c r="AF572">
        <v>1</v>
      </c>
    </row>
    <row r="573" spans="1:32" x14ac:dyDescent="0.25">
      <c r="A573" t="s">
        <v>1220</v>
      </c>
      <c r="B573">
        <v>571</v>
      </c>
      <c r="C573">
        <v>24</v>
      </c>
      <c r="D573" t="str">
        <f>IF(tbl_Original[[#This Row],[Gender2]]="Female","Female",IF(tbl_Original[[#This Row],[Gender2]]="Male","Male","Other"))</f>
        <v>Male</v>
      </c>
      <c r="E573" t="s">
        <v>43</v>
      </c>
      <c r="F573" t="s">
        <v>30</v>
      </c>
      <c r="G573" t="s">
        <v>31</v>
      </c>
      <c r="H573" t="s">
        <v>56</v>
      </c>
      <c r="I573" t="s">
        <v>44</v>
      </c>
      <c r="J573" t="str">
        <f>PROPER(TRIM(CLEAN(tbl_Original[[#This Row],[Column1]])))</f>
        <v>Nanhuang</v>
      </c>
      <c r="K573" t="s">
        <v>1221</v>
      </c>
      <c r="L573" t="s">
        <v>1221</v>
      </c>
      <c r="M573" t="s">
        <v>65</v>
      </c>
      <c r="N573" s="1">
        <v>437.3</v>
      </c>
      <c r="O573">
        <v>7</v>
      </c>
      <c r="P573" t="s">
        <v>35</v>
      </c>
      <c r="Q573">
        <v>2</v>
      </c>
      <c r="R573">
        <v>4</v>
      </c>
      <c r="S573">
        <v>0</v>
      </c>
      <c r="T573" t="s">
        <v>44</v>
      </c>
      <c r="U573" t="s">
        <v>37</v>
      </c>
      <c r="V573">
        <v>0</v>
      </c>
      <c r="W573">
        <v>7</v>
      </c>
      <c r="X573" t="s">
        <v>36</v>
      </c>
      <c r="Y573" t="s">
        <v>38</v>
      </c>
      <c r="Z573" t="s">
        <v>86</v>
      </c>
      <c r="AA573" s="2">
        <v>45497</v>
      </c>
      <c r="AB573" t="b">
        <v>1</v>
      </c>
      <c r="AC573" t="b">
        <v>1</v>
      </c>
      <c r="AD573" t="s">
        <v>62</v>
      </c>
      <c r="AE573" t="s">
        <v>41</v>
      </c>
      <c r="AF573">
        <v>1</v>
      </c>
    </row>
    <row r="574" spans="1:32" x14ac:dyDescent="0.25">
      <c r="A574" t="s">
        <v>1222</v>
      </c>
      <c r="B574">
        <v>572</v>
      </c>
      <c r="C574">
        <v>22</v>
      </c>
      <c r="D574" t="str">
        <f>IF(tbl_Original[[#This Row],[Gender2]]="Female","Female",IF(tbl_Original[[#This Row],[Gender2]]="Male","Male","Other"))</f>
        <v>Male</v>
      </c>
      <c r="E574" t="s">
        <v>43</v>
      </c>
      <c r="F574" t="s">
        <v>30</v>
      </c>
      <c r="G574" t="s">
        <v>31</v>
      </c>
      <c r="H574" t="s">
        <v>56</v>
      </c>
      <c r="I574" t="s">
        <v>44</v>
      </c>
      <c r="J574" t="str">
        <f>PROPER(TRIM(CLEAN(tbl_Original[[#This Row],[Column1]])))</f>
        <v>Tanudan</v>
      </c>
      <c r="K574" t="s">
        <v>1223</v>
      </c>
      <c r="L574" t="s">
        <v>1223</v>
      </c>
      <c r="M574" t="s">
        <v>158</v>
      </c>
      <c r="N574" s="1">
        <v>277.29000000000002</v>
      </c>
      <c r="O574">
        <v>4</v>
      </c>
      <c r="P574" t="s">
        <v>35</v>
      </c>
      <c r="Q574">
        <v>1</v>
      </c>
      <c r="R574">
        <v>4</v>
      </c>
      <c r="S574">
        <v>1</v>
      </c>
      <c r="T574" t="s">
        <v>36</v>
      </c>
      <c r="U574" t="s">
        <v>37</v>
      </c>
      <c r="V574">
        <v>2</v>
      </c>
      <c r="W574">
        <v>8</v>
      </c>
      <c r="X574" t="s">
        <v>59</v>
      </c>
      <c r="Y574" t="s">
        <v>60</v>
      </c>
      <c r="Z574" t="s">
        <v>39</v>
      </c>
      <c r="AA574" s="2">
        <v>45318</v>
      </c>
      <c r="AB574" t="b">
        <v>1</v>
      </c>
      <c r="AC574" t="b">
        <v>1</v>
      </c>
      <c r="AD574" t="s">
        <v>52</v>
      </c>
      <c r="AE574" t="s">
        <v>41</v>
      </c>
      <c r="AF574">
        <v>4</v>
      </c>
    </row>
    <row r="575" spans="1:32" x14ac:dyDescent="0.25">
      <c r="A575" t="s">
        <v>1224</v>
      </c>
      <c r="B575">
        <v>573</v>
      </c>
      <c r="C575">
        <v>46</v>
      </c>
      <c r="D575" t="str">
        <f>IF(tbl_Original[[#This Row],[Gender2]]="Female","Female",IF(tbl_Original[[#This Row],[Gender2]]="Male","Male","Other"))</f>
        <v>Male</v>
      </c>
      <c r="E575" t="s">
        <v>43</v>
      </c>
      <c r="F575" t="s">
        <v>44</v>
      </c>
      <c r="G575" t="s">
        <v>55</v>
      </c>
      <c r="H575" t="s">
        <v>45</v>
      </c>
      <c r="I575" t="s">
        <v>30</v>
      </c>
      <c r="J575" t="str">
        <f>PROPER(TRIM(CLEAN(tbl_Original[[#This Row],[Column1]])))</f>
        <v>Jiaozuo</v>
      </c>
      <c r="K575" t="s">
        <v>1225</v>
      </c>
      <c r="L575" t="s">
        <v>1225</v>
      </c>
      <c r="M575" t="s">
        <v>117</v>
      </c>
      <c r="N575" s="1">
        <v>445.93</v>
      </c>
      <c r="O575">
        <v>6</v>
      </c>
      <c r="P575" t="s">
        <v>78</v>
      </c>
      <c r="Q575">
        <v>5</v>
      </c>
      <c r="R575">
        <v>5</v>
      </c>
      <c r="S575">
        <v>2</v>
      </c>
      <c r="T575" t="s">
        <v>44</v>
      </c>
      <c r="U575" t="s">
        <v>37</v>
      </c>
      <c r="V575">
        <v>2</v>
      </c>
      <c r="W575">
        <v>4</v>
      </c>
      <c r="X575" t="s">
        <v>44</v>
      </c>
      <c r="Y575" t="s">
        <v>60</v>
      </c>
      <c r="Z575" t="s">
        <v>61</v>
      </c>
      <c r="AA575" s="2">
        <v>45427</v>
      </c>
      <c r="AB575" t="b">
        <v>0</v>
      </c>
      <c r="AC575" t="b">
        <v>1</v>
      </c>
      <c r="AD575" t="s">
        <v>40</v>
      </c>
      <c r="AE575" t="s">
        <v>41</v>
      </c>
      <c r="AF575">
        <v>13</v>
      </c>
    </row>
    <row r="576" spans="1:32" x14ac:dyDescent="0.25">
      <c r="A576" t="s">
        <v>1226</v>
      </c>
      <c r="B576">
        <v>574</v>
      </c>
      <c r="C576">
        <v>37</v>
      </c>
      <c r="D576" t="str">
        <f>IF(tbl_Original[[#This Row],[Gender2]]="Female","Female",IF(tbl_Original[[#This Row],[Gender2]]="Male","Male","Other"))</f>
        <v>Female</v>
      </c>
      <c r="E576" t="s">
        <v>29</v>
      </c>
      <c r="F576" t="s">
        <v>30</v>
      </c>
      <c r="G576" t="s">
        <v>31</v>
      </c>
      <c r="H576" t="s">
        <v>32</v>
      </c>
      <c r="I576" t="s">
        <v>30</v>
      </c>
      <c r="J576" t="str">
        <f>PROPER(TRIM(CLEAN(tbl_Original[[#This Row],[Column1]])))</f>
        <v>Takb</v>
      </c>
      <c r="K576" t="s">
        <v>2221</v>
      </c>
      <c r="L576" t="s">
        <v>1227</v>
      </c>
      <c r="M576" t="s">
        <v>120</v>
      </c>
      <c r="N576" s="1">
        <v>242.79</v>
      </c>
      <c r="O576">
        <v>6</v>
      </c>
      <c r="P576" t="s">
        <v>35</v>
      </c>
      <c r="Q576">
        <v>2</v>
      </c>
      <c r="R576">
        <v>4</v>
      </c>
      <c r="S576">
        <v>0</v>
      </c>
      <c r="T576" t="s">
        <v>44</v>
      </c>
      <c r="U576" t="s">
        <v>37</v>
      </c>
      <c r="V576">
        <v>1</v>
      </c>
      <c r="W576">
        <v>7</v>
      </c>
      <c r="X576" t="s">
        <v>36</v>
      </c>
      <c r="Y576" t="s">
        <v>60</v>
      </c>
      <c r="Z576" t="s">
        <v>66</v>
      </c>
      <c r="AA576" s="2">
        <v>45311</v>
      </c>
      <c r="AB576" t="b">
        <v>1</v>
      </c>
      <c r="AC576" t="b">
        <v>0</v>
      </c>
      <c r="AD576" t="s">
        <v>62</v>
      </c>
      <c r="AE576" t="s">
        <v>67</v>
      </c>
      <c r="AF576">
        <v>7</v>
      </c>
    </row>
    <row r="577" spans="1:32" x14ac:dyDescent="0.25">
      <c r="A577" t="s">
        <v>1228</v>
      </c>
      <c r="B577">
        <v>575</v>
      </c>
      <c r="C577">
        <v>34</v>
      </c>
      <c r="D577" t="str">
        <f>IF(tbl_Original[[#This Row],[Gender2]]="Female","Female",IF(tbl_Original[[#This Row],[Gender2]]="Male","Male","Other"))</f>
        <v>Male</v>
      </c>
      <c r="E577" t="s">
        <v>43</v>
      </c>
      <c r="F577" t="s">
        <v>44</v>
      </c>
      <c r="G577" t="s">
        <v>55</v>
      </c>
      <c r="H577" t="s">
        <v>32</v>
      </c>
      <c r="I577" t="s">
        <v>44</v>
      </c>
      <c r="J577" t="str">
        <f>PROPER(TRIM(CLEAN(tbl_Original[[#This Row],[Column1]])))</f>
        <v>Gualeguay</v>
      </c>
      <c r="K577" t="s">
        <v>1229</v>
      </c>
      <c r="L577" t="s">
        <v>1229</v>
      </c>
      <c r="M577" t="s">
        <v>194</v>
      </c>
      <c r="N577" s="1">
        <v>393.09</v>
      </c>
      <c r="O577">
        <v>8</v>
      </c>
      <c r="P577" t="s">
        <v>78</v>
      </c>
      <c r="Q577">
        <v>5</v>
      </c>
      <c r="R577">
        <v>3</v>
      </c>
      <c r="S577">
        <v>2</v>
      </c>
      <c r="T577" t="s">
        <v>49</v>
      </c>
      <c r="U577" t="s">
        <v>37</v>
      </c>
      <c r="V577">
        <v>0</v>
      </c>
      <c r="W577">
        <v>3</v>
      </c>
      <c r="X577" t="s">
        <v>49</v>
      </c>
      <c r="Y577" t="s">
        <v>38</v>
      </c>
      <c r="Z577" t="s">
        <v>86</v>
      </c>
      <c r="AA577" s="2">
        <v>45393</v>
      </c>
      <c r="AB577" t="b">
        <v>0</v>
      </c>
      <c r="AC577" t="b">
        <v>1</v>
      </c>
      <c r="AD577" t="s">
        <v>74</v>
      </c>
      <c r="AE577" t="s">
        <v>53</v>
      </c>
      <c r="AF577">
        <v>1</v>
      </c>
    </row>
    <row r="578" spans="1:32" x14ac:dyDescent="0.25">
      <c r="A578" t="s">
        <v>1230</v>
      </c>
      <c r="B578">
        <v>576</v>
      </c>
      <c r="C578">
        <v>32</v>
      </c>
      <c r="D578" t="str">
        <f>IF(tbl_Original[[#This Row],[Gender2]]="Female","Female",IF(tbl_Original[[#This Row],[Gender2]]="Male","Male","Other"))</f>
        <v>Male</v>
      </c>
      <c r="E578" t="s">
        <v>43</v>
      </c>
      <c r="F578" t="s">
        <v>30</v>
      </c>
      <c r="G578" t="s">
        <v>55</v>
      </c>
      <c r="H578" t="s">
        <v>56</v>
      </c>
      <c r="I578" t="s">
        <v>44</v>
      </c>
      <c r="J578" t="str">
        <f>PROPER(TRIM(CLEAN(tbl_Original[[#This Row],[Column1]])))</f>
        <v>Lagoa Seca</v>
      </c>
      <c r="K578" t="s">
        <v>1231</v>
      </c>
      <c r="L578" t="s">
        <v>1231</v>
      </c>
      <c r="M578" t="s">
        <v>158</v>
      </c>
      <c r="N578" s="1">
        <v>167.61</v>
      </c>
      <c r="O578">
        <v>2</v>
      </c>
      <c r="P578" t="s">
        <v>78</v>
      </c>
      <c r="Q578">
        <v>3</v>
      </c>
      <c r="R578">
        <v>5</v>
      </c>
      <c r="S578">
        <v>1</v>
      </c>
      <c r="T578" t="s">
        <v>36</v>
      </c>
      <c r="U578" t="s">
        <v>50</v>
      </c>
      <c r="V578">
        <v>2</v>
      </c>
      <c r="W578">
        <v>2</v>
      </c>
      <c r="X578" t="s">
        <v>59</v>
      </c>
      <c r="Y578" t="s">
        <v>79</v>
      </c>
      <c r="Z578" t="s">
        <v>66</v>
      </c>
      <c r="AA578" s="2">
        <v>45606</v>
      </c>
      <c r="AB578" t="b">
        <v>1</v>
      </c>
      <c r="AC578" t="b">
        <v>0</v>
      </c>
      <c r="AD578" t="s">
        <v>40</v>
      </c>
      <c r="AE578" t="s">
        <v>41</v>
      </c>
      <c r="AF578">
        <v>13</v>
      </c>
    </row>
    <row r="579" spans="1:32" x14ac:dyDescent="0.25">
      <c r="A579" t="s">
        <v>1232</v>
      </c>
      <c r="B579">
        <v>577</v>
      </c>
      <c r="C579">
        <v>44</v>
      </c>
      <c r="D579" t="str">
        <f>IF(tbl_Original[[#This Row],[Gender2]]="Female","Female",IF(tbl_Original[[#This Row],[Gender2]]="Male","Male","Other"))</f>
        <v>Male</v>
      </c>
      <c r="E579" t="s">
        <v>43</v>
      </c>
      <c r="F579" t="s">
        <v>44</v>
      </c>
      <c r="G579" t="s">
        <v>76</v>
      </c>
      <c r="H579" t="s">
        <v>45</v>
      </c>
      <c r="I579" t="s">
        <v>30</v>
      </c>
      <c r="J579" t="str">
        <f>PROPER(TRIM(CLEAN(tbl_Original[[#This Row],[Column1]])))</f>
        <v>Bugarama</v>
      </c>
      <c r="K579" t="s">
        <v>1233</v>
      </c>
      <c r="L579" t="s">
        <v>1233</v>
      </c>
      <c r="M579" t="s">
        <v>34</v>
      </c>
      <c r="N579" s="1">
        <v>324.22000000000003</v>
      </c>
      <c r="O579">
        <v>2</v>
      </c>
      <c r="P579" t="s">
        <v>48</v>
      </c>
      <c r="Q579">
        <v>4</v>
      </c>
      <c r="R579">
        <v>2</v>
      </c>
      <c r="S579">
        <v>0</v>
      </c>
      <c r="T579" t="s">
        <v>36</v>
      </c>
      <c r="U579" t="s">
        <v>37</v>
      </c>
      <c r="V579">
        <v>1</v>
      </c>
      <c r="W579">
        <v>6</v>
      </c>
      <c r="X579" t="s">
        <v>49</v>
      </c>
      <c r="Y579" t="s">
        <v>79</v>
      </c>
      <c r="Z579" t="s">
        <v>51</v>
      </c>
      <c r="AA579" s="2">
        <v>45400</v>
      </c>
      <c r="AB579" t="b">
        <v>0</v>
      </c>
      <c r="AC579" t="b">
        <v>0</v>
      </c>
      <c r="AD579" t="s">
        <v>52</v>
      </c>
      <c r="AE579" t="s">
        <v>67</v>
      </c>
      <c r="AF579">
        <v>14</v>
      </c>
    </row>
    <row r="580" spans="1:32" x14ac:dyDescent="0.25">
      <c r="A580" t="s">
        <v>1234</v>
      </c>
      <c r="B580">
        <v>578</v>
      </c>
      <c r="C580">
        <v>24</v>
      </c>
      <c r="D580" t="str">
        <f>IF(tbl_Original[[#This Row],[Gender2]]="Female","Female",IF(tbl_Original[[#This Row],[Gender2]]="Male","Male","Other"))</f>
        <v>Female</v>
      </c>
      <c r="E580" t="s">
        <v>29</v>
      </c>
      <c r="F580" t="s">
        <v>30</v>
      </c>
      <c r="G580" t="s">
        <v>76</v>
      </c>
      <c r="H580" t="s">
        <v>32</v>
      </c>
      <c r="I580" t="s">
        <v>30</v>
      </c>
      <c r="J580" t="str">
        <f>PROPER(TRIM(CLEAN(tbl_Original[[#This Row],[Column1]])))</f>
        <v>Dicamay</v>
      </c>
      <c r="K580" t="s">
        <v>1235</v>
      </c>
      <c r="L580" t="s">
        <v>1235</v>
      </c>
      <c r="M580" t="s">
        <v>93</v>
      </c>
      <c r="N580" s="1">
        <v>159.30000000000001</v>
      </c>
      <c r="O580">
        <v>11</v>
      </c>
      <c r="P580" t="s">
        <v>35</v>
      </c>
      <c r="Q580">
        <v>5</v>
      </c>
      <c r="R580">
        <v>4</v>
      </c>
      <c r="S580">
        <v>0</v>
      </c>
      <c r="T580" t="s">
        <v>49</v>
      </c>
      <c r="U580" t="s">
        <v>37</v>
      </c>
      <c r="V580">
        <v>0</v>
      </c>
      <c r="W580">
        <v>6</v>
      </c>
      <c r="X580" t="s">
        <v>44</v>
      </c>
      <c r="Y580" t="s">
        <v>38</v>
      </c>
      <c r="Z580" t="s">
        <v>51</v>
      </c>
      <c r="AA580" s="2">
        <v>45406</v>
      </c>
      <c r="AB580" t="b">
        <v>0</v>
      </c>
      <c r="AC580" t="b">
        <v>1</v>
      </c>
      <c r="AD580" t="s">
        <v>62</v>
      </c>
      <c r="AE580" t="s">
        <v>67</v>
      </c>
      <c r="AF580">
        <v>2</v>
      </c>
    </row>
    <row r="581" spans="1:32" x14ac:dyDescent="0.25">
      <c r="A581" t="s">
        <v>1236</v>
      </c>
      <c r="B581">
        <v>579</v>
      </c>
      <c r="C581">
        <v>22</v>
      </c>
      <c r="D581" t="str">
        <f>IF(tbl_Original[[#This Row],[Gender2]]="Female","Female",IF(tbl_Original[[#This Row],[Gender2]]="Male","Male","Other"))</f>
        <v>Other</v>
      </c>
      <c r="E581" t="s">
        <v>352</v>
      </c>
      <c r="F581" t="s">
        <v>30</v>
      </c>
      <c r="G581" t="s">
        <v>69</v>
      </c>
      <c r="H581" t="s">
        <v>56</v>
      </c>
      <c r="I581" t="s">
        <v>30</v>
      </c>
      <c r="J581" t="str">
        <f>PROPER(TRIM(CLEAN(tbl_Original[[#This Row],[Column1]])))</f>
        <v>Xiluodu</v>
      </c>
      <c r="K581" t="s">
        <v>1237</v>
      </c>
      <c r="L581" t="s">
        <v>1237</v>
      </c>
      <c r="M581" t="s">
        <v>98</v>
      </c>
      <c r="N581" s="1">
        <v>324.39</v>
      </c>
      <c r="O581">
        <v>5</v>
      </c>
      <c r="P581" t="s">
        <v>78</v>
      </c>
      <c r="Q581">
        <v>2</v>
      </c>
      <c r="R581">
        <v>2</v>
      </c>
      <c r="S581">
        <v>0</v>
      </c>
      <c r="T581" t="s">
        <v>44</v>
      </c>
      <c r="U581" t="s">
        <v>85</v>
      </c>
      <c r="V581">
        <v>1</v>
      </c>
      <c r="W581">
        <v>6</v>
      </c>
      <c r="X581" t="s">
        <v>49</v>
      </c>
      <c r="Y581" t="s">
        <v>79</v>
      </c>
      <c r="Z581" t="s">
        <v>51</v>
      </c>
      <c r="AA581" s="2">
        <v>45615</v>
      </c>
      <c r="AB581" t="b">
        <v>1</v>
      </c>
      <c r="AC581" t="b">
        <v>0</v>
      </c>
      <c r="AD581" t="s">
        <v>40</v>
      </c>
      <c r="AE581" t="s">
        <v>67</v>
      </c>
      <c r="AF581">
        <v>1</v>
      </c>
    </row>
    <row r="582" spans="1:32" x14ac:dyDescent="0.25">
      <c r="A582" t="s">
        <v>1238</v>
      </c>
      <c r="B582">
        <v>580</v>
      </c>
      <c r="C582">
        <v>37</v>
      </c>
      <c r="D582" t="str">
        <f>IF(tbl_Original[[#This Row],[Gender2]]="Female","Female",IF(tbl_Original[[#This Row],[Gender2]]="Male","Male","Other"))</f>
        <v>Other</v>
      </c>
      <c r="E582" t="s">
        <v>274</v>
      </c>
      <c r="F582" t="s">
        <v>44</v>
      </c>
      <c r="G582" t="s">
        <v>55</v>
      </c>
      <c r="H582" t="s">
        <v>45</v>
      </c>
      <c r="I582" t="s">
        <v>44</v>
      </c>
      <c r="J582" t="str">
        <f>PROPER(TRIM(CLEAN(tbl_Original[[#This Row],[Column1]])))</f>
        <v>Abbah</v>
      </c>
      <c r="K582" t="s">
        <v>2285</v>
      </c>
      <c r="L582" t="s">
        <v>1239</v>
      </c>
      <c r="M582" t="s">
        <v>183</v>
      </c>
      <c r="N582" s="1">
        <v>198.89</v>
      </c>
      <c r="O582">
        <v>2</v>
      </c>
      <c r="P582" t="s">
        <v>48</v>
      </c>
      <c r="Q582">
        <v>2</v>
      </c>
      <c r="R582">
        <v>2</v>
      </c>
      <c r="S582">
        <v>0</v>
      </c>
      <c r="T582" t="s">
        <v>44</v>
      </c>
      <c r="U582" t="s">
        <v>50</v>
      </c>
      <c r="V582">
        <v>0</v>
      </c>
      <c r="W582">
        <v>4</v>
      </c>
      <c r="X582" t="s">
        <v>59</v>
      </c>
      <c r="Y582" t="s">
        <v>38</v>
      </c>
      <c r="Z582" t="s">
        <v>39</v>
      </c>
      <c r="AA582" s="2">
        <v>45303</v>
      </c>
      <c r="AB582" t="b">
        <v>0</v>
      </c>
      <c r="AC582" t="b">
        <v>0</v>
      </c>
      <c r="AD582" t="s">
        <v>62</v>
      </c>
      <c r="AE582" t="s">
        <v>53</v>
      </c>
      <c r="AF582">
        <v>1</v>
      </c>
    </row>
    <row r="583" spans="1:32" x14ac:dyDescent="0.25">
      <c r="A583" t="s">
        <v>1240</v>
      </c>
      <c r="B583">
        <v>581</v>
      </c>
      <c r="C583">
        <v>41</v>
      </c>
      <c r="D583" t="str">
        <f>IF(tbl_Original[[#This Row],[Gender2]]="Female","Female",IF(tbl_Original[[#This Row],[Gender2]]="Male","Male","Other"))</f>
        <v>Female</v>
      </c>
      <c r="E583" t="s">
        <v>29</v>
      </c>
      <c r="F583" t="s">
        <v>30</v>
      </c>
      <c r="G583" t="s">
        <v>76</v>
      </c>
      <c r="H583" t="s">
        <v>56</v>
      </c>
      <c r="I583" t="s">
        <v>44</v>
      </c>
      <c r="J583" t="str">
        <f>PROPER(TRIM(CLEAN(tbl_Original[[#This Row],[Column1]])))</f>
        <v>Lobuk</v>
      </c>
      <c r="K583" t="s">
        <v>1241</v>
      </c>
      <c r="L583" t="s">
        <v>1241</v>
      </c>
      <c r="M583" t="s">
        <v>183</v>
      </c>
      <c r="N583" s="1">
        <v>287.18</v>
      </c>
      <c r="O583">
        <v>7</v>
      </c>
      <c r="P583" t="s">
        <v>48</v>
      </c>
      <c r="Q583">
        <v>4</v>
      </c>
      <c r="R583">
        <v>5</v>
      </c>
      <c r="S583">
        <v>0</v>
      </c>
      <c r="T583" t="s">
        <v>36</v>
      </c>
      <c r="U583" t="s">
        <v>50</v>
      </c>
      <c r="V583">
        <v>0</v>
      </c>
      <c r="W583">
        <v>1</v>
      </c>
      <c r="X583" t="s">
        <v>36</v>
      </c>
      <c r="Y583" t="s">
        <v>38</v>
      </c>
      <c r="Z583" t="s">
        <v>61</v>
      </c>
      <c r="AA583" s="2">
        <v>45362</v>
      </c>
      <c r="AB583" t="b">
        <v>1</v>
      </c>
      <c r="AC583" t="b">
        <v>0</v>
      </c>
      <c r="AD583" t="s">
        <v>74</v>
      </c>
      <c r="AE583" t="s">
        <v>41</v>
      </c>
      <c r="AF583">
        <v>8</v>
      </c>
    </row>
    <row r="584" spans="1:32" x14ac:dyDescent="0.25">
      <c r="A584" t="s">
        <v>1242</v>
      </c>
      <c r="B584">
        <v>582</v>
      </c>
      <c r="C584">
        <v>32</v>
      </c>
      <c r="D584" t="str">
        <f>IF(tbl_Original[[#This Row],[Gender2]]="Female","Female",IF(tbl_Original[[#This Row],[Gender2]]="Male","Male","Other"))</f>
        <v>Male</v>
      </c>
      <c r="E584" t="s">
        <v>43</v>
      </c>
      <c r="F584" t="s">
        <v>44</v>
      </c>
      <c r="G584" t="s">
        <v>76</v>
      </c>
      <c r="H584" t="s">
        <v>45</v>
      </c>
      <c r="I584" t="s">
        <v>30</v>
      </c>
      <c r="J584" t="str">
        <f>PROPER(TRIM(CLEAN(tbl_Original[[#This Row],[Column1]])))</f>
        <v>Waiwukak</v>
      </c>
      <c r="K584" t="s">
        <v>1243</v>
      </c>
      <c r="L584" t="s">
        <v>1243</v>
      </c>
      <c r="M584" t="s">
        <v>58</v>
      </c>
      <c r="N584" s="1">
        <v>162.24</v>
      </c>
      <c r="O584">
        <v>7</v>
      </c>
      <c r="P584" t="s">
        <v>48</v>
      </c>
      <c r="Q584">
        <v>5</v>
      </c>
      <c r="R584">
        <v>3</v>
      </c>
      <c r="S584">
        <v>1</v>
      </c>
      <c r="T584" t="s">
        <v>36</v>
      </c>
      <c r="U584" t="s">
        <v>85</v>
      </c>
      <c r="V584">
        <v>2</v>
      </c>
      <c r="W584">
        <v>6</v>
      </c>
      <c r="X584" t="s">
        <v>59</v>
      </c>
      <c r="Y584" t="s">
        <v>60</v>
      </c>
      <c r="Z584" t="s">
        <v>51</v>
      </c>
      <c r="AA584" s="2">
        <v>45576</v>
      </c>
      <c r="AB584" t="b">
        <v>0</v>
      </c>
      <c r="AC584" t="b">
        <v>0</v>
      </c>
      <c r="AD584" t="s">
        <v>52</v>
      </c>
      <c r="AE584" t="s">
        <v>67</v>
      </c>
      <c r="AF584">
        <v>7</v>
      </c>
    </row>
    <row r="585" spans="1:32" x14ac:dyDescent="0.25">
      <c r="A585" t="s">
        <v>1244</v>
      </c>
      <c r="B585">
        <v>583</v>
      </c>
      <c r="C585">
        <v>37</v>
      </c>
      <c r="D585" t="str">
        <f>IF(tbl_Original[[#This Row],[Gender2]]="Female","Female",IF(tbl_Original[[#This Row],[Gender2]]="Male","Male","Other"))</f>
        <v>Female</v>
      </c>
      <c r="E585" t="s">
        <v>29</v>
      </c>
      <c r="F585" t="s">
        <v>44</v>
      </c>
      <c r="G585" t="s">
        <v>76</v>
      </c>
      <c r="H585" t="s">
        <v>32</v>
      </c>
      <c r="I585" t="s">
        <v>44</v>
      </c>
      <c r="J585" t="str">
        <f>PROPER(TRIM(CLEAN(tbl_Original[[#This Row],[Column1]])))</f>
        <v>Abaet</v>
      </c>
      <c r="K585" t="s">
        <v>2136</v>
      </c>
      <c r="L585" t="s">
        <v>1245</v>
      </c>
      <c r="M585" t="s">
        <v>135</v>
      </c>
      <c r="N585" s="1">
        <v>92.97</v>
      </c>
      <c r="O585">
        <v>6</v>
      </c>
      <c r="P585" t="s">
        <v>48</v>
      </c>
      <c r="Q585">
        <v>5</v>
      </c>
      <c r="R585">
        <v>5</v>
      </c>
      <c r="S585">
        <v>0</v>
      </c>
      <c r="T585" t="s">
        <v>49</v>
      </c>
      <c r="U585" t="s">
        <v>85</v>
      </c>
      <c r="V585">
        <v>0</v>
      </c>
      <c r="W585">
        <v>7</v>
      </c>
      <c r="X585" t="s">
        <v>59</v>
      </c>
      <c r="Y585" t="s">
        <v>79</v>
      </c>
      <c r="Z585" t="s">
        <v>66</v>
      </c>
      <c r="AA585" s="2">
        <v>45641</v>
      </c>
      <c r="AB585" t="b">
        <v>0</v>
      </c>
      <c r="AC585" t="b">
        <v>1</v>
      </c>
      <c r="AD585" t="s">
        <v>62</v>
      </c>
      <c r="AE585" t="s">
        <v>53</v>
      </c>
      <c r="AF585">
        <v>7</v>
      </c>
    </row>
    <row r="586" spans="1:32" x14ac:dyDescent="0.25">
      <c r="A586" t="s">
        <v>1246</v>
      </c>
      <c r="B586">
        <v>584</v>
      </c>
      <c r="C586">
        <v>41</v>
      </c>
      <c r="D586" t="str">
        <f>IF(tbl_Original[[#This Row],[Gender2]]="Female","Female",IF(tbl_Original[[#This Row],[Gender2]]="Male","Male","Other"))</f>
        <v>Male</v>
      </c>
      <c r="E586" t="s">
        <v>43</v>
      </c>
      <c r="F586" t="s">
        <v>30</v>
      </c>
      <c r="G586" t="s">
        <v>69</v>
      </c>
      <c r="H586" t="s">
        <v>45</v>
      </c>
      <c r="I586" t="s">
        <v>30</v>
      </c>
      <c r="J586" t="str">
        <f>PROPER(TRIM(CLEAN(tbl_Original[[#This Row],[Column1]])))</f>
        <v>Xiaqiao</v>
      </c>
      <c r="K586" t="s">
        <v>1247</v>
      </c>
      <c r="L586" t="s">
        <v>1247</v>
      </c>
      <c r="M586" t="s">
        <v>47</v>
      </c>
      <c r="N586" s="1">
        <v>144.38999999999999</v>
      </c>
      <c r="O586">
        <v>12</v>
      </c>
      <c r="P586" t="s">
        <v>48</v>
      </c>
      <c r="Q586">
        <v>5</v>
      </c>
      <c r="R586">
        <v>3</v>
      </c>
      <c r="S586">
        <v>2</v>
      </c>
      <c r="T586" t="s">
        <v>44</v>
      </c>
      <c r="U586" t="s">
        <v>85</v>
      </c>
      <c r="V586">
        <v>0</v>
      </c>
      <c r="W586">
        <v>4</v>
      </c>
      <c r="X586" t="s">
        <v>59</v>
      </c>
      <c r="Y586" t="s">
        <v>79</v>
      </c>
      <c r="Z586" t="s">
        <v>86</v>
      </c>
      <c r="AA586" s="2">
        <v>45454</v>
      </c>
      <c r="AB586" t="b">
        <v>1</v>
      </c>
      <c r="AC586" t="b">
        <v>1</v>
      </c>
      <c r="AD586" t="s">
        <v>62</v>
      </c>
      <c r="AE586" t="s">
        <v>53</v>
      </c>
      <c r="AF586">
        <v>12</v>
      </c>
    </row>
    <row r="587" spans="1:32" x14ac:dyDescent="0.25">
      <c r="A587" t="s">
        <v>1248</v>
      </c>
      <c r="B587">
        <v>585</v>
      </c>
      <c r="C587">
        <v>37</v>
      </c>
      <c r="D587" t="str">
        <f>IF(tbl_Original[[#This Row],[Gender2]]="Female","Female",IF(tbl_Original[[#This Row],[Gender2]]="Male","Male","Other"))</f>
        <v>Female</v>
      </c>
      <c r="E587" t="s">
        <v>29</v>
      </c>
      <c r="F587" t="s">
        <v>44</v>
      </c>
      <c r="G587" t="s">
        <v>55</v>
      </c>
      <c r="H587" t="s">
        <v>45</v>
      </c>
      <c r="I587" t="s">
        <v>44</v>
      </c>
      <c r="J587" t="str">
        <f>PROPER(TRIM(CLEAN(tbl_Original[[#This Row],[Column1]])))</f>
        <v>Zubbah</v>
      </c>
      <c r="K587" t="s">
        <v>2222</v>
      </c>
      <c r="L587" t="s">
        <v>1249</v>
      </c>
      <c r="M587" t="s">
        <v>82</v>
      </c>
      <c r="N587" s="1">
        <v>253.37</v>
      </c>
      <c r="O587">
        <v>12</v>
      </c>
      <c r="P587" t="s">
        <v>48</v>
      </c>
      <c r="Q587">
        <v>2</v>
      </c>
      <c r="R587">
        <v>5</v>
      </c>
      <c r="S587">
        <v>0</v>
      </c>
      <c r="T587" t="s">
        <v>36</v>
      </c>
      <c r="U587" t="s">
        <v>85</v>
      </c>
      <c r="V587">
        <v>0</v>
      </c>
      <c r="W587">
        <v>9</v>
      </c>
      <c r="X587" t="s">
        <v>59</v>
      </c>
      <c r="Y587" t="s">
        <v>38</v>
      </c>
      <c r="Z587" t="s">
        <v>39</v>
      </c>
      <c r="AA587" s="2">
        <v>45420</v>
      </c>
      <c r="AB587" t="b">
        <v>0</v>
      </c>
      <c r="AC587" t="b">
        <v>1</v>
      </c>
      <c r="AD587" t="s">
        <v>74</v>
      </c>
      <c r="AE587" t="s">
        <v>67</v>
      </c>
      <c r="AF587">
        <v>6</v>
      </c>
    </row>
    <row r="588" spans="1:32" x14ac:dyDescent="0.25">
      <c r="A588" t="s">
        <v>1250</v>
      </c>
      <c r="B588">
        <v>586</v>
      </c>
      <c r="C588">
        <v>43</v>
      </c>
      <c r="D588" t="str">
        <f>IF(tbl_Original[[#This Row],[Gender2]]="Female","Female",IF(tbl_Original[[#This Row],[Gender2]]="Male","Male","Other"))</f>
        <v>Male</v>
      </c>
      <c r="E588" t="s">
        <v>43</v>
      </c>
      <c r="F588" t="s">
        <v>30</v>
      </c>
      <c r="G588" t="s">
        <v>69</v>
      </c>
      <c r="H588" t="s">
        <v>45</v>
      </c>
      <c r="I588" t="s">
        <v>44</v>
      </c>
      <c r="J588" t="str">
        <f>PROPER(TRIM(CLEAN(tbl_Original[[#This Row],[Column1]])))</f>
        <v>Ksowo</v>
      </c>
      <c r="K588" t="s">
        <v>2223</v>
      </c>
      <c r="L588" t="s">
        <v>1251</v>
      </c>
      <c r="M588" t="s">
        <v>101</v>
      </c>
      <c r="N588" s="1">
        <v>209.62</v>
      </c>
      <c r="O588">
        <v>12</v>
      </c>
      <c r="P588" t="s">
        <v>35</v>
      </c>
      <c r="Q588">
        <v>1</v>
      </c>
      <c r="R588">
        <v>2</v>
      </c>
      <c r="S588">
        <v>1</v>
      </c>
      <c r="T588" t="s">
        <v>49</v>
      </c>
      <c r="U588" t="s">
        <v>85</v>
      </c>
      <c r="V588">
        <v>0</v>
      </c>
      <c r="W588">
        <v>7</v>
      </c>
      <c r="X588" t="s">
        <v>49</v>
      </c>
      <c r="Y588" t="s">
        <v>38</v>
      </c>
      <c r="Z588" t="s">
        <v>66</v>
      </c>
      <c r="AA588" s="2">
        <v>45577</v>
      </c>
      <c r="AB588" t="b">
        <v>1</v>
      </c>
      <c r="AC588" t="b">
        <v>0</v>
      </c>
      <c r="AD588" t="s">
        <v>74</v>
      </c>
      <c r="AE588" t="s">
        <v>53</v>
      </c>
      <c r="AF588">
        <v>9</v>
      </c>
    </row>
    <row r="589" spans="1:32" x14ac:dyDescent="0.25">
      <c r="A589" t="s">
        <v>1252</v>
      </c>
      <c r="B589">
        <v>587</v>
      </c>
      <c r="C589">
        <v>49</v>
      </c>
      <c r="D589" t="str">
        <f>IF(tbl_Original[[#This Row],[Gender2]]="Female","Female",IF(tbl_Original[[#This Row],[Gender2]]="Male","Male","Other"))</f>
        <v>Male</v>
      </c>
      <c r="E589" t="s">
        <v>43</v>
      </c>
      <c r="F589" t="s">
        <v>44</v>
      </c>
      <c r="G589" t="s">
        <v>55</v>
      </c>
      <c r="H589" t="s">
        <v>45</v>
      </c>
      <c r="I589" t="s">
        <v>30</v>
      </c>
      <c r="J589" t="str">
        <f>PROPER(TRIM(CLEAN(tbl_Original[[#This Row],[Column1]])))</f>
        <v>Colombo</v>
      </c>
      <c r="K589" t="s">
        <v>1253</v>
      </c>
      <c r="L589" t="s">
        <v>1253</v>
      </c>
      <c r="M589" t="s">
        <v>123</v>
      </c>
      <c r="N589" s="1">
        <v>411.62</v>
      </c>
      <c r="O589">
        <v>6</v>
      </c>
      <c r="P589" t="s">
        <v>35</v>
      </c>
      <c r="Q589">
        <v>2</v>
      </c>
      <c r="R589">
        <v>1</v>
      </c>
      <c r="S589">
        <v>0</v>
      </c>
      <c r="T589" t="s">
        <v>49</v>
      </c>
      <c r="U589" t="s">
        <v>37</v>
      </c>
      <c r="V589">
        <v>2</v>
      </c>
      <c r="W589">
        <v>7</v>
      </c>
      <c r="X589" t="s">
        <v>49</v>
      </c>
      <c r="Y589" t="s">
        <v>38</v>
      </c>
      <c r="Z589" t="s">
        <v>51</v>
      </c>
      <c r="AA589" s="2">
        <v>45570</v>
      </c>
      <c r="AB589" t="b">
        <v>1</v>
      </c>
      <c r="AC589" t="b">
        <v>0</v>
      </c>
      <c r="AD589" t="s">
        <v>52</v>
      </c>
      <c r="AE589" t="s">
        <v>67</v>
      </c>
      <c r="AF589">
        <v>12</v>
      </c>
    </row>
    <row r="590" spans="1:32" x14ac:dyDescent="0.25">
      <c r="A590" t="s">
        <v>1254</v>
      </c>
      <c r="B590">
        <v>588</v>
      </c>
      <c r="C590">
        <v>27</v>
      </c>
      <c r="D590" t="str">
        <f>IF(tbl_Original[[#This Row],[Gender2]]="Female","Female",IF(tbl_Original[[#This Row],[Gender2]]="Male","Male","Other"))</f>
        <v>Female</v>
      </c>
      <c r="E590" t="s">
        <v>29</v>
      </c>
      <c r="F590" t="s">
        <v>44</v>
      </c>
      <c r="G590" t="s">
        <v>55</v>
      </c>
      <c r="H590" t="s">
        <v>32</v>
      </c>
      <c r="I590" t="s">
        <v>44</v>
      </c>
      <c r="J590" t="str">
        <f>PROPER(TRIM(CLEAN(tbl_Original[[#This Row],[Column1]])))</f>
        <v>Messأ­Ni</v>
      </c>
      <c r="K590" t="s">
        <v>1255</v>
      </c>
      <c r="L590" t="s">
        <v>1255</v>
      </c>
      <c r="M590" t="s">
        <v>47</v>
      </c>
      <c r="N590" s="1">
        <v>388.01</v>
      </c>
      <c r="O590">
        <v>2</v>
      </c>
      <c r="P590" t="s">
        <v>78</v>
      </c>
      <c r="Q590">
        <v>1</v>
      </c>
      <c r="R590">
        <v>5</v>
      </c>
      <c r="S590">
        <v>1</v>
      </c>
      <c r="T590" t="s">
        <v>44</v>
      </c>
      <c r="U590" t="s">
        <v>85</v>
      </c>
      <c r="V590">
        <v>1</v>
      </c>
      <c r="W590">
        <v>2</v>
      </c>
      <c r="X590" t="s">
        <v>36</v>
      </c>
      <c r="Y590" t="s">
        <v>38</v>
      </c>
      <c r="Z590" t="s">
        <v>51</v>
      </c>
      <c r="AA590" s="2">
        <v>45615</v>
      </c>
      <c r="AB590" t="b">
        <v>0</v>
      </c>
      <c r="AC590" t="b">
        <v>1</v>
      </c>
      <c r="AD590" t="s">
        <v>52</v>
      </c>
      <c r="AE590" t="s">
        <v>53</v>
      </c>
      <c r="AF590">
        <v>10</v>
      </c>
    </row>
    <row r="591" spans="1:32" x14ac:dyDescent="0.25">
      <c r="A591" t="s">
        <v>1256</v>
      </c>
      <c r="B591">
        <v>589</v>
      </c>
      <c r="C591">
        <v>41</v>
      </c>
      <c r="D591" t="str">
        <f>IF(tbl_Original[[#This Row],[Gender2]]="Female","Female",IF(tbl_Original[[#This Row],[Gender2]]="Male","Male","Other"))</f>
        <v>Male</v>
      </c>
      <c r="E591" t="s">
        <v>43</v>
      </c>
      <c r="F591" t="s">
        <v>30</v>
      </c>
      <c r="G591" t="s">
        <v>69</v>
      </c>
      <c r="H591" t="s">
        <v>45</v>
      </c>
      <c r="I591" t="s">
        <v>44</v>
      </c>
      <c r="J591" t="str">
        <f>PROPER(TRIM(CLEAN(tbl_Original[[#This Row],[Column1]])))</f>
        <v>Yishui</v>
      </c>
      <c r="K591" t="s">
        <v>1257</v>
      </c>
      <c r="L591" t="s">
        <v>1257</v>
      </c>
      <c r="M591" t="s">
        <v>104</v>
      </c>
      <c r="N591" s="1">
        <v>50.78</v>
      </c>
      <c r="O591">
        <v>6</v>
      </c>
      <c r="P591" t="s">
        <v>78</v>
      </c>
      <c r="Q591">
        <v>5</v>
      </c>
      <c r="R591">
        <v>1</v>
      </c>
      <c r="S591">
        <v>1</v>
      </c>
      <c r="T591" t="s">
        <v>59</v>
      </c>
      <c r="U591" t="s">
        <v>37</v>
      </c>
      <c r="V591">
        <v>1</v>
      </c>
      <c r="W591">
        <v>8</v>
      </c>
      <c r="X591" t="s">
        <v>36</v>
      </c>
      <c r="Y591" t="s">
        <v>38</v>
      </c>
      <c r="Z591" t="s">
        <v>61</v>
      </c>
      <c r="AA591" s="2">
        <v>45303</v>
      </c>
      <c r="AB591" t="b">
        <v>0</v>
      </c>
      <c r="AC591" t="b">
        <v>1</v>
      </c>
      <c r="AD591" t="s">
        <v>40</v>
      </c>
      <c r="AE591" t="s">
        <v>53</v>
      </c>
      <c r="AF591">
        <v>9</v>
      </c>
    </row>
    <row r="592" spans="1:32" x14ac:dyDescent="0.25">
      <c r="A592" t="s">
        <v>1258</v>
      </c>
      <c r="B592">
        <v>590</v>
      </c>
      <c r="C592">
        <v>33</v>
      </c>
      <c r="D592" t="str">
        <f>IF(tbl_Original[[#This Row],[Gender2]]="Female","Female",IF(tbl_Original[[#This Row],[Gender2]]="Male","Male","Other"))</f>
        <v>Male</v>
      </c>
      <c r="E592" t="s">
        <v>43</v>
      </c>
      <c r="F592" t="s">
        <v>44</v>
      </c>
      <c r="G592" t="s">
        <v>76</v>
      </c>
      <c r="H592" t="s">
        <v>32</v>
      </c>
      <c r="I592" t="s">
        <v>30</v>
      </c>
      <c r="J592" t="str">
        <f>PROPER(TRIM(CLEAN(tbl_Original[[#This Row],[Column1]])))</f>
        <v>Nanyaojie</v>
      </c>
      <c r="K592" t="s">
        <v>1259</v>
      </c>
      <c r="L592" t="s">
        <v>1259</v>
      </c>
      <c r="M592" t="s">
        <v>114</v>
      </c>
      <c r="N592" s="1">
        <v>159.82</v>
      </c>
      <c r="O592">
        <v>2</v>
      </c>
      <c r="P592" t="s">
        <v>48</v>
      </c>
      <c r="Q592">
        <v>2</v>
      </c>
      <c r="R592">
        <v>1</v>
      </c>
      <c r="S592">
        <v>1</v>
      </c>
      <c r="T592" t="s">
        <v>44</v>
      </c>
      <c r="U592" t="s">
        <v>85</v>
      </c>
      <c r="V592">
        <v>2</v>
      </c>
      <c r="W592">
        <v>8</v>
      </c>
      <c r="X592" t="s">
        <v>49</v>
      </c>
      <c r="Y592" t="s">
        <v>38</v>
      </c>
      <c r="Z592" t="s">
        <v>86</v>
      </c>
      <c r="AA592" s="2">
        <v>45635</v>
      </c>
      <c r="AB592" t="b">
        <v>1</v>
      </c>
      <c r="AC592" t="b">
        <v>1</v>
      </c>
      <c r="AD592" t="s">
        <v>74</v>
      </c>
      <c r="AE592" t="s">
        <v>41</v>
      </c>
      <c r="AF592">
        <v>10</v>
      </c>
    </row>
    <row r="593" spans="1:32" x14ac:dyDescent="0.25">
      <c r="A593" t="s">
        <v>1260</v>
      </c>
      <c r="B593">
        <v>591</v>
      </c>
      <c r="C593">
        <v>46</v>
      </c>
      <c r="D593" t="str">
        <f>IF(tbl_Original[[#This Row],[Gender2]]="Female","Female",IF(tbl_Original[[#This Row],[Gender2]]="Male","Male","Other"))</f>
        <v>Male</v>
      </c>
      <c r="E593" t="s">
        <v>43</v>
      </c>
      <c r="F593" t="s">
        <v>30</v>
      </c>
      <c r="G593" t="s">
        <v>76</v>
      </c>
      <c r="H593" t="s">
        <v>56</v>
      </c>
      <c r="I593" t="s">
        <v>30</v>
      </c>
      <c r="J593" t="str">
        <f>PROPER(TRIM(CLEAN(tbl_Original[[#This Row],[Column1]])))</f>
        <v>Buzen</v>
      </c>
      <c r="K593" t="s">
        <v>1261</v>
      </c>
      <c r="L593" t="s">
        <v>1261</v>
      </c>
      <c r="M593" t="s">
        <v>194</v>
      </c>
      <c r="N593" s="1">
        <v>79.430000000000007</v>
      </c>
      <c r="O593">
        <v>3</v>
      </c>
      <c r="P593" t="s">
        <v>48</v>
      </c>
      <c r="Q593">
        <v>1</v>
      </c>
      <c r="R593">
        <v>5</v>
      </c>
      <c r="S593">
        <v>0</v>
      </c>
      <c r="T593" t="s">
        <v>49</v>
      </c>
      <c r="U593" t="s">
        <v>37</v>
      </c>
      <c r="V593">
        <v>2</v>
      </c>
      <c r="W593">
        <v>7</v>
      </c>
      <c r="X593" t="s">
        <v>36</v>
      </c>
      <c r="Y593" t="s">
        <v>60</v>
      </c>
      <c r="Z593" t="s">
        <v>51</v>
      </c>
      <c r="AA593" s="2">
        <v>45306</v>
      </c>
      <c r="AB593" t="b">
        <v>0</v>
      </c>
      <c r="AC593" t="b">
        <v>0</v>
      </c>
      <c r="AD593" t="s">
        <v>52</v>
      </c>
      <c r="AE593" t="s">
        <v>41</v>
      </c>
      <c r="AF593">
        <v>6</v>
      </c>
    </row>
    <row r="594" spans="1:32" x14ac:dyDescent="0.25">
      <c r="A594" t="s">
        <v>1262</v>
      </c>
      <c r="B594">
        <v>592</v>
      </c>
      <c r="C594">
        <v>42</v>
      </c>
      <c r="D594" t="str">
        <f>IF(tbl_Original[[#This Row],[Gender2]]="Female","Female",IF(tbl_Original[[#This Row],[Gender2]]="Male","Male","Other"))</f>
        <v>Female</v>
      </c>
      <c r="E594" t="s">
        <v>29</v>
      </c>
      <c r="F594" t="s">
        <v>30</v>
      </c>
      <c r="G594" t="s">
        <v>31</v>
      </c>
      <c r="H594" t="s">
        <v>32</v>
      </c>
      <c r="I594" t="s">
        <v>30</v>
      </c>
      <c r="J594" t="str">
        <f>PROPER(TRIM(CLEAN(tbl_Original[[#This Row],[Column1]])))</f>
        <v>Bom Jesus Do Itabapoana</v>
      </c>
      <c r="K594" t="s">
        <v>1263</v>
      </c>
      <c r="L594" t="s">
        <v>1263</v>
      </c>
      <c r="M594" t="s">
        <v>194</v>
      </c>
      <c r="N594" s="1">
        <v>131.36000000000001</v>
      </c>
      <c r="O594">
        <v>4</v>
      </c>
      <c r="P594" t="s">
        <v>48</v>
      </c>
      <c r="Q594">
        <v>4</v>
      </c>
      <c r="R594">
        <v>4</v>
      </c>
      <c r="S594">
        <v>2</v>
      </c>
      <c r="T594" t="s">
        <v>36</v>
      </c>
      <c r="U594" t="s">
        <v>37</v>
      </c>
      <c r="V594">
        <v>1</v>
      </c>
      <c r="W594">
        <v>6</v>
      </c>
      <c r="X594" t="s">
        <v>44</v>
      </c>
      <c r="Y594" t="s">
        <v>60</v>
      </c>
      <c r="Z594" t="s">
        <v>61</v>
      </c>
      <c r="AA594" s="2">
        <v>45617</v>
      </c>
      <c r="AB594" t="b">
        <v>0</v>
      </c>
      <c r="AC594" t="b">
        <v>0</v>
      </c>
      <c r="AD594" t="s">
        <v>52</v>
      </c>
      <c r="AE594" t="s">
        <v>67</v>
      </c>
      <c r="AF594">
        <v>3</v>
      </c>
    </row>
    <row r="595" spans="1:32" x14ac:dyDescent="0.25">
      <c r="A595" t="s">
        <v>1264</v>
      </c>
      <c r="B595">
        <v>593</v>
      </c>
      <c r="C595">
        <v>27</v>
      </c>
      <c r="D595" t="str">
        <f>IF(tbl_Original[[#This Row],[Gender2]]="Female","Female",IF(tbl_Original[[#This Row],[Gender2]]="Male","Male","Other"))</f>
        <v>Male</v>
      </c>
      <c r="E595" t="s">
        <v>43</v>
      </c>
      <c r="F595" t="s">
        <v>30</v>
      </c>
      <c r="G595" t="s">
        <v>69</v>
      </c>
      <c r="H595" t="s">
        <v>45</v>
      </c>
      <c r="I595" t="s">
        <v>30</v>
      </c>
      <c r="J595" t="str">
        <f>PROPER(TRIM(CLEAN(tbl_Original[[#This Row],[Column1]])))</f>
        <v>Centenario</v>
      </c>
      <c r="K595" t="s">
        <v>1265</v>
      </c>
      <c r="L595" t="s">
        <v>1265</v>
      </c>
      <c r="M595" t="s">
        <v>188</v>
      </c>
      <c r="N595" s="1">
        <v>299.75</v>
      </c>
      <c r="O595">
        <v>12</v>
      </c>
      <c r="P595" t="s">
        <v>35</v>
      </c>
      <c r="Q595">
        <v>2</v>
      </c>
      <c r="R595">
        <v>5</v>
      </c>
      <c r="S595">
        <v>0.3</v>
      </c>
      <c r="T595" t="s">
        <v>59</v>
      </c>
      <c r="U595" t="s">
        <v>85</v>
      </c>
      <c r="V595">
        <v>0</v>
      </c>
      <c r="W595">
        <v>4</v>
      </c>
      <c r="X595" t="s">
        <v>59</v>
      </c>
      <c r="Y595" t="s">
        <v>79</v>
      </c>
      <c r="Z595" t="s">
        <v>39</v>
      </c>
      <c r="AA595" s="2">
        <v>45478</v>
      </c>
      <c r="AB595" t="b">
        <v>0</v>
      </c>
      <c r="AC595" t="b">
        <v>1</v>
      </c>
      <c r="AD595" t="s">
        <v>40</v>
      </c>
      <c r="AE595" t="s">
        <v>41</v>
      </c>
      <c r="AF595">
        <v>7</v>
      </c>
    </row>
    <row r="596" spans="1:32" x14ac:dyDescent="0.25">
      <c r="A596" t="s">
        <v>1266</v>
      </c>
      <c r="B596">
        <v>594</v>
      </c>
      <c r="C596">
        <v>29</v>
      </c>
      <c r="D596" t="str">
        <f>IF(tbl_Original[[#This Row],[Gender2]]="Female","Female",IF(tbl_Original[[#This Row],[Gender2]]="Male","Male","Other"))</f>
        <v>Male</v>
      </c>
      <c r="E596" t="s">
        <v>43</v>
      </c>
      <c r="F596" t="s">
        <v>44</v>
      </c>
      <c r="G596" t="s">
        <v>76</v>
      </c>
      <c r="H596" t="s">
        <v>32</v>
      </c>
      <c r="I596" t="s">
        <v>30</v>
      </c>
      <c r="J596" t="str">
        <f>PROPER(TRIM(CLEAN(tbl_Original[[#This Row],[Column1]])))</f>
        <v>Al Jzah</v>
      </c>
      <c r="K596" t="s">
        <v>2139</v>
      </c>
      <c r="L596" t="s">
        <v>1267</v>
      </c>
      <c r="M596" t="s">
        <v>101</v>
      </c>
      <c r="N596" s="1">
        <v>319.38</v>
      </c>
      <c r="O596">
        <v>9</v>
      </c>
      <c r="P596" t="s">
        <v>48</v>
      </c>
      <c r="Q596">
        <v>4</v>
      </c>
      <c r="R596">
        <v>1</v>
      </c>
      <c r="S596">
        <v>0</v>
      </c>
      <c r="T596" t="s">
        <v>59</v>
      </c>
      <c r="U596" t="s">
        <v>50</v>
      </c>
      <c r="V596">
        <v>1</v>
      </c>
      <c r="W596">
        <v>6</v>
      </c>
      <c r="X596" t="s">
        <v>44</v>
      </c>
      <c r="Y596" t="s">
        <v>38</v>
      </c>
      <c r="Z596" t="s">
        <v>51</v>
      </c>
      <c r="AA596" s="2">
        <v>45611</v>
      </c>
      <c r="AB596" t="b">
        <v>1</v>
      </c>
      <c r="AC596" t="b">
        <v>1</v>
      </c>
      <c r="AD596" t="s">
        <v>40</v>
      </c>
      <c r="AE596" t="s">
        <v>41</v>
      </c>
      <c r="AF596">
        <v>8</v>
      </c>
    </row>
    <row r="597" spans="1:32" x14ac:dyDescent="0.25">
      <c r="A597" t="s">
        <v>1268</v>
      </c>
      <c r="B597">
        <v>595</v>
      </c>
      <c r="C597">
        <v>38</v>
      </c>
      <c r="D597" t="str">
        <f>IF(tbl_Original[[#This Row],[Gender2]]="Female","Female",IF(tbl_Original[[#This Row],[Gender2]]="Male","Male","Other"))</f>
        <v>Male</v>
      </c>
      <c r="E597" t="s">
        <v>43</v>
      </c>
      <c r="F597" t="s">
        <v>44</v>
      </c>
      <c r="G597" t="s">
        <v>55</v>
      </c>
      <c r="H597" t="s">
        <v>56</v>
      </c>
      <c r="I597" t="s">
        <v>30</v>
      </c>
      <c r="J597" t="str">
        <f>PROPER(TRIM(CLEAN(tbl_Original[[#This Row],[Column1]])))</f>
        <v>Thl Tryn Cm Thsy</v>
      </c>
      <c r="K597" t="s">
        <v>2224</v>
      </c>
      <c r="L597" t="s">
        <v>1269</v>
      </c>
      <c r="M597" t="s">
        <v>117</v>
      </c>
      <c r="N597" s="1">
        <v>476.48</v>
      </c>
      <c r="O597">
        <v>8</v>
      </c>
      <c r="P597" t="s">
        <v>78</v>
      </c>
      <c r="Q597">
        <v>5</v>
      </c>
      <c r="R597">
        <v>2</v>
      </c>
      <c r="S597">
        <v>1</v>
      </c>
      <c r="T597" t="s">
        <v>36</v>
      </c>
      <c r="U597" t="s">
        <v>37</v>
      </c>
      <c r="V597">
        <v>2</v>
      </c>
      <c r="W597">
        <v>10</v>
      </c>
      <c r="X597" t="s">
        <v>44</v>
      </c>
      <c r="Y597" t="s">
        <v>79</v>
      </c>
      <c r="Z597" t="s">
        <v>51</v>
      </c>
      <c r="AA597" s="2">
        <v>45479</v>
      </c>
      <c r="AB597" t="b">
        <v>0</v>
      </c>
      <c r="AC597" t="b">
        <v>1</v>
      </c>
      <c r="AD597" t="s">
        <v>62</v>
      </c>
      <c r="AE597" t="s">
        <v>67</v>
      </c>
      <c r="AF597">
        <v>3</v>
      </c>
    </row>
    <row r="598" spans="1:32" x14ac:dyDescent="0.25">
      <c r="A598" t="s">
        <v>1270</v>
      </c>
      <c r="B598">
        <v>596</v>
      </c>
      <c r="C598">
        <v>21</v>
      </c>
      <c r="D598" t="str">
        <f>IF(tbl_Original[[#This Row],[Gender2]]="Female","Female",IF(tbl_Original[[#This Row],[Gender2]]="Male","Male","Other"))</f>
        <v>Male</v>
      </c>
      <c r="E598" t="s">
        <v>43</v>
      </c>
      <c r="F598" t="s">
        <v>30</v>
      </c>
      <c r="G598" t="s">
        <v>69</v>
      </c>
      <c r="H598" t="s">
        <v>32</v>
      </c>
      <c r="I598" t="s">
        <v>30</v>
      </c>
      <c r="J598" t="str">
        <f>PROPER(TRIM(CLEAN(tbl_Original[[#This Row],[Column1]])))</f>
        <v>Curahkalak Tengah</v>
      </c>
      <c r="K598" t="s">
        <v>1271</v>
      </c>
      <c r="L598" t="s">
        <v>1271</v>
      </c>
      <c r="M598" t="s">
        <v>34</v>
      </c>
      <c r="N598" s="1">
        <v>301.01</v>
      </c>
      <c r="O598">
        <v>9</v>
      </c>
      <c r="P598" t="s">
        <v>35</v>
      </c>
      <c r="Q598">
        <v>2</v>
      </c>
      <c r="R598">
        <v>1</v>
      </c>
      <c r="S598">
        <v>2</v>
      </c>
      <c r="T598" t="s">
        <v>44</v>
      </c>
      <c r="U598" t="s">
        <v>50</v>
      </c>
      <c r="V598">
        <v>2</v>
      </c>
      <c r="W598">
        <v>8</v>
      </c>
      <c r="X598" t="s">
        <v>49</v>
      </c>
      <c r="Y598" t="s">
        <v>60</v>
      </c>
      <c r="Z598" t="s">
        <v>66</v>
      </c>
      <c r="AA598" s="2">
        <v>45527</v>
      </c>
      <c r="AB598" t="b">
        <v>0</v>
      </c>
      <c r="AC598" t="b">
        <v>1</v>
      </c>
      <c r="AD598" t="s">
        <v>40</v>
      </c>
      <c r="AE598" t="s">
        <v>67</v>
      </c>
      <c r="AF598">
        <v>13</v>
      </c>
    </row>
    <row r="599" spans="1:32" x14ac:dyDescent="0.25">
      <c r="A599" t="s">
        <v>1272</v>
      </c>
      <c r="B599">
        <v>597</v>
      </c>
      <c r="C599">
        <v>18</v>
      </c>
      <c r="D599" t="str">
        <f>IF(tbl_Original[[#This Row],[Gender2]]="Female","Female",IF(tbl_Original[[#This Row],[Gender2]]="Male","Male","Other"))</f>
        <v>Male</v>
      </c>
      <c r="E599" t="s">
        <v>43</v>
      </c>
      <c r="F599" t="s">
        <v>30</v>
      </c>
      <c r="G599" t="s">
        <v>55</v>
      </c>
      <c r="H599" t="s">
        <v>32</v>
      </c>
      <c r="I599" t="s">
        <v>30</v>
      </c>
      <c r="J599" t="str">
        <f>PROPER(TRIM(CLEAN(tbl_Original[[#This Row],[Column1]])))</f>
        <v>Ebu</v>
      </c>
      <c r="K599" t="s">
        <v>1273</v>
      </c>
      <c r="L599" t="s">
        <v>1273</v>
      </c>
      <c r="M599" t="s">
        <v>117</v>
      </c>
      <c r="N599" s="1">
        <v>378.71</v>
      </c>
      <c r="O599">
        <v>5</v>
      </c>
      <c r="P599" t="s">
        <v>78</v>
      </c>
      <c r="Q599">
        <v>4</v>
      </c>
      <c r="R599">
        <v>1</v>
      </c>
      <c r="S599">
        <v>2</v>
      </c>
      <c r="T599" t="s">
        <v>49</v>
      </c>
      <c r="U599" t="s">
        <v>37</v>
      </c>
      <c r="V599">
        <v>2</v>
      </c>
      <c r="W599">
        <v>5</v>
      </c>
      <c r="X599" t="s">
        <v>36</v>
      </c>
      <c r="Y599" t="s">
        <v>79</v>
      </c>
      <c r="Z599" t="s">
        <v>66</v>
      </c>
      <c r="AA599" s="2">
        <v>45534</v>
      </c>
      <c r="AB599" t="b">
        <v>1</v>
      </c>
      <c r="AC599" t="b">
        <v>1</v>
      </c>
      <c r="AD599" t="s">
        <v>74</v>
      </c>
      <c r="AE599" t="s">
        <v>67</v>
      </c>
      <c r="AF599">
        <v>14</v>
      </c>
    </row>
    <row r="600" spans="1:32" x14ac:dyDescent="0.25">
      <c r="A600" t="s">
        <v>1274</v>
      </c>
      <c r="B600">
        <v>598</v>
      </c>
      <c r="C600">
        <v>44</v>
      </c>
      <c r="D600" t="str">
        <f>IF(tbl_Original[[#This Row],[Gender2]]="Female","Female",IF(tbl_Original[[#This Row],[Gender2]]="Male","Male","Other"))</f>
        <v>Other</v>
      </c>
      <c r="E600" t="s">
        <v>190</v>
      </c>
      <c r="F600" t="s">
        <v>30</v>
      </c>
      <c r="G600" t="s">
        <v>55</v>
      </c>
      <c r="H600" t="s">
        <v>32</v>
      </c>
      <c r="I600" t="s">
        <v>30</v>
      </c>
      <c r="J600" t="str">
        <f>PROPER(TRIM(CLEAN(tbl_Original[[#This Row],[Column1]])))</f>
        <v>To Pujio</v>
      </c>
      <c r="K600" t="s">
        <v>2225</v>
      </c>
      <c r="L600" t="s">
        <v>1275</v>
      </c>
      <c r="M600" t="s">
        <v>93</v>
      </c>
      <c r="N600" s="1">
        <v>314.32</v>
      </c>
      <c r="O600">
        <v>6</v>
      </c>
      <c r="P600" t="s">
        <v>78</v>
      </c>
      <c r="Q600">
        <v>1</v>
      </c>
      <c r="R600">
        <v>4</v>
      </c>
      <c r="S600">
        <v>2</v>
      </c>
      <c r="T600" t="s">
        <v>44</v>
      </c>
      <c r="U600" t="s">
        <v>85</v>
      </c>
      <c r="V600">
        <v>2</v>
      </c>
      <c r="W600">
        <v>5</v>
      </c>
      <c r="X600" t="s">
        <v>59</v>
      </c>
      <c r="Y600" t="s">
        <v>60</v>
      </c>
      <c r="Z600" t="s">
        <v>39</v>
      </c>
      <c r="AA600" s="2">
        <v>45367</v>
      </c>
      <c r="AB600" t="b">
        <v>1</v>
      </c>
      <c r="AC600" t="b">
        <v>0</v>
      </c>
      <c r="AD600" t="s">
        <v>62</v>
      </c>
      <c r="AE600" t="s">
        <v>53</v>
      </c>
      <c r="AF600">
        <v>7</v>
      </c>
    </row>
    <row r="601" spans="1:32" x14ac:dyDescent="0.25">
      <c r="A601" t="s">
        <v>1276</v>
      </c>
      <c r="B601">
        <v>599</v>
      </c>
      <c r="C601">
        <v>22</v>
      </c>
      <c r="D601" t="str">
        <f>IF(tbl_Original[[#This Row],[Gender2]]="Female","Female",IF(tbl_Original[[#This Row],[Gender2]]="Male","Male","Other"))</f>
        <v>Male</v>
      </c>
      <c r="E601" t="s">
        <v>43</v>
      </c>
      <c r="F601" t="s">
        <v>30</v>
      </c>
      <c r="G601" t="s">
        <v>31</v>
      </c>
      <c r="H601" t="s">
        <v>45</v>
      </c>
      <c r="I601" t="s">
        <v>44</v>
      </c>
      <c r="J601" t="str">
        <f>PROPER(TRIM(CLEAN(tbl_Original[[#This Row],[Column1]])))</f>
        <v>Creteil</v>
      </c>
      <c r="K601" t="s">
        <v>2304</v>
      </c>
      <c r="L601" t="s">
        <v>254</v>
      </c>
      <c r="M601" t="s">
        <v>58</v>
      </c>
      <c r="N601" s="1">
        <v>210.9</v>
      </c>
      <c r="O601">
        <v>12</v>
      </c>
      <c r="P601" t="s">
        <v>48</v>
      </c>
      <c r="Q601">
        <v>2</v>
      </c>
      <c r="R601">
        <v>1</v>
      </c>
      <c r="S601">
        <v>2</v>
      </c>
      <c r="T601" t="s">
        <v>36</v>
      </c>
      <c r="U601" t="s">
        <v>37</v>
      </c>
      <c r="V601">
        <v>1</v>
      </c>
      <c r="W601">
        <v>1</v>
      </c>
      <c r="X601" t="s">
        <v>36</v>
      </c>
      <c r="Y601" t="s">
        <v>38</v>
      </c>
      <c r="Z601" t="s">
        <v>61</v>
      </c>
      <c r="AA601" s="2">
        <v>45521</v>
      </c>
      <c r="AB601" t="b">
        <v>0</v>
      </c>
      <c r="AC601" t="b">
        <v>0</v>
      </c>
      <c r="AD601" t="s">
        <v>62</v>
      </c>
      <c r="AE601" t="s">
        <v>53</v>
      </c>
      <c r="AF601">
        <v>12</v>
      </c>
    </row>
    <row r="602" spans="1:32" x14ac:dyDescent="0.25">
      <c r="A602" t="s">
        <v>1277</v>
      </c>
      <c r="B602">
        <v>600</v>
      </c>
      <c r="C602">
        <v>18</v>
      </c>
      <c r="D602" t="str">
        <f>IF(tbl_Original[[#This Row],[Gender2]]="Female","Female",IF(tbl_Original[[#This Row],[Gender2]]="Male","Male","Other"))</f>
        <v>Female</v>
      </c>
      <c r="E602" t="s">
        <v>29</v>
      </c>
      <c r="F602" t="s">
        <v>30</v>
      </c>
      <c r="G602" t="s">
        <v>76</v>
      </c>
      <c r="H602" t="s">
        <v>45</v>
      </c>
      <c r="I602" t="s">
        <v>44</v>
      </c>
      <c r="J602" t="str">
        <f>PROPER(TRIM(CLEAN(tbl_Original[[#This Row],[Column1]])))</f>
        <v>Shaxi</v>
      </c>
      <c r="K602" t="s">
        <v>1278</v>
      </c>
      <c r="L602" t="s">
        <v>1278</v>
      </c>
      <c r="M602" t="s">
        <v>47</v>
      </c>
      <c r="N602" s="1">
        <v>218.26</v>
      </c>
      <c r="O602">
        <v>4</v>
      </c>
      <c r="P602" t="s">
        <v>35</v>
      </c>
      <c r="Q602">
        <v>3</v>
      </c>
      <c r="R602">
        <v>1</v>
      </c>
      <c r="S602">
        <v>2</v>
      </c>
      <c r="T602" t="s">
        <v>59</v>
      </c>
      <c r="U602" t="s">
        <v>85</v>
      </c>
      <c r="V602">
        <v>0</v>
      </c>
      <c r="W602">
        <v>8</v>
      </c>
      <c r="X602" t="s">
        <v>44</v>
      </c>
      <c r="Y602" t="s">
        <v>60</v>
      </c>
      <c r="Z602" t="s">
        <v>61</v>
      </c>
      <c r="AA602" s="2">
        <v>45349</v>
      </c>
      <c r="AB602" t="b">
        <v>0</v>
      </c>
      <c r="AC602" t="b">
        <v>0</v>
      </c>
      <c r="AD602" t="s">
        <v>52</v>
      </c>
      <c r="AE602" t="s">
        <v>53</v>
      </c>
      <c r="AF602">
        <v>12</v>
      </c>
    </row>
    <row r="603" spans="1:32" x14ac:dyDescent="0.25">
      <c r="A603" t="s">
        <v>1279</v>
      </c>
      <c r="B603">
        <v>601</v>
      </c>
      <c r="C603">
        <v>24</v>
      </c>
      <c r="D603" t="str">
        <f>IF(tbl_Original[[#This Row],[Gender2]]="Female","Female",IF(tbl_Original[[#This Row],[Gender2]]="Male","Male","Other"))</f>
        <v>Female</v>
      </c>
      <c r="E603" t="s">
        <v>29</v>
      </c>
      <c r="F603" t="s">
        <v>30</v>
      </c>
      <c r="G603" t="s">
        <v>69</v>
      </c>
      <c r="H603" t="s">
        <v>56</v>
      </c>
      <c r="I603" t="s">
        <v>30</v>
      </c>
      <c r="J603" t="str">
        <f>PROPER(TRIM(CLEAN(tbl_Original[[#This Row],[Column1]])))</f>
        <v>Kelshd Va Sdarjn</v>
      </c>
      <c r="K603" t="s">
        <v>2226</v>
      </c>
      <c r="L603" t="s">
        <v>1280</v>
      </c>
      <c r="M603" t="s">
        <v>101</v>
      </c>
      <c r="N603" s="1">
        <v>424.18</v>
      </c>
      <c r="O603">
        <v>5</v>
      </c>
      <c r="P603" t="s">
        <v>35</v>
      </c>
      <c r="Q603">
        <v>4</v>
      </c>
      <c r="R603">
        <v>4</v>
      </c>
      <c r="S603">
        <v>1</v>
      </c>
      <c r="T603" t="s">
        <v>36</v>
      </c>
      <c r="U603" t="s">
        <v>50</v>
      </c>
      <c r="V603">
        <v>2</v>
      </c>
      <c r="W603">
        <v>4</v>
      </c>
      <c r="X603" t="s">
        <v>49</v>
      </c>
      <c r="Y603" t="s">
        <v>60</v>
      </c>
      <c r="Z603" t="s">
        <v>61</v>
      </c>
      <c r="AA603" s="2">
        <v>45336</v>
      </c>
      <c r="AB603" t="b">
        <v>0</v>
      </c>
      <c r="AC603" t="b">
        <v>1</v>
      </c>
      <c r="AD603" t="s">
        <v>40</v>
      </c>
      <c r="AE603" t="s">
        <v>67</v>
      </c>
      <c r="AF603">
        <v>5</v>
      </c>
    </row>
    <row r="604" spans="1:32" x14ac:dyDescent="0.25">
      <c r="A604" t="s">
        <v>1281</v>
      </c>
      <c r="B604">
        <v>602</v>
      </c>
      <c r="C604">
        <v>28</v>
      </c>
      <c r="D604" t="str">
        <f>IF(tbl_Original[[#This Row],[Gender2]]="Female","Female",IF(tbl_Original[[#This Row],[Gender2]]="Male","Male","Other"))</f>
        <v>Male</v>
      </c>
      <c r="E604" t="s">
        <v>43</v>
      </c>
      <c r="F604" t="s">
        <v>44</v>
      </c>
      <c r="G604" t="s">
        <v>76</v>
      </c>
      <c r="H604" t="s">
        <v>45</v>
      </c>
      <c r="I604" t="s">
        <v>30</v>
      </c>
      <c r="J604" t="str">
        <f>PROPER(TRIM(CLEAN(tbl_Original[[#This Row],[Column1]])))</f>
        <v>Punta Gorda</v>
      </c>
      <c r="K604" t="s">
        <v>92</v>
      </c>
      <c r="L604" t="s">
        <v>92</v>
      </c>
      <c r="M604" t="s">
        <v>98</v>
      </c>
      <c r="N604" s="1">
        <v>430.75</v>
      </c>
      <c r="O604">
        <v>11</v>
      </c>
      <c r="P604" t="s">
        <v>78</v>
      </c>
      <c r="Q604">
        <v>1</v>
      </c>
      <c r="R604">
        <v>3</v>
      </c>
      <c r="S604">
        <v>1</v>
      </c>
      <c r="T604" t="s">
        <v>59</v>
      </c>
      <c r="U604" t="s">
        <v>37</v>
      </c>
      <c r="V604">
        <v>0</v>
      </c>
      <c r="W604">
        <v>8</v>
      </c>
      <c r="X604" t="s">
        <v>44</v>
      </c>
      <c r="Y604" t="s">
        <v>38</v>
      </c>
      <c r="Z604" t="s">
        <v>39</v>
      </c>
      <c r="AA604" s="2">
        <v>45467</v>
      </c>
      <c r="AB604" t="b">
        <v>1</v>
      </c>
      <c r="AC604" t="b">
        <v>0</v>
      </c>
      <c r="AD604" t="s">
        <v>74</v>
      </c>
      <c r="AE604" t="s">
        <v>41</v>
      </c>
      <c r="AF604">
        <v>6</v>
      </c>
    </row>
    <row r="605" spans="1:32" x14ac:dyDescent="0.25">
      <c r="A605" t="s">
        <v>1282</v>
      </c>
      <c r="B605">
        <v>603</v>
      </c>
      <c r="C605">
        <v>24</v>
      </c>
      <c r="D605" t="str">
        <f>IF(tbl_Original[[#This Row],[Gender2]]="Female","Female",IF(tbl_Original[[#This Row],[Gender2]]="Male","Male","Other"))</f>
        <v>Male</v>
      </c>
      <c r="E605" t="s">
        <v>43</v>
      </c>
      <c r="F605" t="s">
        <v>44</v>
      </c>
      <c r="G605" t="s">
        <v>55</v>
      </c>
      <c r="H605" t="s">
        <v>32</v>
      </c>
      <c r="I605" t="s">
        <v>30</v>
      </c>
      <c r="J605" t="str">
        <f>PROPER(TRIM(CLEAN(tbl_Original[[#This Row],[Column1]])))</f>
        <v>Segodim</v>
      </c>
      <c r="K605" t="s">
        <v>1283</v>
      </c>
      <c r="L605" t="s">
        <v>1283</v>
      </c>
      <c r="M605" t="s">
        <v>93</v>
      </c>
      <c r="N605" s="1">
        <v>162.94999999999999</v>
      </c>
      <c r="O605">
        <v>11</v>
      </c>
      <c r="P605" t="s">
        <v>48</v>
      </c>
      <c r="Q605">
        <v>1</v>
      </c>
      <c r="R605">
        <v>2</v>
      </c>
      <c r="S605">
        <v>2</v>
      </c>
      <c r="T605" t="s">
        <v>44</v>
      </c>
      <c r="U605" t="s">
        <v>85</v>
      </c>
      <c r="V605">
        <v>1</v>
      </c>
      <c r="W605">
        <v>8</v>
      </c>
      <c r="X605" t="s">
        <v>59</v>
      </c>
      <c r="Y605" t="s">
        <v>79</v>
      </c>
      <c r="Z605" t="s">
        <v>86</v>
      </c>
      <c r="AA605" s="2">
        <v>45494</v>
      </c>
      <c r="AB605" t="b">
        <v>0</v>
      </c>
      <c r="AC605" t="b">
        <v>1</v>
      </c>
      <c r="AD605" t="s">
        <v>62</v>
      </c>
      <c r="AE605" t="s">
        <v>67</v>
      </c>
      <c r="AF605">
        <v>14</v>
      </c>
    </row>
    <row r="606" spans="1:32" x14ac:dyDescent="0.25">
      <c r="A606" t="s">
        <v>1284</v>
      </c>
      <c r="B606">
        <v>604</v>
      </c>
      <c r="C606">
        <v>40</v>
      </c>
      <c r="D606" t="str">
        <f>IF(tbl_Original[[#This Row],[Gender2]]="Female","Female",IF(tbl_Original[[#This Row],[Gender2]]="Male","Male","Other"))</f>
        <v>Female</v>
      </c>
      <c r="E606" t="s">
        <v>29</v>
      </c>
      <c r="F606" t="s">
        <v>30</v>
      </c>
      <c r="G606" t="s">
        <v>31</v>
      </c>
      <c r="H606" t="s">
        <v>56</v>
      </c>
      <c r="I606" t="s">
        <v>44</v>
      </c>
      <c r="J606" t="str">
        <f>PROPER(TRIM(CLEAN(tbl_Original[[#This Row],[Column1]])))</f>
        <v>Yinying</v>
      </c>
      <c r="K606" t="s">
        <v>1285</v>
      </c>
      <c r="L606" t="s">
        <v>1285</v>
      </c>
      <c r="M606" t="s">
        <v>142</v>
      </c>
      <c r="N606" s="1">
        <v>209.68</v>
      </c>
      <c r="O606">
        <v>2</v>
      </c>
      <c r="P606" t="s">
        <v>78</v>
      </c>
      <c r="Q606">
        <v>3</v>
      </c>
      <c r="R606">
        <v>1</v>
      </c>
      <c r="S606">
        <v>1</v>
      </c>
      <c r="T606" t="s">
        <v>36</v>
      </c>
      <c r="U606" t="s">
        <v>50</v>
      </c>
      <c r="V606">
        <v>0</v>
      </c>
      <c r="W606">
        <v>1</v>
      </c>
      <c r="X606" t="s">
        <v>49</v>
      </c>
      <c r="Y606" t="s">
        <v>60</v>
      </c>
      <c r="Z606" t="s">
        <v>66</v>
      </c>
      <c r="AA606" s="2">
        <v>45473</v>
      </c>
      <c r="AB606" t="b">
        <v>0</v>
      </c>
      <c r="AC606" t="b">
        <v>1</v>
      </c>
      <c r="AD606" t="s">
        <v>62</v>
      </c>
      <c r="AE606" t="s">
        <v>67</v>
      </c>
      <c r="AF606">
        <v>8</v>
      </c>
    </row>
    <row r="607" spans="1:32" x14ac:dyDescent="0.25">
      <c r="A607" t="s">
        <v>1286</v>
      </c>
      <c r="B607">
        <v>605</v>
      </c>
      <c r="C607">
        <v>50</v>
      </c>
      <c r="D607" t="str">
        <f>IF(tbl_Original[[#This Row],[Gender2]]="Female","Female",IF(tbl_Original[[#This Row],[Gender2]]="Male","Male","Other"))</f>
        <v>Male</v>
      </c>
      <c r="E607" t="s">
        <v>43</v>
      </c>
      <c r="F607" t="s">
        <v>44</v>
      </c>
      <c r="G607" t="s">
        <v>69</v>
      </c>
      <c r="H607" t="s">
        <v>32</v>
      </c>
      <c r="I607" t="s">
        <v>30</v>
      </c>
      <c r="J607" t="str">
        <f>PROPER(TRIM(CLEAN(tbl_Original[[#This Row],[Column1]])))</f>
        <v>Harembo</v>
      </c>
      <c r="K607" t="s">
        <v>1287</v>
      </c>
      <c r="L607" t="s">
        <v>1287</v>
      </c>
      <c r="M607" t="s">
        <v>188</v>
      </c>
      <c r="N607" s="1">
        <v>97.97</v>
      </c>
      <c r="O607">
        <v>2</v>
      </c>
      <c r="P607" t="s">
        <v>48</v>
      </c>
      <c r="Q607">
        <v>5</v>
      </c>
      <c r="R607">
        <v>5</v>
      </c>
      <c r="S607">
        <v>1</v>
      </c>
      <c r="T607" t="s">
        <v>59</v>
      </c>
      <c r="U607" t="s">
        <v>37</v>
      </c>
      <c r="V607">
        <v>0</v>
      </c>
      <c r="W607">
        <v>10</v>
      </c>
      <c r="X607" t="s">
        <v>36</v>
      </c>
      <c r="Y607" t="s">
        <v>79</v>
      </c>
      <c r="Z607" t="s">
        <v>39</v>
      </c>
      <c r="AA607" s="2">
        <v>45568</v>
      </c>
      <c r="AB607" t="b">
        <v>1</v>
      </c>
      <c r="AC607" t="b">
        <v>0</v>
      </c>
      <c r="AD607" t="s">
        <v>74</v>
      </c>
      <c r="AE607" t="s">
        <v>41</v>
      </c>
      <c r="AF607">
        <v>1</v>
      </c>
    </row>
    <row r="608" spans="1:32" x14ac:dyDescent="0.25">
      <c r="A608" t="s">
        <v>1288</v>
      </c>
      <c r="B608">
        <v>606</v>
      </c>
      <c r="C608">
        <v>49</v>
      </c>
      <c r="D608" t="str">
        <f>IF(tbl_Original[[#This Row],[Gender2]]="Female","Female",IF(tbl_Original[[#This Row],[Gender2]]="Male","Male","Other"))</f>
        <v>Male</v>
      </c>
      <c r="E608" t="s">
        <v>43</v>
      </c>
      <c r="F608" t="s">
        <v>30</v>
      </c>
      <c r="G608" t="s">
        <v>69</v>
      </c>
      <c r="H608" t="s">
        <v>56</v>
      </c>
      <c r="I608" t="s">
        <v>44</v>
      </c>
      <c r="J608" t="str">
        <f>PROPER(TRIM(CLEAN(tbl_Original[[#This Row],[Column1]])))</f>
        <v>Lazarevac</v>
      </c>
      <c r="K608" t="s">
        <v>1289</v>
      </c>
      <c r="L608" t="s">
        <v>1289</v>
      </c>
      <c r="M608" t="s">
        <v>82</v>
      </c>
      <c r="N608" s="1">
        <v>192.51</v>
      </c>
      <c r="O608">
        <v>9</v>
      </c>
      <c r="P608" t="s">
        <v>35</v>
      </c>
      <c r="Q608">
        <v>2</v>
      </c>
      <c r="R608">
        <v>5</v>
      </c>
      <c r="S608">
        <v>2</v>
      </c>
      <c r="T608" t="s">
        <v>49</v>
      </c>
      <c r="U608" t="s">
        <v>85</v>
      </c>
      <c r="V608">
        <v>0</v>
      </c>
      <c r="W608">
        <v>2</v>
      </c>
      <c r="X608" t="s">
        <v>49</v>
      </c>
      <c r="Y608" t="s">
        <v>60</v>
      </c>
      <c r="Z608" t="s">
        <v>39</v>
      </c>
      <c r="AA608" s="2">
        <v>45527</v>
      </c>
      <c r="AB608" t="b">
        <v>1</v>
      </c>
      <c r="AC608" t="b">
        <v>0</v>
      </c>
      <c r="AD608" t="s">
        <v>40</v>
      </c>
      <c r="AE608" t="s">
        <v>53</v>
      </c>
      <c r="AF608">
        <v>9</v>
      </c>
    </row>
    <row r="609" spans="1:32" x14ac:dyDescent="0.25">
      <c r="A609" t="s">
        <v>1290</v>
      </c>
      <c r="B609">
        <v>607</v>
      </c>
      <c r="C609">
        <v>35</v>
      </c>
      <c r="D609" t="str">
        <f>IF(tbl_Original[[#This Row],[Gender2]]="Female","Female",IF(tbl_Original[[#This Row],[Gender2]]="Male","Male","Other"))</f>
        <v>Male</v>
      </c>
      <c r="E609" t="s">
        <v>43</v>
      </c>
      <c r="F609" t="s">
        <v>30</v>
      </c>
      <c r="G609" t="s">
        <v>69</v>
      </c>
      <c r="H609" t="s">
        <v>56</v>
      </c>
      <c r="I609" t="s">
        <v>30</v>
      </c>
      <c r="J609" t="str">
        <f>PROPER(TRIM(CLEAN(tbl_Original[[#This Row],[Column1]])))</f>
        <v>Al Jzah</v>
      </c>
      <c r="K609" t="s">
        <v>2139</v>
      </c>
      <c r="L609" t="s">
        <v>1267</v>
      </c>
      <c r="M609" t="s">
        <v>117</v>
      </c>
      <c r="N609" s="1">
        <v>151.81</v>
      </c>
      <c r="O609">
        <v>8</v>
      </c>
      <c r="P609" t="s">
        <v>78</v>
      </c>
      <c r="Q609">
        <v>3</v>
      </c>
      <c r="R609">
        <v>4</v>
      </c>
      <c r="S609">
        <v>0</v>
      </c>
      <c r="T609" t="s">
        <v>49</v>
      </c>
      <c r="U609" t="s">
        <v>50</v>
      </c>
      <c r="V609">
        <v>1</v>
      </c>
      <c r="W609">
        <v>10</v>
      </c>
      <c r="X609" t="s">
        <v>36</v>
      </c>
      <c r="Y609" t="s">
        <v>38</v>
      </c>
      <c r="Z609" t="s">
        <v>61</v>
      </c>
      <c r="AA609" s="2">
        <v>45304</v>
      </c>
      <c r="AB609" t="b">
        <v>0</v>
      </c>
      <c r="AC609" t="b">
        <v>0</v>
      </c>
      <c r="AD609" t="s">
        <v>74</v>
      </c>
      <c r="AE609" t="s">
        <v>41</v>
      </c>
      <c r="AF609">
        <v>1</v>
      </c>
    </row>
    <row r="610" spans="1:32" x14ac:dyDescent="0.25">
      <c r="A610" t="s">
        <v>1291</v>
      </c>
      <c r="B610">
        <v>608</v>
      </c>
      <c r="C610">
        <v>25</v>
      </c>
      <c r="D610" t="str">
        <f>IF(tbl_Original[[#This Row],[Gender2]]="Female","Female",IF(tbl_Original[[#This Row],[Gender2]]="Male","Male","Other"))</f>
        <v>Female</v>
      </c>
      <c r="E610" t="s">
        <v>29</v>
      </c>
      <c r="F610" t="s">
        <v>44</v>
      </c>
      <c r="G610" t="s">
        <v>31</v>
      </c>
      <c r="H610" t="s">
        <v>45</v>
      </c>
      <c r="I610" t="s">
        <v>30</v>
      </c>
      <c r="J610" t="str">
        <f>PROPER(TRIM(CLEAN(tbl_Original[[#This Row],[Column1]])))</f>
        <v>Zhongcun</v>
      </c>
      <c r="K610" t="s">
        <v>1292</v>
      </c>
      <c r="L610" t="s">
        <v>1292</v>
      </c>
      <c r="M610" t="s">
        <v>71</v>
      </c>
      <c r="N610" s="1">
        <v>239.28</v>
      </c>
      <c r="O610">
        <v>8</v>
      </c>
      <c r="P610" t="s">
        <v>78</v>
      </c>
      <c r="Q610">
        <v>1</v>
      </c>
      <c r="R610">
        <v>4</v>
      </c>
      <c r="S610">
        <v>1</v>
      </c>
      <c r="T610" t="s">
        <v>49</v>
      </c>
      <c r="U610" t="s">
        <v>37</v>
      </c>
      <c r="V610">
        <v>2</v>
      </c>
      <c r="W610">
        <v>5</v>
      </c>
      <c r="X610" t="s">
        <v>49</v>
      </c>
      <c r="Y610" t="s">
        <v>38</v>
      </c>
      <c r="Z610" t="s">
        <v>66</v>
      </c>
      <c r="AA610" s="2">
        <v>45604</v>
      </c>
      <c r="AB610" t="b">
        <v>0</v>
      </c>
      <c r="AC610" t="b">
        <v>1</v>
      </c>
      <c r="AD610" t="s">
        <v>62</v>
      </c>
      <c r="AE610" t="s">
        <v>41</v>
      </c>
      <c r="AF610">
        <v>10</v>
      </c>
    </row>
    <row r="611" spans="1:32" x14ac:dyDescent="0.25">
      <c r="A611" t="s">
        <v>1293</v>
      </c>
      <c r="B611">
        <v>609</v>
      </c>
      <c r="C611">
        <v>40</v>
      </c>
      <c r="D611" t="str">
        <f>IF(tbl_Original[[#This Row],[Gender2]]="Female","Female",IF(tbl_Original[[#This Row],[Gender2]]="Male","Male","Other"))</f>
        <v>Female</v>
      </c>
      <c r="E611" t="s">
        <v>29</v>
      </c>
      <c r="F611" t="s">
        <v>44</v>
      </c>
      <c r="G611" t="s">
        <v>69</v>
      </c>
      <c r="H611" t="s">
        <v>45</v>
      </c>
      <c r="I611" t="s">
        <v>44</v>
      </c>
      <c r="J611" t="str">
        <f>PROPER(TRIM(CLEAN(tbl_Original[[#This Row],[Column1]])))</f>
        <v>Gaopeng</v>
      </c>
      <c r="K611" t="s">
        <v>1294</v>
      </c>
      <c r="L611" t="s">
        <v>1294</v>
      </c>
      <c r="M611" t="s">
        <v>93</v>
      </c>
      <c r="N611" s="1">
        <v>306.17</v>
      </c>
      <c r="O611">
        <v>4</v>
      </c>
      <c r="P611" t="s">
        <v>48</v>
      </c>
      <c r="Q611">
        <v>3</v>
      </c>
      <c r="R611">
        <v>5</v>
      </c>
      <c r="S611">
        <v>1</v>
      </c>
      <c r="T611" t="s">
        <v>49</v>
      </c>
      <c r="U611" t="s">
        <v>37</v>
      </c>
      <c r="V611">
        <v>0</v>
      </c>
      <c r="W611">
        <v>6</v>
      </c>
      <c r="X611" t="s">
        <v>49</v>
      </c>
      <c r="Y611" t="s">
        <v>38</v>
      </c>
      <c r="Z611" t="s">
        <v>51</v>
      </c>
      <c r="AA611" s="2">
        <v>45320</v>
      </c>
      <c r="AB611" t="b">
        <v>0</v>
      </c>
      <c r="AC611" t="b">
        <v>1</v>
      </c>
      <c r="AD611" t="s">
        <v>52</v>
      </c>
      <c r="AE611" t="s">
        <v>67</v>
      </c>
      <c r="AF611">
        <v>8</v>
      </c>
    </row>
    <row r="612" spans="1:32" x14ac:dyDescent="0.25">
      <c r="A612" t="s">
        <v>1295</v>
      </c>
      <c r="B612">
        <v>610</v>
      </c>
      <c r="C612">
        <v>40</v>
      </c>
      <c r="D612" t="str">
        <f>IF(tbl_Original[[#This Row],[Gender2]]="Female","Female",IF(tbl_Original[[#This Row],[Gender2]]="Male","Male","Other"))</f>
        <v>Female</v>
      </c>
      <c r="E612" t="s">
        <v>29</v>
      </c>
      <c r="F612" t="s">
        <v>44</v>
      </c>
      <c r="G612" t="s">
        <v>69</v>
      </c>
      <c r="H612" t="s">
        <v>56</v>
      </c>
      <c r="I612" t="s">
        <v>44</v>
      </c>
      <c r="J612" t="str">
        <f>PROPER(TRIM(CLEAN(tbl_Original[[#This Row],[Column1]])))</f>
        <v>Tabonok</v>
      </c>
      <c r="K612" t="s">
        <v>1296</v>
      </c>
      <c r="L612" t="s">
        <v>1296</v>
      </c>
      <c r="M612" t="s">
        <v>117</v>
      </c>
      <c r="N612" s="1">
        <v>370.38</v>
      </c>
      <c r="O612">
        <v>11</v>
      </c>
      <c r="P612" t="s">
        <v>48</v>
      </c>
      <c r="Q612">
        <v>1</v>
      </c>
      <c r="R612">
        <v>2</v>
      </c>
      <c r="S612">
        <v>1</v>
      </c>
      <c r="T612" t="s">
        <v>36</v>
      </c>
      <c r="U612" t="s">
        <v>50</v>
      </c>
      <c r="V612">
        <v>1</v>
      </c>
      <c r="W612">
        <v>1</v>
      </c>
      <c r="X612" t="s">
        <v>44</v>
      </c>
      <c r="Y612" t="s">
        <v>79</v>
      </c>
      <c r="Z612" t="s">
        <v>66</v>
      </c>
      <c r="AA612" s="2">
        <v>45355</v>
      </c>
      <c r="AB612" t="b">
        <v>1</v>
      </c>
      <c r="AC612" t="b">
        <v>1</v>
      </c>
      <c r="AD612" t="s">
        <v>52</v>
      </c>
      <c r="AE612" t="s">
        <v>41</v>
      </c>
      <c r="AF612">
        <v>9</v>
      </c>
    </row>
    <row r="613" spans="1:32" x14ac:dyDescent="0.25">
      <c r="A613" t="s">
        <v>1297</v>
      </c>
      <c r="B613">
        <v>611</v>
      </c>
      <c r="C613">
        <v>50</v>
      </c>
      <c r="D613" t="str">
        <f>IF(tbl_Original[[#This Row],[Gender2]]="Female","Female",IF(tbl_Original[[#This Row],[Gender2]]="Male","Male","Other"))</f>
        <v>Male</v>
      </c>
      <c r="E613" t="s">
        <v>43</v>
      </c>
      <c r="F613" t="s">
        <v>30</v>
      </c>
      <c r="G613" t="s">
        <v>55</v>
      </c>
      <c r="H613" t="s">
        <v>32</v>
      </c>
      <c r="I613" t="s">
        <v>30</v>
      </c>
      <c r="J613" t="str">
        <f>PROPER(TRIM(CLEAN(tbl_Original[[#This Row],[Column1]])))</f>
        <v>Tirana</v>
      </c>
      <c r="K613" t="s">
        <v>1298</v>
      </c>
      <c r="L613" t="s">
        <v>1298</v>
      </c>
      <c r="M613" t="s">
        <v>135</v>
      </c>
      <c r="N613" s="1">
        <v>346.58</v>
      </c>
      <c r="O613">
        <v>6</v>
      </c>
      <c r="P613" t="s">
        <v>35</v>
      </c>
      <c r="Q613">
        <v>5</v>
      </c>
      <c r="R613">
        <v>1</v>
      </c>
      <c r="S613">
        <v>1</v>
      </c>
      <c r="T613" t="s">
        <v>44</v>
      </c>
      <c r="U613" t="s">
        <v>37</v>
      </c>
      <c r="V613">
        <v>0</v>
      </c>
      <c r="W613">
        <v>9</v>
      </c>
      <c r="X613" t="s">
        <v>59</v>
      </c>
      <c r="Y613" t="s">
        <v>38</v>
      </c>
      <c r="Z613" t="s">
        <v>66</v>
      </c>
      <c r="AA613" s="2">
        <v>45446</v>
      </c>
      <c r="AB613" t="b">
        <v>0</v>
      </c>
      <c r="AC613" t="b">
        <v>0</v>
      </c>
      <c r="AD613" t="s">
        <v>62</v>
      </c>
      <c r="AE613" t="s">
        <v>67</v>
      </c>
      <c r="AF613">
        <v>7</v>
      </c>
    </row>
    <row r="614" spans="1:32" x14ac:dyDescent="0.25">
      <c r="A614" t="s">
        <v>1299</v>
      </c>
      <c r="B614">
        <v>612</v>
      </c>
      <c r="C614">
        <v>24</v>
      </c>
      <c r="D614" t="str">
        <f>IF(tbl_Original[[#This Row],[Gender2]]="Female","Female",IF(tbl_Original[[#This Row],[Gender2]]="Male","Male","Other"))</f>
        <v>Male</v>
      </c>
      <c r="E614" t="s">
        <v>43</v>
      </c>
      <c r="F614" t="s">
        <v>30</v>
      </c>
      <c r="G614" t="s">
        <v>55</v>
      </c>
      <c r="H614" t="s">
        <v>45</v>
      </c>
      <c r="I614" t="s">
        <v>30</v>
      </c>
      <c r="J614" t="str">
        <f>PROPER(TRIM(CLEAN(tbl_Original[[#This Row],[Column1]])))</f>
        <v>Maralal</v>
      </c>
      <c r="K614" t="s">
        <v>1300</v>
      </c>
      <c r="L614" t="s">
        <v>1300</v>
      </c>
      <c r="M614" t="s">
        <v>120</v>
      </c>
      <c r="N614" s="1">
        <v>292.64</v>
      </c>
      <c r="O614">
        <v>5</v>
      </c>
      <c r="P614" t="s">
        <v>48</v>
      </c>
      <c r="Q614">
        <v>1</v>
      </c>
      <c r="R614">
        <v>1</v>
      </c>
      <c r="S614">
        <v>1</v>
      </c>
      <c r="T614" t="s">
        <v>36</v>
      </c>
      <c r="U614" t="s">
        <v>37</v>
      </c>
      <c r="V614">
        <v>2</v>
      </c>
      <c r="W614">
        <v>10</v>
      </c>
      <c r="X614" t="s">
        <v>49</v>
      </c>
      <c r="Y614" t="s">
        <v>38</v>
      </c>
      <c r="Z614" t="s">
        <v>39</v>
      </c>
      <c r="AA614" s="2">
        <v>45632</v>
      </c>
      <c r="AB614" t="b">
        <v>1</v>
      </c>
      <c r="AC614" t="b">
        <v>0</v>
      </c>
      <c r="AD614" t="s">
        <v>52</v>
      </c>
      <c r="AE614" t="s">
        <v>53</v>
      </c>
      <c r="AF614">
        <v>1</v>
      </c>
    </row>
    <row r="615" spans="1:32" x14ac:dyDescent="0.25">
      <c r="A615" t="s">
        <v>1301</v>
      </c>
      <c r="B615">
        <v>613</v>
      </c>
      <c r="C615">
        <v>30</v>
      </c>
      <c r="D615" t="str">
        <f>IF(tbl_Original[[#This Row],[Gender2]]="Female","Female",IF(tbl_Original[[#This Row],[Gender2]]="Male","Male","Other"))</f>
        <v>Female</v>
      </c>
      <c r="E615" t="s">
        <v>29</v>
      </c>
      <c r="F615" t="s">
        <v>30</v>
      </c>
      <c r="G615" t="s">
        <v>31</v>
      </c>
      <c r="H615" t="s">
        <v>32</v>
      </c>
      <c r="I615" t="s">
        <v>44</v>
      </c>
      <c r="J615" t="str">
        <f>PROPER(TRIM(CLEAN(tbl_Original[[#This Row],[Column1]])))</f>
        <v>Xinjiang</v>
      </c>
      <c r="K615" t="s">
        <v>1302</v>
      </c>
      <c r="L615" t="s">
        <v>1302</v>
      </c>
      <c r="M615" t="s">
        <v>194</v>
      </c>
      <c r="N615" s="1">
        <v>102.91</v>
      </c>
      <c r="O615">
        <v>12</v>
      </c>
      <c r="P615" t="s">
        <v>35</v>
      </c>
      <c r="Q615">
        <v>2</v>
      </c>
      <c r="R615">
        <v>1</v>
      </c>
      <c r="S615">
        <v>1</v>
      </c>
      <c r="T615" t="s">
        <v>49</v>
      </c>
      <c r="U615" t="s">
        <v>85</v>
      </c>
      <c r="V615">
        <v>1</v>
      </c>
      <c r="W615">
        <v>10</v>
      </c>
      <c r="X615" t="s">
        <v>36</v>
      </c>
      <c r="Y615" t="s">
        <v>79</v>
      </c>
      <c r="Z615" t="s">
        <v>51</v>
      </c>
      <c r="AA615" s="2">
        <v>45377</v>
      </c>
      <c r="AB615" t="b">
        <v>1</v>
      </c>
      <c r="AC615" t="b">
        <v>0</v>
      </c>
      <c r="AD615" t="s">
        <v>62</v>
      </c>
      <c r="AE615" t="s">
        <v>67</v>
      </c>
      <c r="AF615">
        <v>13</v>
      </c>
    </row>
    <row r="616" spans="1:32" x14ac:dyDescent="0.25">
      <c r="A616" t="s">
        <v>1303</v>
      </c>
      <c r="B616">
        <v>614</v>
      </c>
      <c r="C616">
        <v>32</v>
      </c>
      <c r="D616" t="str">
        <f>IF(tbl_Original[[#This Row],[Gender2]]="Female","Female",IF(tbl_Original[[#This Row],[Gender2]]="Male","Male","Other"))</f>
        <v>Female</v>
      </c>
      <c r="E616" t="s">
        <v>29</v>
      </c>
      <c r="F616" t="s">
        <v>44</v>
      </c>
      <c r="G616" t="s">
        <v>69</v>
      </c>
      <c r="H616" t="s">
        <v>32</v>
      </c>
      <c r="I616" t="s">
        <v>30</v>
      </c>
      <c r="J616" t="str">
        <f>PROPER(TRIM(CLEAN(tbl_Original[[#This Row],[Column1]])))</f>
        <v>Mocho</v>
      </c>
      <c r="K616" t="s">
        <v>1304</v>
      </c>
      <c r="L616" t="s">
        <v>1304</v>
      </c>
      <c r="M616" t="s">
        <v>65</v>
      </c>
      <c r="N616" s="1">
        <v>283.77999999999997</v>
      </c>
      <c r="O616">
        <v>4</v>
      </c>
      <c r="P616" t="s">
        <v>35</v>
      </c>
      <c r="Q616">
        <v>2</v>
      </c>
      <c r="R616">
        <v>4</v>
      </c>
      <c r="S616">
        <v>1.2</v>
      </c>
      <c r="T616" t="s">
        <v>36</v>
      </c>
      <c r="U616" t="s">
        <v>37</v>
      </c>
      <c r="V616">
        <v>0</v>
      </c>
      <c r="W616">
        <v>6</v>
      </c>
      <c r="X616" t="s">
        <v>36</v>
      </c>
      <c r="Y616" t="s">
        <v>60</v>
      </c>
      <c r="Z616" t="s">
        <v>61</v>
      </c>
      <c r="AA616" s="2">
        <v>45513</v>
      </c>
      <c r="AB616" t="b">
        <v>1</v>
      </c>
      <c r="AC616" t="b">
        <v>0</v>
      </c>
      <c r="AD616" t="s">
        <v>40</v>
      </c>
      <c r="AE616" t="s">
        <v>67</v>
      </c>
      <c r="AF616">
        <v>10</v>
      </c>
    </row>
    <row r="617" spans="1:32" x14ac:dyDescent="0.25">
      <c r="A617" t="s">
        <v>1305</v>
      </c>
      <c r="B617">
        <v>615</v>
      </c>
      <c r="C617">
        <v>48</v>
      </c>
      <c r="D617" t="str">
        <f>IF(tbl_Original[[#This Row],[Gender2]]="Female","Female",IF(tbl_Original[[#This Row],[Gender2]]="Male","Male","Other"))</f>
        <v>Female</v>
      </c>
      <c r="E617" t="s">
        <v>29</v>
      </c>
      <c r="F617" t="s">
        <v>44</v>
      </c>
      <c r="G617" t="s">
        <v>69</v>
      </c>
      <c r="H617" t="s">
        <v>45</v>
      </c>
      <c r="I617" t="s">
        <v>30</v>
      </c>
      <c r="J617" t="str">
        <f>PROPER(TRIM(CLEAN(tbl_Original[[#This Row],[Column1]])))</f>
        <v>Likhoy</v>
      </c>
      <c r="K617" t="s">
        <v>1306</v>
      </c>
      <c r="L617" t="s">
        <v>1306</v>
      </c>
      <c r="M617" t="s">
        <v>188</v>
      </c>
      <c r="N617" s="1">
        <v>51.44</v>
      </c>
      <c r="O617">
        <v>2</v>
      </c>
      <c r="P617" t="s">
        <v>48</v>
      </c>
      <c r="Q617">
        <v>1</v>
      </c>
      <c r="R617">
        <v>3</v>
      </c>
      <c r="S617">
        <v>2</v>
      </c>
      <c r="T617" t="s">
        <v>44</v>
      </c>
      <c r="U617" t="s">
        <v>50</v>
      </c>
      <c r="V617">
        <v>0</v>
      </c>
      <c r="W617">
        <v>1</v>
      </c>
      <c r="X617" t="s">
        <v>44</v>
      </c>
      <c r="Y617" t="s">
        <v>38</v>
      </c>
      <c r="Z617" t="s">
        <v>66</v>
      </c>
      <c r="AA617" s="2">
        <v>45429</v>
      </c>
      <c r="AB617" t="b">
        <v>1</v>
      </c>
      <c r="AC617" t="b">
        <v>0</v>
      </c>
      <c r="AD617" t="s">
        <v>74</v>
      </c>
      <c r="AE617" t="s">
        <v>41</v>
      </c>
      <c r="AF617">
        <v>5</v>
      </c>
    </row>
    <row r="618" spans="1:32" x14ac:dyDescent="0.25">
      <c r="A618" t="s">
        <v>1307</v>
      </c>
      <c r="B618">
        <v>616</v>
      </c>
      <c r="C618">
        <v>44</v>
      </c>
      <c r="D618" t="str">
        <f>IF(tbl_Original[[#This Row],[Gender2]]="Female","Female",IF(tbl_Original[[#This Row],[Gender2]]="Male","Male","Other"))</f>
        <v>Female</v>
      </c>
      <c r="E618" t="s">
        <v>29</v>
      </c>
      <c r="F618" t="s">
        <v>44</v>
      </c>
      <c r="G618" t="s">
        <v>31</v>
      </c>
      <c r="H618" t="s">
        <v>32</v>
      </c>
      <c r="I618" t="s">
        <v>44</v>
      </c>
      <c r="J618" t="str">
        <f>PROPER(TRIM(CLEAN(tbl_Original[[#This Row],[Column1]])))</f>
        <v>Mineiros</v>
      </c>
      <c r="K618" t="s">
        <v>1308</v>
      </c>
      <c r="L618" t="s">
        <v>1308</v>
      </c>
      <c r="M618" t="s">
        <v>98</v>
      </c>
      <c r="N618" s="1">
        <v>405.7</v>
      </c>
      <c r="O618">
        <v>12</v>
      </c>
      <c r="P618" t="s">
        <v>78</v>
      </c>
      <c r="Q618">
        <v>1</v>
      </c>
      <c r="R618">
        <v>3</v>
      </c>
      <c r="S618">
        <v>1</v>
      </c>
      <c r="T618" t="s">
        <v>59</v>
      </c>
      <c r="U618" t="s">
        <v>85</v>
      </c>
      <c r="V618">
        <v>2</v>
      </c>
      <c r="W618">
        <v>10</v>
      </c>
      <c r="X618" t="s">
        <v>59</v>
      </c>
      <c r="Y618" t="s">
        <v>38</v>
      </c>
      <c r="Z618" t="s">
        <v>39</v>
      </c>
      <c r="AA618" s="2">
        <v>45339</v>
      </c>
      <c r="AB618" t="b">
        <v>1</v>
      </c>
      <c r="AC618" t="b">
        <v>1</v>
      </c>
      <c r="AD618" t="s">
        <v>52</v>
      </c>
      <c r="AE618" t="s">
        <v>53</v>
      </c>
      <c r="AF618">
        <v>14</v>
      </c>
    </row>
    <row r="619" spans="1:32" x14ac:dyDescent="0.25">
      <c r="A619" t="s">
        <v>1309</v>
      </c>
      <c r="B619">
        <v>617</v>
      </c>
      <c r="C619">
        <v>19</v>
      </c>
      <c r="D619" t="str">
        <f>IF(tbl_Original[[#This Row],[Gender2]]="Female","Female",IF(tbl_Original[[#This Row],[Gender2]]="Male","Male","Other"))</f>
        <v>Female</v>
      </c>
      <c r="E619" t="s">
        <v>29</v>
      </c>
      <c r="F619" t="s">
        <v>44</v>
      </c>
      <c r="G619" t="s">
        <v>69</v>
      </c>
      <c r="H619" t="s">
        <v>56</v>
      </c>
      <c r="I619" t="s">
        <v>30</v>
      </c>
      <c r="J619" t="str">
        <f>PROPER(TRIM(CLEAN(tbl_Original[[#This Row],[Column1]])))</f>
        <v>Noisy-Le-Grand</v>
      </c>
      <c r="K619" t="s">
        <v>1310</v>
      </c>
      <c r="L619" t="s">
        <v>1310</v>
      </c>
      <c r="M619" t="s">
        <v>158</v>
      </c>
      <c r="N619" s="1">
        <v>311.74</v>
      </c>
      <c r="O619">
        <v>11</v>
      </c>
      <c r="P619" t="s">
        <v>35</v>
      </c>
      <c r="Q619">
        <v>1</v>
      </c>
      <c r="R619">
        <v>4</v>
      </c>
      <c r="S619">
        <v>2</v>
      </c>
      <c r="T619" t="s">
        <v>59</v>
      </c>
      <c r="U619" t="s">
        <v>37</v>
      </c>
      <c r="V619">
        <v>2</v>
      </c>
      <c r="W619">
        <v>10</v>
      </c>
      <c r="X619" t="s">
        <v>49</v>
      </c>
      <c r="Y619" t="s">
        <v>60</v>
      </c>
      <c r="Z619" t="s">
        <v>51</v>
      </c>
      <c r="AA619" s="2">
        <v>45308</v>
      </c>
      <c r="AB619" t="b">
        <v>1</v>
      </c>
      <c r="AC619" t="b">
        <v>0</v>
      </c>
      <c r="AD619" t="s">
        <v>62</v>
      </c>
      <c r="AE619" t="s">
        <v>67</v>
      </c>
      <c r="AF619">
        <v>11</v>
      </c>
    </row>
    <row r="620" spans="1:32" x14ac:dyDescent="0.25">
      <c r="A620" t="s">
        <v>1311</v>
      </c>
      <c r="B620">
        <v>618</v>
      </c>
      <c r="C620">
        <v>39</v>
      </c>
      <c r="D620" t="str">
        <f>IF(tbl_Original[[#This Row],[Gender2]]="Female","Female",IF(tbl_Original[[#This Row],[Gender2]]="Male","Male","Other"))</f>
        <v>Male</v>
      </c>
      <c r="E620" t="s">
        <v>43</v>
      </c>
      <c r="F620" t="s">
        <v>30</v>
      </c>
      <c r="G620" t="s">
        <v>69</v>
      </c>
      <c r="H620" t="s">
        <v>32</v>
      </c>
      <c r="I620" t="s">
        <v>44</v>
      </c>
      <c r="J620" t="str">
        <f>PROPER(TRIM(CLEAN(tbl_Original[[#This Row],[Column1]])))</f>
        <v>Taoyuan</v>
      </c>
      <c r="K620" t="s">
        <v>1312</v>
      </c>
      <c r="L620" t="s">
        <v>1312</v>
      </c>
      <c r="M620" t="s">
        <v>183</v>
      </c>
      <c r="N620" s="1">
        <v>293.43</v>
      </c>
      <c r="O620">
        <v>9</v>
      </c>
      <c r="P620" t="s">
        <v>48</v>
      </c>
      <c r="Q620">
        <v>4</v>
      </c>
      <c r="R620">
        <v>4</v>
      </c>
      <c r="S620">
        <v>1</v>
      </c>
      <c r="T620" t="s">
        <v>49</v>
      </c>
      <c r="U620" t="s">
        <v>85</v>
      </c>
      <c r="V620">
        <v>0</v>
      </c>
      <c r="W620">
        <v>5</v>
      </c>
      <c r="X620" t="s">
        <v>36</v>
      </c>
      <c r="Y620" t="s">
        <v>79</v>
      </c>
      <c r="Z620" t="s">
        <v>86</v>
      </c>
      <c r="AA620" s="2">
        <v>45478</v>
      </c>
      <c r="AB620" t="b">
        <v>0</v>
      </c>
      <c r="AC620" t="b">
        <v>1</v>
      </c>
      <c r="AD620" t="s">
        <v>40</v>
      </c>
      <c r="AE620" t="s">
        <v>53</v>
      </c>
      <c r="AF620">
        <v>7</v>
      </c>
    </row>
    <row r="621" spans="1:32" x14ac:dyDescent="0.25">
      <c r="A621" t="s">
        <v>1313</v>
      </c>
      <c r="B621">
        <v>619</v>
      </c>
      <c r="C621">
        <v>35</v>
      </c>
      <c r="D621" t="str">
        <f>IF(tbl_Original[[#This Row],[Gender2]]="Female","Female",IF(tbl_Original[[#This Row],[Gender2]]="Male","Male","Other"))</f>
        <v>Female</v>
      </c>
      <c r="E621" t="s">
        <v>29</v>
      </c>
      <c r="F621" t="s">
        <v>44</v>
      </c>
      <c r="G621" t="s">
        <v>55</v>
      </c>
      <c r="H621" t="s">
        <v>32</v>
      </c>
      <c r="I621" t="s">
        <v>30</v>
      </c>
      <c r="J621" t="str">
        <f>PROPER(TRIM(CLEAN(tbl_Original[[#This Row],[Column1]])))</f>
        <v>San Marcos De Coln</v>
      </c>
      <c r="K621" t="s">
        <v>2227</v>
      </c>
      <c r="L621" t="s">
        <v>1314</v>
      </c>
      <c r="M621" t="s">
        <v>123</v>
      </c>
      <c r="N621" s="1">
        <v>418.51</v>
      </c>
      <c r="O621">
        <v>6</v>
      </c>
      <c r="P621" t="s">
        <v>78</v>
      </c>
      <c r="Q621">
        <v>4</v>
      </c>
      <c r="R621">
        <v>4</v>
      </c>
      <c r="S621">
        <v>2</v>
      </c>
      <c r="T621" t="s">
        <v>59</v>
      </c>
      <c r="U621" t="s">
        <v>37</v>
      </c>
      <c r="V621">
        <v>2</v>
      </c>
      <c r="W621">
        <v>2</v>
      </c>
      <c r="X621" t="s">
        <v>44</v>
      </c>
      <c r="Y621" t="s">
        <v>79</v>
      </c>
      <c r="Z621" t="s">
        <v>39</v>
      </c>
      <c r="AA621" s="2">
        <v>45413</v>
      </c>
      <c r="AB621" t="b">
        <v>0</v>
      </c>
      <c r="AC621" t="b">
        <v>1</v>
      </c>
      <c r="AD621" t="s">
        <v>40</v>
      </c>
      <c r="AE621" t="s">
        <v>53</v>
      </c>
      <c r="AF621">
        <v>3</v>
      </c>
    </row>
    <row r="622" spans="1:32" x14ac:dyDescent="0.25">
      <c r="A622" t="s">
        <v>1315</v>
      </c>
      <c r="B622">
        <v>620</v>
      </c>
      <c r="C622">
        <v>39</v>
      </c>
      <c r="D622" t="str">
        <f>IF(tbl_Original[[#This Row],[Gender2]]="Female","Female",IF(tbl_Original[[#This Row],[Gender2]]="Male","Male","Other"))</f>
        <v>Male</v>
      </c>
      <c r="E622" t="s">
        <v>43</v>
      </c>
      <c r="F622" t="s">
        <v>30</v>
      </c>
      <c r="G622" t="s">
        <v>55</v>
      </c>
      <c r="H622" t="s">
        <v>56</v>
      </c>
      <c r="I622" t="s">
        <v>30</v>
      </c>
      <c r="J622" t="str">
        <f>PROPER(TRIM(CLEAN(tbl_Original[[#This Row],[Column1]])))</f>
        <v>Pokrovka</v>
      </c>
      <c r="K622" t="s">
        <v>1316</v>
      </c>
      <c r="L622" t="s">
        <v>1316</v>
      </c>
      <c r="M622" t="s">
        <v>104</v>
      </c>
      <c r="N622" s="1">
        <v>85.03</v>
      </c>
      <c r="O622">
        <v>9</v>
      </c>
      <c r="P622" t="s">
        <v>48</v>
      </c>
      <c r="Q622">
        <v>5</v>
      </c>
      <c r="R622">
        <v>4</v>
      </c>
      <c r="S622">
        <v>1</v>
      </c>
      <c r="T622" t="s">
        <v>49</v>
      </c>
      <c r="U622" t="s">
        <v>50</v>
      </c>
      <c r="V622">
        <v>0</v>
      </c>
      <c r="W622">
        <v>9</v>
      </c>
      <c r="X622" t="s">
        <v>44</v>
      </c>
      <c r="Y622" t="s">
        <v>60</v>
      </c>
      <c r="Z622" t="s">
        <v>39</v>
      </c>
      <c r="AA622" s="2">
        <v>45571</v>
      </c>
      <c r="AB622" t="b">
        <v>1</v>
      </c>
      <c r="AC622" t="b">
        <v>1</v>
      </c>
      <c r="AD622" t="s">
        <v>52</v>
      </c>
      <c r="AE622" t="s">
        <v>67</v>
      </c>
      <c r="AF622">
        <v>8</v>
      </c>
    </row>
    <row r="623" spans="1:32" x14ac:dyDescent="0.25">
      <c r="A623" t="s">
        <v>1317</v>
      </c>
      <c r="B623">
        <v>621</v>
      </c>
      <c r="C623">
        <v>31</v>
      </c>
      <c r="D623" t="str">
        <f>IF(tbl_Original[[#This Row],[Gender2]]="Female","Female",IF(tbl_Original[[#This Row],[Gender2]]="Male","Male","Other"))</f>
        <v>Male</v>
      </c>
      <c r="E623" t="s">
        <v>43</v>
      </c>
      <c r="F623" t="s">
        <v>30</v>
      </c>
      <c r="G623" t="s">
        <v>31</v>
      </c>
      <c r="H623" t="s">
        <v>56</v>
      </c>
      <c r="I623" t="s">
        <v>44</v>
      </c>
      <c r="J623" t="str">
        <f>PROPER(TRIM(CLEAN(tbl_Original[[#This Row],[Column1]])))</f>
        <v>Shuntian</v>
      </c>
      <c r="K623" t="s">
        <v>1318</v>
      </c>
      <c r="L623" t="s">
        <v>1318</v>
      </c>
      <c r="M623" t="s">
        <v>93</v>
      </c>
      <c r="N623" s="1">
        <v>164.94</v>
      </c>
      <c r="O623">
        <v>4</v>
      </c>
      <c r="P623" t="s">
        <v>48</v>
      </c>
      <c r="Q623">
        <v>4</v>
      </c>
      <c r="R623">
        <v>4</v>
      </c>
      <c r="S623">
        <v>2</v>
      </c>
      <c r="T623" t="s">
        <v>44</v>
      </c>
      <c r="U623" t="s">
        <v>37</v>
      </c>
      <c r="V623">
        <v>2</v>
      </c>
      <c r="W623">
        <v>2</v>
      </c>
      <c r="X623" t="s">
        <v>59</v>
      </c>
      <c r="Y623" t="s">
        <v>79</v>
      </c>
      <c r="Z623" t="s">
        <v>51</v>
      </c>
      <c r="AA623" s="2">
        <v>45491</v>
      </c>
      <c r="AB623" t="b">
        <v>1</v>
      </c>
      <c r="AC623" t="b">
        <v>1</v>
      </c>
      <c r="AD623" t="s">
        <v>52</v>
      </c>
      <c r="AE623" t="s">
        <v>67</v>
      </c>
      <c r="AF623">
        <v>6</v>
      </c>
    </row>
    <row r="624" spans="1:32" x14ac:dyDescent="0.25">
      <c r="A624" t="s">
        <v>1319</v>
      </c>
      <c r="B624">
        <v>622</v>
      </c>
      <c r="C624">
        <v>38</v>
      </c>
      <c r="D624" t="str">
        <f>IF(tbl_Original[[#This Row],[Gender2]]="Female","Female",IF(tbl_Original[[#This Row],[Gender2]]="Male","Male","Other"))</f>
        <v>Female</v>
      </c>
      <c r="E624" t="s">
        <v>29</v>
      </c>
      <c r="F624" t="s">
        <v>44</v>
      </c>
      <c r="G624" t="s">
        <v>69</v>
      </c>
      <c r="H624" t="s">
        <v>32</v>
      </c>
      <c r="I624" t="s">
        <v>30</v>
      </c>
      <c r="J624" t="str">
        <f>PROPER(TRIM(CLEAN(tbl_Original[[#This Row],[Column1]])))</f>
        <v>Jo Cmara</v>
      </c>
      <c r="K624" t="s">
        <v>2228</v>
      </c>
      <c r="L624" t="s">
        <v>1320</v>
      </c>
      <c r="M624" t="s">
        <v>158</v>
      </c>
      <c r="N624" s="1">
        <v>89.32</v>
      </c>
      <c r="O624">
        <v>11</v>
      </c>
      <c r="P624" t="s">
        <v>78</v>
      </c>
      <c r="Q624">
        <v>1</v>
      </c>
      <c r="R624">
        <v>1</v>
      </c>
      <c r="S624">
        <v>0.3</v>
      </c>
      <c r="T624" t="s">
        <v>59</v>
      </c>
      <c r="U624" t="s">
        <v>37</v>
      </c>
      <c r="V624">
        <v>1</v>
      </c>
      <c r="W624">
        <v>3</v>
      </c>
      <c r="X624" t="s">
        <v>44</v>
      </c>
      <c r="Y624" t="s">
        <v>79</v>
      </c>
      <c r="Z624" t="s">
        <v>66</v>
      </c>
      <c r="AA624" s="2">
        <v>45405</v>
      </c>
      <c r="AB624" t="b">
        <v>1</v>
      </c>
      <c r="AC624" t="b">
        <v>0</v>
      </c>
      <c r="AD624" t="s">
        <v>52</v>
      </c>
      <c r="AE624" t="s">
        <v>41</v>
      </c>
      <c r="AF624">
        <v>12</v>
      </c>
    </row>
    <row r="625" spans="1:32" x14ac:dyDescent="0.25">
      <c r="A625" t="s">
        <v>1321</v>
      </c>
      <c r="B625">
        <v>623</v>
      </c>
      <c r="C625">
        <v>33</v>
      </c>
      <c r="D625" t="str">
        <f>IF(tbl_Original[[#This Row],[Gender2]]="Female","Female",IF(tbl_Original[[#This Row],[Gender2]]="Male","Male","Other"))</f>
        <v>Male</v>
      </c>
      <c r="E625" t="s">
        <v>43</v>
      </c>
      <c r="F625" t="s">
        <v>30</v>
      </c>
      <c r="G625" t="s">
        <v>31</v>
      </c>
      <c r="H625" t="s">
        <v>45</v>
      </c>
      <c r="I625" t="s">
        <v>44</v>
      </c>
      <c r="J625" t="str">
        <f>PROPER(TRIM(CLEAN(tbl_Original[[#This Row],[Column1]])))</f>
        <v>Cunha</v>
      </c>
      <c r="K625" t="s">
        <v>1322</v>
      </c>
      <c r="L625" t="s">
        <v>1322</v>
      </c>
      <c r="M625" t="s">
        <v>183</v>
      </c>
      <c r="N625" s="1">
        <v>388.26</v>
      </c>
      <c r="O625">
        <v>2</v>
      </c>
      <c r="P625" t="s">
        <v>35</v>
      </c>
      <c r="Q625">
        <v>3</v>
      </c>
      <c r="R625">
        <v>1</v>
      </c>
      <c r="S625">
        <v>1</v>
      </c>
      <c r="T625" t="s">
        <v>44</v>
      </c>
      <c r="U625" t="s">
        <v>50</v>
      </c>
      <c r="V625">
        <v>0</v>
      </c>
      <c r="W625">
        <v>7</v>
      </c>
      <c r="X625" t="s">
        <v>36</v>
      </c>
      <c r="Y625" t="s">
        <v>60</v>
      </c>
      <c r="Z625" t="s">
        <v>39</v>
      </c>
      <c r="AA625" s="2">
        <v>45384</v>
      </c>
      <c r="AB625" t="b">
        <v>0</v>
      </c>
      <c r="AC625" t="b">
        <v>0</v>
      </c>
      <c r="AD625" t="s">
        <v>74</v>
      </c>
      <c r="AE625" t="s">
        <v>41</v>
      </c>
      <c r="AF625">
        <v>5</v>
      </c>
    </row>
    <row r="626" spans="1:32" x14ac:dyDescent="0.25">
      <c r="A626" t="s">
        <v>1323</v>
      </c>
      <c r="B626">
        <v>624</v>
      </c>
      <c r="C626">
        <v>33</v>
      </c>
      <c r="D626" t="str">
        <f>IF(tbl_Original[[#This Row],[Gender2]]="Female","Female",IF(tbl_Original[[#This Row],[Gender2]]="Male","Male","Other"))</f>
        <v>Male</v>
      </c>
      <c r="E626" t="s">
        <v>43</v>
      </c>
      <c r="F626" t="s">
        <v>30</v>
      </c>
      <c r="G626" t="s">
        <v>76</v>
      </c>
      <c r="H626" t="s">
        <v>56</v>
      </c>
      <c r="I626" t="s">
        <v>30</v>
      </c>
      <c r="J626" t="str">
        <f>PROPER(TRIM(CLEAN(tbl_Original[[#This Row],[Column1]])))</f>
        <v>Fengyi</v>
      </c>
      <c r="K626" t="s">
        <v>1324</v>
      </c>
      <c r="L626" t="s">
        <v>1324</v>
      </c>
      <c r="M626" t="s">
        <v>246</v>
      </c>
      <c r="N626" s="1">
        <v>106.69</v>
      </c>
      <c r="O626">
        <v>5</v>
      </c>
      <c r="P626" t="s">
        <v>78</v>
      </c>
      <c r="Q626">
        <v>3</v>
      </c>
      <c r="R626">
        <v>4</v>
      </c>
      <c r="S626">
        <v>1.3</v>
      </c>
      <c r="T626" t="s">
        <v>49</v>
      </c>
      <c r="U626" t="s">
        <v>85</v>
      </c>
      <c r="V626">
        <v>2</v>
      </c>
      <c r="W626">
        <v>10</v>
      </c>
      <c r="X626" t="s">
        <v>36</v>
      </c>
      <c r="Y626" t="s">
        <v>79</v>
      </c>
      <c r="Z626" t="s">
        <v>51</v>
      </c>
      <c r="AA626" s="2">
        <v>45555</v>
      </c>
      <c r="AB626" t="b">
        <v>0</v>
      </c>
      <c r="AC626" t="b">
        <v>1</v>
      </c>
      <c r="AD626" t="s">
        <v>52</v>
      </c>
      <c r="AE626" t="s">
        <v>53</v>
      </c>
      <c r="AF626">
        <v>14</v>
      </c>
    </row>
    <row r="627" spans="1:32" x14ac:dyDescent="0.25">
      <c r="A627" t="s">
        <v>1325</v>
      </c>
      <c r="B627">
        <v>625</v>
      </c>
      <c r="C627">
        <v>42</v>
      </c>
      <c r="D627" t="str">
        <f>IF(tbl_Original[[#This Row],[Gender2]]="Female","Female",IF(tbl_Original[[#This Row],[Gender2]]="Male","Male","Other"))</f>
        <v>Other</v>
      </c>
      <c r="E627" t="s">
        <v>274</v>
      </c>
      <c r="F627" t="s">
        <v>30</v>
      </c>
      <c r="G627" t="s">
        <v>31</v>
      </c>
      <c r="H627" t="s">
        <v>32</v>
      </c>
      <c r="I627" t="s">
        <v>44</v>
      </c>
      <c r="J627" t="str">
        <f>PROPER(TRIM(CLEAN(tbl_Original[[#This Row],[Column1]])))</f>
        <v>Myshkin</v>
      </c>
      <c r="K627" t="s">
        <v>1326</v>
      </c>
      <c r="L627" t="s">
        <v>1326</v>
      </c>
      <c r="M627" t="s">
        <v>114</v>
      </c>
      <c r="N627" s="1">
        <v>301.16000000000003</v>
      </c>
      <c r="O627">
        <v>10</v>
      </c>
      <c r="P627" t="s">
        <v>78</v>
      </c>
      <c r="Q627">
        <v>4</v>
      </c>
      <c r="R627">
        <v>3</v>
      </c>
      <c r="S627">
        <v>2</v>
      </c>
      <c r="T627" t="s">
        <v>36</v>
      </c>
      <c r="U627" t="s">
        <v>85</v>
      </c>
      <c r="V627">
        <v>2</v>
      </c>
      <c r="W627">
        <v>9</v>
      </c>
      <c r="X627" t="s">
        <v>49</v>
      </c>
      <c r="Y627" t="s">
        <v>38</v>
      </c>
      <c r="Z627" t="s">
        <v>86</v>
      </c>
      <c r="AA627" s="2">
        <v>45499</v>
      </c>
      <c r="AB627" t="b">
        <v>0</v>
      </c>
      <c r="AC627" t="b">
        <v>0</v>
      </c>
      <c r="AD627" t="s">
        <v>40</v>
      </c>
      <c r="AE627" t="s">
        <v>53</v>
      </c>
      <c r="AF627">
        <v>1</v>
      </c>
    </row>
    <row r="628" spans="1:32" x14ac:dyDescent="0.25">
      <c r="A628" t="s">
        <v>1327</v>
      </c>
      <c r="B628">
        <v>626</v>
      </c>
      <c r="C628">
        <v>49</v>
      </c>
      <c r="D628" t="str">
        <f>IF(tbl_Original[[#This Row],[Gender2]]="Female","Female",IF(tbl_Original[[#This Row],[Gender2]]="Male","Male","Other"))</f>
        <v>Male</v>
      </c>
      <c r="E628" t="s">
        <v>43</v>
      </c>
      <c r="F628" t="s">
        <v>30</v>
      </c>
      <c r="G628" t="s">
        <v>76</v>
      </c>
      <c r="H628" t="s">
        <v>45</v>
      </c>
      <c r="I628" t="s">
        <v>44</v>
      </c>
      <c r="J628" t="str">
        <f>PROPER(TRIM(CLEAN(tbl_Original[[#This Row],[Column1]])))</f>
        <v>Tewulike</v>
      </c>
      <c r="K628" t="s">
        <v>1328</v>
      </c>
      <c r="L628" t="s">
        <v>1328</v>
      </c>
      <c r="M628" t="s">
        <v>107</v>
      </c>
      <c r="N628" s="1">
        <v>61.71</v>
      </c>
      <c r="O628">
        <v>6</v>
      </c>
      <c r="P628" t="s">
        <v>35</v>
      </c>
      <c r="Q628">
        <v>2</v>
      </c>
      <c r="R628">
        <v>5</v>
      </c>
      <c r="S628">
        <v>1</v>
      </c>
      <c r="T628" t="s">
        <v>59</v>
      </c>
      <c r="U628" t="s">
        <v>85</v>
      </c>
      <c r="V628">
        <v>2</v>
      </c>
      <c r="W628">
        <v>7</v>
      </c>
      <c r="X628" t="s">
        <v>59</v>
      </c>
      <c r="Y628" t="s">
        <v>38</v>
      </c>
      <c r="Z628" t="s">
        <v>86</v>
      </c>
      <c r="AA628" s="2">
        <v>45568</v>
      </c>
      <c r="AB628" t="b">
        <v>0</v>
      </c>
      <c r="AC628" t="b">
        <v>0</v>
      </c>
      <c r="AD628" t="s">
        <v>62</v>
      </c>
      <c r="AE628" t="s">
        <v>41</v>
      </c>
      <c r="AF628">
        <v>12</v>
      </c>
    </row>
    <row r="629" spans="1:32" x14ac:dyDescent="0.25">
      <c r="A629" t="s">
        <v>1329</v>
      </c>
      <c r="B629">
        <v>627</v>
      </c>
      <c r="C629">
        <v>46</v>
      </c>
      <c r="D629" t="str">
        <f>IF(tbl_Original[[#This Row],[Gender2]]="Female","Female",IF(tbl_Original[[#This Row],[Gender2]]="Male","Male","Other"))</f>
        <v>Other</v>
      </c>
      <c r="E629" t="s">
        <v>190</v>
      </c>
      <c r="F629" t="s">
        <v>30</v>
      </c>
      <c r="G629" t="s">
        <v>76</v>
      </c>
      <c r="H629" t="s">
        <v>45</v>
      </c>
      <c r="I629" t="s">
        <v>44</v>
      </c>
      <c r="J629" t="str">
        <f>PROPER(TRIM(CLEAN(tbl_Original[[#This Row],[Column1]])))</f>
        <v>Bistrinci</v>
      </c>
      <c r="K629" t="s">
        <v>1330</v>
      </c>
      <c r="L629" t="s">
        <v>1330</v>
      </c>
      <c r="M629" t="s">
        <v>90</v>
      </c>
      <c r="N629" s="1">
        <v>83.33</v>
      </c>
      <c r="O629">
        <v>11</v>
      </c>
      <c r="P629" t="s">
        <v>48</v>
      </c>
      <c r="Q629">
        <v>1</v>
      </c>
      <c r="R629">
        <v>5</v>
      </c>
      <c r="S629">
        <v>1</v>
      </c>
      <c r="T629" t="s">
        <v>49</v>
      </c>
      <c r="U629" t="s">
        <v>85</v>
      </c>
      <c r="V629">
        <v>1</v>
      </c>
      <c r="W629">
        <v>6</v>
      </c>
      <c r="X629" t="s">
        <v>59</v>
      </c>
      <c r="Y629" t="s">
        <v>79</v>
      </c>
      <c r="Z629" t="s">
        <v>61</v>
      </c>
      <c r="AA629" s="2">
        <v>45349</v>
      </c>
      <c r="AB629" t="b">
        <v>1</v>
      </c>
      <c r="AC629" t="b">
        <v>1</v>
      </c>
      <c r="AD629" t="s">
        <v>74</v>
      </c>
      <c r="AE629" t="s">
        <v>67</v>
      </c>
      <c r="AF629">
        <v>1</v>
      </c>
    </row>
    <row r="630" spans="1:32" x14ac:dyDescent="0.25">
      <c r="A630" t="s">
        <v>1331</v>
      </c>
      <c r="B630">
        <v>628</v>
      </c>
      <c r="C630">
        <v>42</v>
      </c>
      <c r="D630" t="str">
        <f>IF(tbl_Original[[#This Row],[Gender2]]="Female","Female",IF(tbl_Original[[#This Row],[Gender2]]="Male","Male","Other"))</f>
        <v>Male</v>
      </c>
      <c r="E630" t="s">
        <v>43</v>
      </c>
      <c r="F630" t="s">
        <v>44</v>
      </c>
      <c r="G630" t="s">
        <v>55</v>
      </c>
      <c r="H630" t="s">
        <v>32</v>
      </c>
      <c r="I630" t="s">
        <v>30</v>
      </c>
      <c r="J630" t="str">
        <f>PROPER(TRIM(CLEAN(tbl_Original[[#This Row],[Column1]])))</f>
        <v>Chenguang</v>
      </c>
      <c r="K630" t="s">
        <v>1332</v>
      </c>
      <c r="L630" t="s">
        <v>1332</v>
      </c>
      <c r="M630" t="s">
        <v>82</v>
      </c>
      <c r="N630" s="1">
        <v>411.81</v>
      </c>
      <c r="O630">
        <v>4</v>
      </c>
      <c r="P630" t="s">
        <v>35</v>
      </c>
      <c r="Q630">
        <v>1</v>
      </c>
      <c r="R630">
        <v>3</v>
      </c>
      <c r="S630">
        <v>1</v>
      </c>
      <c r="T630" t="s">
        <v>44</v>
      </c>
      <c r="U630" t="s">
        <v>37</v>
      </c>
      <c r="V630">
        <v>1</v>
      </c>
      <c r="W630">
        <v>1</v>
      </c>
      <c r="X630" t="s">
        <v>44</v>
      </c>
      <c r="Y630" t="s">
        <v>60</v>
      </c>
      <c r="Z630" t="s">
        <v>86</v>
      </c>
      <c r="AA630" s="2">
        <v>45390</v>
      </c>
      <c r="AB630" t="b">
        <v>1</v>
      </c>
      <c r="AC630" t="b">
        <v>1</v>
      </c>
      <c r="AD630" t="s">
        <v>74</v>
      </c>
      <c r="AE630" t="s">
        <v>53</v>
      </c>
      <c r="AF630">
        <v>1</v>
      </c>
    </row>
    <row r="631" spans="1:32" x14ac:dyDescent="0.25">
      <c r="A631" t="s">
        <v>1333</v>
      </c>
      <c r="B631">
        <v>629</v>
      </c>
      <c r="C631">
        <v>44</v>
      </c>
      <c r="D631" t="str">
        <f>IF(tbl_Original[[#This Row],[Gender2]]="Female","Female",IF(tbl_Original[[#This Row],[Gender2]]="Male","Male","Other"))</f>
        <v>Female</v>
      </c>
      <c r="E631" t="s">
        <v>29</v>
      </c>
      <c r="F631" t="s">
        <v>30</v>
      </c>
      <c r="G631" t="s">
        <v>31</v>
      </c>
      <c r="H631" t="s">
        <v>56</v>
      </c>
      <c r="I631" t="s">
        <v>44</v>
      </c>
      <c r="J631" t="str">
        <f>PROPER(TRIM(CLEAN(tbl_Original[[#This Row],[Column1]])))</f>
        <v>Muara</v>
      </c>
      <c r="K631" t="s">
        <v>1334</v>
      </c>
      <c r="L631" t="s">
        <v>1334</v>
      </c>
      <c r="M631" t="s">
        <v>98</v>
      </c>
      <c r="N631" s="1">
        <v>114.93</v>
      </c>
      <c r="O631">
        <v>3</v>
      </c>
      <c r="P631" t="s">
        <v>48</v>
      </c>
      <c r="Q631">
        <v>4</v>
      </c>
      <c r="R631">
        <v>3</v>
      </c>
      <c r="S631">
        <v>1</v>
      </c>
      <c r="T631" t="s">
        <v>44</v>
      </c>
      <c r="U631" t="s">
        <v>37</v>
      </c>
      <c r="V631">
        <v>0</v>
      </c>
      <c r="W631">
        <v>4</v>
      </c>
      <c r="X631" t="s">
        <v>36</v>
      </c>
      <c r="Y631" t="s">
        <v>79</v>
      </c>
      <c r="Z631" t="s">
        <v>66</v>
      </c>
      <c r="AA631" s="2">
        <v>45527</v>
      </c>
      <c r="AB631" t="b">
        <v>1</v>
      </c>
      <c r="AC631" t="b">
        <v>1</v>
      </c>
      <c r="AD631" t="s">
        <v>62</v>
      </c>
      <c r="AE631" t="s">
        <v>53</v>
      </c>
      <c r="AF631">
        <v>4</v>
      </c>
    </row>
    <row r="632" spans="1:32" x14ac:dyDescent="0.25">
      <c r="A632" t="s">
        <v>1335</v>
      </c>
      <c r="B632">
        <v>630</v>
      </c>
      <c r="C632">
        <v>33</v>
      </c>
      <c r="D632" t="str">
        <f>IF(tbl_Original[[#This Row],[Gender2]]="Female","Female",IF(tbl_Original[[#This Row],[Gender2]]="Male","Male","Other"))</f>
        <v>Female</v>
      </c>
      <c r="E632" t="s">
        <v>29</v>
      </c>
      <c r="F632" t="s">
        <v>44</v>
      </c>
      <c r="G632" t="s">
        <v>76</v>
      </c>
      <c r="H632" t="s">
        <v>56</v>
      </c>
      <c r="I632" t="s">
        <v>30</v>
      </c>
      <c r="J632" t="str">
        <f>PROPER(TRIM(CLEAN(tbl_Original[[#This Row],[Column1]])))</f>
        <v>Qorveh</v>
      </c>
      <c r="K632" t="s">
        <v>1336</v>
      </c>
      <c r="L632" t="s">
        <v>1336</v>
      </c>
      <c r="M632" t="s">
        <v>246</v>
      </c>
      <c r="N632" s="1">
        <v>438.42</v>
      </c>
      <c r="O632">
        <v>11</v>
      </c>
      <c r="P632" t="s">
        <v>78</v>
      </c>
      <c r="Q632">
        <v>3</v>
      </c>
      <c r="R632">
        <v>2</v>
      </c>
      <c r="S632">
        <v>2</v>
      </c>
      <c r="T632" t="s">
        <v>49</v>
      </c>
      <c r="U632" t="s">
        <v>85</v>
      </c>
      <c r="V632">
        <v>0</v>
      </c>
      <c r="W632">
        <v>4</v>
      </c>
      <c r="X632" t="s">
        <v>59</v>
      </c>
      <c r="Y632" t="s">
        <v>38</v>
      </c>
      <c r="Z632" t="s">
        <v>86</v>
      </c>
      <c r="AA632" s="2">
        <v>45545</v>
      </c>
      <c r="AB632" t="b">
        <v>1</v>
      </c>
      <c r="AC632" t="b">
        <v>0</v>
      </c>
      <c r="AD632" t="s">
        <v>74</v>
      </c>
      <c r="AE632" t="s">
        <v>67</v>
      </c>
      <c r="AF632">
        <v>4</v>
      </c>
    </row>
    <row r="633" spans="1:32" x14ac:dyDescent="0.25">
      <c r="A633" t="s">
        <v>1337</v>
      </c>
      <c r="B633">
        <v>631</v>
      </c>
      <c r="C633">
        <v>36</v>
      </c>
      <c r="D633" t="str">
        <f>IF(tbl_Original[[#This Row],[Gender2]]="Female","Female",IF(tbl_Original[[#This Row],[Gender2]]="Male","Male","Other"))</f>
        <v>Male</v>
      </c>
      <c r="E633" t="s">
        <v>43</v>
      </c>
      <c r="F633" t="s">
        <v>30</v>
      </c>
      <c r="G633" t="s">
        <v>69</v>
      </c>
      <c r="H633" t="s">
        <v>56</v>
      </c>
      <c r="I633" t="s">
        <v>30</v>
      </c>
      <c r="J633" t="str">
        <f>PROPER(TRIM(CLEAN(tbl_Original[[#This Row],[Column1]])))</f>
        <v>Bom Despacho</v>
      </c>
      <c r="K633" t="s">
        <v>1338</v>
      </c>
      <c r="L633" t="s">
        <v>1338</v>
      </c>
      <c r="M633" t="s">
        <v>98</v>
      </c>
      <c r="N633" s="1">
        <v>189.97</v>
      </c>
      <c r="O633">
        <v>2</v>
      </c>
      <c r="P633" t="s">
        <v>48</v>
      </c>
      <c r="Q633">
        <v>2</v>
      </c>
      <c r="R633">
        <v>3</v>
      </c>
      <c r="S633">
        <v>1</v>
      </c>
      <c r="T633" t="s">
        <v>44</v>
      </c>
      <c r="U633" t="s">
        <v>37</v>
      </c>
      <c r="V633">
        <v>0</v>
      </c>
      <c r="W633">
        <v>3</v>
      </c>
      <c r="X633" t="s">
        <v>49</v>
      </c>
      <c r="Y633" t="s">
        <v>60</v>
      </c>
      <c r="Z633" t="s">
        <v>39</v>
      </c>
      <c r="AA633" s="2">
        <v>45357</v>
      </c>
      <c r="AB633" t="b">
        <v>1</v>
      </c>
      <c r="AC633" t="b">
        <v>0</v>
      </c>
      <c r="AD633" t="s">
        <v>40</v>
      </c>
      <c r="AE633" t="s">
        <v>53</v>
      </c>
      <c r="AF633">
        <v>8</v>
      </c>
    </row>
    <row r="634" spans="1:32" x14ac:dyDescent="0.25">
      <c r="A634" t="s">
        <v>1339</v>
      </c>
      <c r="B634">
        <v>632</v>
      </c>
      <c r="C634">
        <v>35</v>
      </c>
      <c r="D634" t="str">
        <f>IF(tbl_Original[[#This Row],[Gender2]]="Female","Female",IF(tbl_Original[[#This Row],[Gender2]]="Male","Male","Other"))</f>
        <v>Male</v>
      </c>
      <c r="E634" t="s">
        <v>43</v>
      </c>
      <c r="F634" t="s">
        <v>44</v>
      </c>
      <c r="G634" t="s">
        <v>76</v>
      </c>
      <c r="H634" t="s">
        <v>56</v>
      </c>
      <c r="I634" t="s">
        <v>30</v>
      </c>
      <c r="J634" t="str">
        <f>PROPER(TRIM(CLEAN(tbl_Original[[#This Row],[Column1]])))</f>
        <v>Arhust</v>
      </c>
      <c r="K634" t="s">
        <v>1340</v>
      </c>
      <c r="L634" t="s">
        <v>1340</v>
      </c>
      <c r="M634" t="s">
        <v>142</v>
      </c>
      <c r="N634" s="1">
        <v>227.03</v>
      </c>
      <c r="O634">
        <v>12</v>
      </c>
      <c r="P634" t="s">
        <v>78</v>
      </c>
      <c r="Q634">
        <v>2</v>
      </c>
      <c r="R634">
        <v>2</v>
      </c>
      <c r="S634">
        <v>0</v>
      </c>
      <c r="T634" t="s">
        <v>44</v>
      </c>
      <c r="U634" t="s">
        <v>85</v>
      </c>
      <c r="V634">
        <v>2</v>
      </c>
      <c r="W634">
        <v>10</v>
      </c>
      <c r="X634" t="s">
        <v>59</v>
      </c>
      <c r="Y634" t="s">
        <v>79</v>
      </c>
      <c r="Z634" t="s">
        <v>51</v>
      </c>
      <c r="AA634" s="2">
        <v>45480</v>
      </c>
      <c r="AB634" t="b">
        <v>1</v>
      </c>
      <c r="AC634" t="b">
        <v>1</v>
      </c>
      <c r="AD634" t="s">
        <v>74</v>
      </c>
      <c r="AE634" t="s">
        <v>53</v>
      </c>
      <c r="AF634">
        <v>2</v>
      </c>
    </row>
    <row r="635" spans="1:32" x14ac:dyDescent="0.25">
      <c r="A635" t="s">
        <v>1341</v>
      </c>
      <c r="B635">
        <v>633</v>
      </c>
      <c r="C635">
        <v>26</v>
      </c>
      <c r="D635" t="str">
        <f>IF(tbl_Original[[#This Row],[Gender2]]="Female","Female",IF(tbl_Original[[#This Row],[Gender2]]="Male","Male","Other"))</f>
        <v>Male</v>
      </c>
      <c r="E635" t="s">
        <v>43</v>
      </c>
      <c r="F635" t="s">
        <v>44</v>
      </c>
      <c r="G635" t="s">
        <v>76</v>
      </c>
      <c r="H635" t="s">
        <v>32</v>
      </c>
      <c r="I635" t="s">
        <v>30</v>
      </c>
      <c r="J635" t="str">
        <f>PROPER(TRIM(CLEAN(tbl_Original[[#This Row],[Column1]])))</f>
        <v>Thaton</v>
      </c>
      <c r="K635" t="s">
        <v>1342</v>
      </c>
      <c r="L635" t="s">
        <v>1342</v>
      </c>
      <c r="M635" t="s">
        <v>65</v>
      </c>
      <c r="N635" s="1">
        <v>278.49</v>
      </c>
      <c r="O635">
        <v>4</v>
      </c>
      <c r="P635" t="s">
        <v>35</v>
      </c>
      <c r="Q635">
        <v>5</v>
      </c>
      <c r="R635">
        <v>5</v>
      </c>
      <c r="S635">
        <v>0</v>
      </c>
      <c r="T635" t="s">
        <v>59</v>
      </c>
      <c r="U635" t="s">
        <v>37</v>
      </c>
      <c r="V635">
        <v>1</v>
      </c>
      <c r="W635">
        <v>5</v>
      </c>
      <c r="X635" t="s">
        <v>59</v>
      </c>
      <c r="Y635" t="s">
        <v>60</v>
      </c>
      <c r="Z635" t="s">
        <v>39</v>
      </c>
      <c r="AA635" s="2">
        <v>45543</v>
      </c>
      <c r="AB635" t="b">
        <v>1</v>
      </c>
      <c r="AC635" t="b">
        <v>1</v>
      </c>
      <c r="AD635" t="s">
        <v>40</v>
      </c>
      <c r="AE635" t="s">
        <v>67</v>
      </c>
      <c r="AF635">
        <v>8</v>
      </c>
    </row>
    <row r="636" spans="1:32" x14ac:dyDescent="0.25">
      <c r="A636" t="s">
        <v>1343</v>
      </c>
      <c r="B636">
        <v>634</v>
      </c>
      <c r="C636">
        <v>43</v>
      </c>
      <c r="D636" t="str">
        <f>IF(tbl_Original[[#This Row],[Gender2]]="Female","Female",IF(tbl_Original[[#This Row],[Gender2]]="Male","Male","Other"))</f>
        <v>Female</v>
      </c>
      <c r="E636" t="s">
        <v>29</v>
      </c>
      <c r="F636" t="s">
        <v>44</v>
      </c>
      <c r="G636" t="s">
        <v>69</v>
      </c>
      <c r="H636" t="s">
        <v>32</v>
      </c>
      <c r="I636" t="s">
        <v>44</v>
      </c>
      <c r="J636" t="str">
        <f>PROPER(TRIM(CLEAN(tbl_Original[[#This Row],[Column1]])))</f>
        <v>Changbai</v>
      </c>
      <c r="K636" t="s">
        <v>1344</v>
      </c>
      <c r="L636" t="s">
        <v>1344</v>
      </c>
      <c r="M636" t="s">
        <v>101</v>
      </c>
      <c r="N636" s="1">
        <v>120.56</v>
      </c>
      <c r="O636">
        <v>5</v>
      </c>
      <c r="P636" t="s">
        <v>78</v>
      </c>
      <c r="Q636">
        <v>4</v>
      </c>
      <c r="R636">
        <v>3</v>
      </c>
      <c r="S636">
        <v>2</v>
      </c>
      <c r="T636" t="s">
        <v>36</v>
      </c>
      <c r="U636" t="s">
        <v>50</v>
      </c>
      <c r="V636">
        <v>2</v>
      </c>
      <c r="W636">
        <v>7</v>
      </c>
      <c r="X636" t="s">
        <v>59</v>
      </c>
      <c r="Y636" t="s">
        <v>38</v>
      </c>
      <c r="Z636" t="s">
        <v>61</v>
      </c>
      <c r="AA636" s="2">
        <v>45446</v>
      </c>
      <c r="AB636" t="b">
        <v>0</v>
      </c>
      <c r="AC636" t="b">
        <v>0</v>
      </c>
      <c r="AD636" t="s">
        <v>40</v>
      </c>
      <c r="AE636" t="s">
        <v>67</v>
      </c>
      <c r="AF636">
        <v>7</v>
      </c>
    </row>
    <row r="637" spans="1:32" x14ac:dyDescent="0.25">
      <c r="A637" t="s">
        <v>1345</v>
      </c>
      <c r="B637">
        <v>635</v>
      </c>
      <c r="C637">
        <v>25</v>
      </c>
      <c r="D637" t="str">
        <f>IF(tbl_Original[[#This Row],[Gender2]]="Female","Female",IF(tbl_Original[[#This Row],[Gender2]]="Male","Male","Other"))</f>
        <v>Male</v>
      </c>
      <c r="E637" t="s">
        <v>43</v>
      </c>
      <c r="F637" t="s">
        <v>44</v>
      </c>
      <c r="G637" t="s">
        <v>76</v>
      </c>
      <c r="H637" t="s">
        <v>32</v>
      </c>
      <c r="I637" t="s">
        <v>30</v>
      </c>
      <c r="J637" t="str">
        <f>PROPER(TRIM(CLEAN(tbl_Original[[#This Row],[Column1]])))</f>
        <v>Kragan</v>
      </c>
      <c r="K637" t="s">
        <v>1346</v>
      </c>
      <c r="L637" t="s">
        <v>1346</v>
      </c>
      <c r="M637" t="s">
        <v>34</v>
      </c>
      <c r="N637" s="1">
        <v>320.94</v>
      </c>
      <c r="O637">
        <v>11</v>
      </c>
      <c r="P637" t="s">
        <v>78</v>
      </c>
      <c r="Q637">
        <v>3</v>
      </c>
      <c r="R637">
        <v>3</v>
      </c>
      <c r="S637">
        <v>2</v>
      </c>
      <c r="T637" t="s">
        <v>44</v>
      </c>
      <c r="U637" t="s">
        <v>50</v>
      </c>
      <c r="V637">
        <v>2</v>
      </c>
      <c r="W637">
        <v>10</v>
      </c>
      <c r="X637" t="s">
        <v>36</v>
      </c>
      <c r="Y637" t="s">
        <v>60</v>
      </c>
      <c r="Z637" t="s">
        <v>86</v>
      </c>
      <c r="AA637" s="2">
        <v>45604</v>
      </c>
      <c r="AB637" t="b">
        <v>0</v>
      </c>
      <c r="AC637" t="b">
        <v>0</v>
      </c>
      <c r="AD637" t="s">
        <v>62</v>
      </c>
      <c r="AE637" t="s">
        <v>41</v>
      </c>
      <c r="AF637">
        <v>10</v>
      </c>
    </row>
    <row r="638" spans="1:32" x14ac:dyDescent="0.25">
      <c r="A638" t="s">
        <v>1347</v>
      </c>
      <c r="B638">
        <v>636</v>
      </c>
      <c r="C638">
        <v>37</v>
      </c>
      <c r="D638" t="str">
        <f>IF(tbl_Original[[#This Row],[Gender2]]="Female","Female",IF(tbl_Original[[#This Row],[Gender2]]="Male","Male","Other"))</f>
        <v>Female</v>
      </c>
      <c r="E638" t="s">
        <v>29</v>
      </c>
      <c r="F638" t="s">
        <v>44</v>
      </c>
      <c r="G638" t="s">
        <v>76</v>
      </c>
      <c r="H638" t="s">
        <v>56</v>
      </c>
      <c r="I638" t="s">
        <v>30</v>
      </c>
      <c r="J638" t="str">
        <f>PROPER(TRIM(CLEAN(tbl_Original[[#This Row],[Column1]])))</f>
        <v>Bida</v>
      </c>
      <c r="K638" t="s">
        <v>1348</v>
      </c>
      <c r="L638" t="s">
        <v>1348</v>
      </c>
      <c r="M638" t="s">
        <v>246</v>
      </c>
      <c r="N638" s="1">
        <v>217.72</v>
      </c>
      <c r="O638">
        <v>3</v>
      </c>
      <c r="P638" t="s">
        <v>48</v>
      </c>
      <c r="Q638">
        <v>4</v>
      </c>
      <c r="R638">
        <v>4</v>
      </c>
      <c r="S638">
        <v>2</v>
      </c>
      <c r="T638" t="s">
        <v>49</v>
      </c>
      <c r="U638" t="s">
        <v>50</v>
      </c>
      <c r="V638">
        <v>1</v>
      </c>
      <c r="W638">
        <v>4</v>
      </c>
      <c r="X638" t="s">
        <v>44</v>
      </c>
      <c r="Y638" t="s">
        <v>38</v>
      </c>
      <c r="Z638" t="s">
        <v>61</v>
      </c>
      <c r="AA638" s="2">
        <v>45581</v>
      </c>
      <c r="AB638" t="b">
        <v>0</v>
      </c>
      <c r="AC638" t="b">
        <v>1</v>
      </c>
      <c r="AD638" t="s">
        <v>52</v>
      </c>
      <c r="AE638" t="s">
        <v>41</v>
      </c>
      <c r="AF638">
        <v>14</v>
      </c>
    </row>
    <row r="639" spans="1:32" x14ac:dyDescent="0.25">
      <c r="A639" t="s">
        <v>1349</v>
      </c>
      <c r="B639">
        <v>637</v>
      </c>
      <c r="C639">
        <v>25</v>
      </c>
      <c r="D639" t="str">
        <f>IF(tbl_Original[[#This Row],[Gender2]]="Female","Female",IF(tbl_Original[[#This Row],[Gender2]]="Male","Male","Other"))</f>
        <v>Male</v>
      </c>
      <c r="E639" t="s">
        <v>43</v>
      </c>
      <c r="F639" t="s">
        <v>44</v>
      </c>
      <c r="G639" t="s">
        <v>69</v>
      </c>
      <c r="H639" t="s">
        <v>32</v>
      </c>
      <c r="I639" t="s">
        <v>30</v>
      </c>
      <c r="J639" t="str">
        <f>PROPER(TRIM(CLEAN(tbl_Original[[#This Row],[Column1]])))</f>
        <v>Pointe Michel</v>
      </c>
      <c r="K639" t="s">
        <v>1350</v>
      </c>
      <c r="L639" t="s">
        <v>1350</v>
      </c>
      <c r="M639" t="s">
        <v>65</v>
      </c>
      <c r="N639" s="1">
        <v>222.61</v>
      </c>
      <c r="O639">
        <v>3</v>
      </c>
      <c r="P639" t="s">
        <v>78</v>
      </c>
      <c r="Q639">
        <v>1</v>
      </c>
      <c r="R639">
        <v>2</v>
      </c>
      <c r="S639">
        <v>1</v>
      </c>
      <c r="T639" t="s">
        <v>49</v>
      </c>
      <c r="U639" t="s">
        <v>85</v>
      </c>
      <c r="V639">
        <v>1</v>
      </c>
      <c r="W639">
        <v>1</v>
      </c>
      <c r="X639" t="s">
        <v>36</v>
      </c>
      <c r="Y639" t="s">
        <v>79</v>
      </c>
      <c r="Z639" t="s">
        <v>51</v>
      </c>
      <c r="AA639" s="2">
        <v>45476</v>
      </c>
      <c r="AB639" t="b">
        <v>0</v>
      </c>
      <c r="AC639" t="b">
        <v>1</v>
      </c>
      <c r="AD639" t="s">
        <v>40</v>
      </c>
      <c r="AE639" t="s">
        <v>53</v>
      </c>
      <c r="AF639">
        <v>3</v>
      </c>
    </row>
    <row r="640" spans="1:32" x14ac:dyDescent="0.25">
      <c r="A640" t="s">
        <v>1351</v>
      </c>
      <c r="B640">
        <v>638</v>
      </c>
      <c r="C640">
        <v>40</v>
      </c>
      <c r="D640" t="str">
        <f>IF(tbl_Original[[#This Row],[Gender2]]="Female","Female",IF(tbl_Original[[#This Row],[Gender2]]="Male","Male","Other"))</f>
        <v>Female</v>
      </c>
      <c r="E640" t="s">
        <v>29</v>
      </c>
      <c r="F640" t="s">
        <v>30</v>
      </c>
      <c r="G640" t="s">
        <v>76</v>
      </c>
      <c r="H640" t="s">
        <v>45</v>
      </c>
      <c r="I640" t="s">
        <v>30</v>
      </c>
      <c r="J640" t="str">
        <f>PROPER(TRIM(CLEAN(tbl_Original[[#This Row],[Column1]])))</f>
        <v>Juyuan</v>
      </c>
      <c r="K640" t="s">
        <v>1352</v>
      </c>
      <c r="L640" t="s">
        <v>1352</v>
      </c>
      <c r="M640" t="s">
        <v>188</v>
      </c>
      <c r="N640" s="1">
        <v>102.73</v>
      </c>
      <c r="O640">
        <v>3</v>
      </c>
      <c r="P640" t="s">
        <v>35</v>
      </c>
      <c r="Q640">
        <v>4</v>
      </c>
      <c r="R640">
        <v>5</v>
      </c>
      <c r="S640">
        <v>0.3</v>
      </c>
      <c r="T640" t="s">
        <v>36</v>
      </c>
      <c r="U640" t="s">
        <v>50</v>
      </c>
      <c r="V640">
        <v>2</v>
      </c>
      <c r="W640">
        <v>5</v>
      </c>
      <c r="X640" t="s">
        <v>36</v>
      </c>
      <c r="Y640" t="s">
        <v>38</v>
      </c>
      <c r="Z640" t="s">
        <v>61</v>
      </c>
      <c r="AA640" s="2">
        <v>45491</v>
      </c>
      <c r="AB640" t="b">
        <v>0</v>
      </c>
      <c r="AC640" t="b">
        <v>0</v>
      </c>
      <c r="AD640" t="s">
        <v>52</v>
      </c>
      <c r="AE640" t="s">
        <v>67</v>
      </c>
      <c r="AF640">
        <v>14</v>
      </c>
    </row>
    <row r="641" spans="1:32" x14ac:dyDescent="0.25">
      <c r="A641" t="s">
        <v>1353</v>
      </c>
      <c r="B641">
        <v>639</v>
      </c>
      <c r="C641">
        <v>40</v>
      </c>
      <c r="D641" t="str">
        <f>IF(tbl_Original[[#This Row],[Gender2]]="Female","Female",IF(tbl_Original[[#This Row],[Gender2]]="Male","Male","Other"))</f>
        <v>Female</v>
      </c>
      <c r="E641" t="s">
        <v>29</v>
      </c>
      <c r="F641" t="s">
        <v>30</v>
      </c>
      <c r="G641" t="s">
        <v>31</v>
      </c>
      <c r="H641" t="s">
        <v>32</v>
      </c>
      <c r="I641" t="s">
        <v>44</v>
      </c>
      <c r="J641" t="str">
        <f>PROPER(TRIM(CLEAN(tbl_Original[[#This Row],[Column1]])))</f>
        <v>Sabugo</v>
      </c>
      <c r="K641" t="s">
        <v>1354</v>
      </c>
      <c r="L641" t="s">
        <v>1354</v>
      </c>
      <c r="M641" t="s">
        <v>90</v>
      </c>
      <c r="N641" s="1">
        <v>426.87</v>
      </c>
      <c r="O641">
        <v>2</v>
      </c>
      <c r="P641" t="s">
        <v>48</v>
      </c>
      <c r="Q641">
        <v>4</v>
      </c>
      <c r="R641">
        <v>2</v>
      </c>
      <c r="S641">
        <v>2</v>
      </c>
      <c r="T641" t="s">
        <v>36</v>
      </c>
      <c r="U641" t="s">
        <v>50</v>
      </c>
      <c r="V641">
        <v>0</v>
      </c>
      <c r="W641">
        <v>4</v>
      </c>
      <c r="X641" t="s">
        <v>49</v>
      </c>
      <c r="Y641" t="s">
        <v>60</v>
      </c>
      <c r="Z641" t="s">
        <v>61</v>
      </c>
      <c r="AA641" s="2">
        <v>45365</v>
      </c>
      <c r="AB641" t="b">
        <v>0</v>
      </c>
      <c r="AC641" t="b">
        <v>0</v>
      </c>
      <c r="AD641" t="s">
        <v>52</v>
      </c>
      <c r="AE641" t="s">
        <v>41</v>
      </c>
      <c r="AF641">
        <v>3</v>
      </c>
    </row>
    <row r="642" spans="1:32" x14ac:dyDescent="0.25">
      <c r="A642" t="s">
        <v>1355</v>
      </c>
      <c r="B642">
        <v>640</v>
      </c>
      <c r="C642">
        <v>20</v>
      </c>
      <c r="D642" t="str">
        <f>IF(tbl_Original[[#This Row],[Gender2]]="Female","Female",IF(tbl_Original[[#This Row],[Gender2]]="Male","Male","Other"))</f>
        <v>Female</v>
      </c>
      <c r="E642" t="s">
        <v>29</v>
      </c>
      <c r="F642" t="s">
        <v>30</v>
      </c>
      <c r="G642" t="s">
        <v>69</v>
      </c>
      <c r="H642" t="s">
        <v>45</v>
      </c>
      <c r="I642" t="s">
        <v>30</v>
      </c>
      <c r="J642" t="str">
        <f>PROPER(TRIM(CLEAN(tbl_Original[[#This Row],[Column1]])))</f>
        <v>Huangjin</v>
      </c>
      <c r="K642" t="s">
        <v>1356</v>
      </c>
      <c r="L642" t="s">
        <v>1356</v>
      </c>
      <c r="M642" t="s">
        <v>246</v>
      </c>
      <c r="N642" s="1">
        <v>473.28</v>
      </c>
      <c r="O642">
        <v>5</v>
      </c>
      <c r="P642" t="s">
        <v>78</v>
      </c>
      <c r="Q642">
        <v>5</v>
      </c>
      <c r="R642">
        <v>5</v>
      </c>
      <c r="S642">
        <v>1</v>
      </c>
      <c r="T642" t="s">
        <v>49</v>
      </c>
      <c r="U642" t="s">
        <v>85</v>
      </c>
      <c r="V642">
        <v>1</v>
      </c>
      <c r="W642">
        <v>9</v>
      </c>
      <c r="X642" t="s">
        <v>36</v>
      </c>
      <c r="Y642" t="s">
        <v>60</v>
      </c>
      <c r="Z642" t="s">
        <v>86</v>
      </c>
      <c r="AA642" s="2">
        <v>45635</v>
      </c>
      <c r="AB642" t="b">
        <v>0</v>
      </c>
      <c r="AC642" t="b">
        <v>0</v>
      </c>
      <c r="AD642" t="s">
        <v>40</v>
      </c>
      <c r="AE642" t="s">
        <v>53</v>
      </c>
      <c r="AF642">
        <v>13</v>
      </c>
    </row>
    <row r="643" spans="1:32" x14ac:dyDescent="0.25">
      <c r="A643" t="s">
        <v>1357</v>
      </c>
      <c r="B643">
        <v>641</v>
      </c>
      <c r="C643">
        <v>39</v>
      </c>
      <c r="D643" t="str">
        <f>IF(tbl_Original[[#This Row],[Gender2]]="Female","Female",IF(tbl_Original[[#This Row],[Gender2]]="Male","Male","Other"))</f>
        <v>Male</v>
      </c>
      <c r="E643" t="s">
        <v>43</v>
      </c>
      <c r="F643" t="s">
        <v>44</v>
      </c>
      <c r="G643" t="s">
        <v>69</v>
      </c>
      <c r="H643" t="s">
        <v>32</v>
      </c>
      <c r="I643" t="s">
        <v>44</v>
      </c>
      <c r="J643" t="str">
        <f>PROPER(TRIM(CLEAN(tbl_Original[[#This Row],[Column1]])))</f>
        <v>Huquan</v>
      </c>
      <c r="K643" t="s">
        <v>1358</v>
      </c>
      <c r="L643" t="s">
        <v>1358</v>
      </c>
      <c r="M643" t="s">
        <v>246</v>
      </c>
      <c r="N643" s="1">
        <v>446.03</v>
      </c>
      <c r="O643">
        <v>9</v>
      </c>
      <c r="P643" t="s">
        <v>48</v>
      </c>
      <c r="Q643">
        <v>2</v>
      </c>
      <c r="R643">
        <v>1</v>
      </c>
      <c r="S643">
        <v>2</v>
      </c>
      <c r="T643" t="s">
        <v>59</v>
      </c>
      <c r="U643" t="s">
        <v>37</v>
      </c>
      <c r="V643">
        <v>2</v>
      </c>
      <c r="W643">
        <v>7</v>
      </c>
      <c r="X643" t="s">
        <v>36</v>
      </c>
      <c r="Y643" t="s">
        <v>38</v>
      </c>
      <c r="Z643" t="s">
        <v>66</v>
      </c>
      <c r="AA643" s="2">
        <v>45469</v>
      </c>
      <c r="AB643" t="b">
        <v>1</v>
      </c>
      <c r="AC643" t="b">
        <v>1</v>
      </c>
      <c r="AD643" t="s">
        <v>40</v>
      </c>
      <c r="AE643" t="s">
        <v>67</v>
      </c>
      <c r="AF643">
        <v>12</v>
      </c>
    </row>
    <row r="644" spans="1:32" x14ac:dyDescent="0.25">
      <c r="A644" t="s">
        <v>1359</v>
      </c>
      <c r="B644">
        <v>642</v>
      </c>
      <c r="C644">
        <v>19</v>
      </c>
      <c r="D644" t="str">
        <f>IF(tbl_Original[[#This Row],[Gender2]]="Female","Female",IF(tbl_Original[[#This Row],[Gender2]]="Male","Male","Other"))</f>
        <v>Female</v>
      </c>
      <c r="E644" t="s">
        <v>29</v>
      </c>
      <c r="F644" t="s">
        <v>44</v>
      </c>
      <c r="G644" t="s">
        <v>55</v>
      </c>
      <c r="H644" t="s">
        <v>32</v>
      </c>
      <c r="I644" t="s">
        <v>44</v>
      </c>
      <c r="J644" t="str">
        <f>PROPER(TRIM(CLEAN(tbl_Original[[#This Row],[Column1]])))</f>
        <v>Xinqiao</v>
      </c>
      <c r="K644" t="s">
        <v>1360</v>
      </c>
      <c r="L644" t="s">
        <v>1360</v>
      </c>
      <c r="M644" t="s">
        <v>135</v>
      </c>
      <c r="N644" s="1">
        <v>287.95</v>
      </c>
      <c r="O644">
        <v>3</v>
      </c>
      <c r="P644" t="s">
        <v>35</v>
      </c>
      <c r="Q644">
        <v>2</v>
      </c>
      <c r="R644">
        <v>3</v>
      </c>
      <c r="S644">
        <v>2</v>
      </c>
      <c r="T644" t="s">
        <v>36</v>
      </c>
      <c r="U644" t="s">
        <v>85</v>
      </c>
      <c r="V644">
        <v>2</v>
      </c>
      <c r="W644">
        <v>7</v>
      </c>
      <c r="X644" t="s">
        <v>44</v>
      </c>
      <c r="Y644" t="s">
        <v>38</v>
      </c>
      <c r="Z644" t="s">
        <v>51</v>
      </c>
      <c r="AA644" s="2">
        <v>45608</v>
      </c>
      <c r="AB644" t="b">
        <v>1</v>
      </c>
      <c r="AC644" t="b">
        <v>1</v>
      </c>
      <c r="AD644" t="s">
        <v>74</v>
      </c>
      <c r="AE644" t="s">
        <v>53</v>
      </c>
      <c r="AF644">
        <v>11</v>
      </c>
    </row>
    <row r="645" spans="1:32" x14ac:dyDescent="0.25">
      <c r="A645" t="s">
        <v>1361</v>
      </c>
      <c r="B645">
        <v>643</v>
      </c>
      <c r="C645">
        <v>31</v>
      </c>
      <c r="D645" t="str">
        <f>IF(tbl_Original[[#This Row],[Gender2]]="Female","Female",IF(tbl_Original[[#This Row],[Gender2]]="Male","Male","Other"))</f>
        <v>Female</v>
      </c>
      <c r="E645" t="s">
        <v>29</v>
      </c>
      <c r="F645" t="s">
        <v>30</v>
      </c>
      <c r="G645" t="s">
        <v>69</v>
      </c>
      <c r="H645" t="s">
        <v>56</v>
      </c>
      <c r="I645" t="s">
        <v>44</v>
      </c>
      <c r="J645" t="str">
        <f>PROPER(TRIM(CLEAN(tbl_Original[[#This Row],[Column1]])))</f>
        <v>Trzemeszno</v>
      </c>
      <c r="K645" t="s">
        <v>1362</v>
      </c>
      <c r="L645" t="s">
        <v>1362</v>
      </c>
      <c r="M645" t="s">
        <v>98</v>
      </c>
      <c r="N645" s="1">
        <v>132.52000000000001</v>
      </c>
      <c r="O645">
        <v>6</v>
      </c>
      <c r="P645" t="s">
        <v>35</v>
      </c>
      <c r="Q645">
        <v>1</v>
      </c>
      <c r="R645">
        <v>2</v>
      </c>
      <c r="S645">
        <v>0</v>
      </c>
      <c r="T645" t="s">
        <v>49</v>
      </c>
      <c r="U645" t="s">
        <v>37</v>
      </c>
      <c r="V645">
        <v>2</v>
      </c>
      <c r="W645">
        <v>10</v>
      </c>
      <c r="X645" t="s">
        <v>59</v>
      </c>
      <c r="Y645" t="s">
        <v>60</v>
      </c>
      <c r="Z645" t="s">
        <v>61</v>
      </c>
      <c r="AA645" s="2">
        <v>45646</v>
      </c>
      <c r="AB645" t="b">
        <v>1</v>
      </c>
      <c r="AC645" t="b">
        <v>1</v>
      </c>
      <c r="AD645" t="s">
        <v>62</v>
      </c>
      <c r="AE645" t="s">
        <v>67</v>
      </c>
      <c r="AF645">
        <v>12</v>
      </c>
    </row>
    <row r="646" spans="1:32" x14ac:dyDescent="0.25">
      <c r="A646" t="s">
        <v>1363</v>
      </c>
      <c r="B646">
        <v>644</v>
      </c>
      <c r="C646">
        <v>36</v>
      </c>
      <c r="D646" t="str">
        <f>IF(tbl_Original[[#This Row],[Gender2]]="Female","Female",IF(tbl_Original[[#This Row],[Gender2]]="Male","Male","Other"))</f>
        <v>Female</v>
      </c>
      <c r="E646" t="s">
        <v>29</v>
      </c>
      <c r="F646" t="s">
        <v>30</v>
      </c>
      <c r="G646" t="s">
        <v>31</v>
      </c>
      <c r="H646" t="s">
        <v>32</v>
      </c>
      <c r="I646" t="s">
        <v>30</v>
      </c>
      <c r="J646" t="str">
        <f>PROPER(TRIM(CLEAN(tbl_Original[[#This Row],[Column1]])))</f>
        <v>Dashkawka</v>
      </c>
      <c r="K646" t="s">
        <v>1364</v>
      </c>
      <c r="L646" t="s">
        <v>1364</v>
      </c>
      <c r="M646" t="s">
        <v>90</v>
      </c>
      <c r="N646" s="1">
        <v>379.2</v>
      </c>
      <c r="O646">
        <v>7</v>
      </c>
      <c r="P646" t="s">
        <v>78</v>
      </c>
      <c r="Q646">
        <v>5</v>
      </c>
      <c r="R646">
        <v>1</v>
      </c>
      <c r="S646">
        <v>0</v>
      </c>
      <c r="T646" t="s">
        <v>49</v>
      </c>
      <c r="U646" t="s">
        <v>85</v>
      </c>
      <c r="V646">
        <v>2</v>
      </c>
      <c r="W646">
        <v>2</v>
      </c>
      <c r="X646" t="s">
        <v>44</v>
      </c>
      <c r="Y646" t="s">
        <v>60</v>
      </c>
      <c r="Z646" t="s">
        <v>61</v>
      </c>
      <c r="AA646" s="2">
        <v>45440</v>
      </c>
      <c r="AB646" t="b">
        <v>1</v>
      </c>
      <c r="AC646" t="b">
        <v>1</v>
      </c>
      <c r="AD646" t="s">
        <v>40</v>
      </c>
      <c r="AE646" t="s">
        <v>41</v>
      </c>
      <c r="AF646">
        <v>7</v>
      </c>
    </row>
    <row r="647" spans="1:32" x14ac:dyDescent="0.25">
      <c r="A647" t="s">
        <v>1365</v>
      </c>
      <c r="B647">
        <v>645</v>
      </c>
      <c r="C647">
        <v>31</v>
      </c>
      <c r="D647" t="str">
        <f>IF(tbl_Original[[#This Row],[Gender2]]="Female","Female",IF(tbl_Original[[#This Row],[Gender2]]="Male","Male","Other"))</f>
        <v>Other</v>
      </c>
      <c r="E647" t="s">
        <v>148</v>
      </c>
      <c r="F647" t="s">
        <v>30</v>
      </c>
      <c r="G647" t="s">
        <v>31</v>
      </c>
      <c r="H647" t="s">
        <v>45</v>
      </c>
      <c r="I647" t="s">
        <v>44</v>
      </c>
      <c r="J647" t="str">
        <f>PROPER(TRIM(CLEAN(tbl_Original[[#This Row],[Column1]])))</f>
        <v>Sakura</v>
      </c>
      <c r="K647" t="s">
        <v>1366</v>
      </c>
      <c r="L647" t="s">
        <v>1366</v>
      </c>
      <c r="M647" t="s">
        <v>158</v>
      </c>
      <c r="N647" s="1">
        <v>447.53</v>
      </c>
      <c r="O647">
        <v>4</v>
      </c>
      <c r="P647" t="s">
        <v>78</v>
      </c>
      <c r="Q647">
        <v>2</v>
      </c>
      <c r="R647">
        <v>1</v>
      </c>
      <c r="S647">
        <v>2</v>
      </c>
      <c r="T647" t="s">
        <v>44</v>
      </c>
      <c r="U647" t="s">
        <v>37</v>
      </c>
      <c r="V647">
        <v>1</v>
      </c>
      <c r="W647">
        <v>6</v>
      </c>
      <c r="X647" t="s">
        <v>36</v>
      </c>
      <c r="Y647" t="s">
        <v>60</v>
      </c>
      <c r="Z647" t="s">
        <v>51</v>
      </c>
      <c r="AA647" s="2">
        <v>45578</v>
      </c>
      <c r="AB647" t="b">
        <v>1</v>
      </c>
      <c r="AC647" t="b">
        <v>1</v>
      </c>
      <c r="AD647" t="s">
        <v>52</v>
      </c>
      <c r="AE647" t="s">
        <v>41</v>
      </c>
      <c r="AF647">
        <v>3</v>
      </c>
    </row>
    <row r="648" spans="1:32" x14ac:dyDescent="0.25">
      <c r="A648" t="s">
        <v>1367</v>
      </c>
      <c r="B648">
        <v>646</v>
      </c>
      <c r="C648">
        <v>45</v>
      </c>
      <c r="D648" t="str">
        <f>IF(tbl_Original[[#This Row],[Gender2]]="Female","Female",IF(tbl_Original[[#This Row],[Gender2]]="Male","Male","Other"))</f>
        <v>Female</v>
      </c>
      <c r="E648" t="s">
        <v>29</v>
      </c>
      <c r="F648" t="s">
        <v>44</v>
      </c>
      <c r="G648" t="s">
        <v>76</v>
      </c>
      <c r="H648" t="s">
        <v>32</v>
      </c>
      <c r="I648" t="s">
        <v>30</v>
      </c>
      <c r="J648" t="str">
        <f>PROPER(TRIM(CLEAN(tbl_Original[[#This Row],[Column1]])))</f>
        <v>Lianghu</v>
      </c>
      <c r="K648" t="s">
        <v>1368</v>
      </c>
      <c r="L648" t="s">
        <v>1368</v>
      </c>
      <c r="M648" t="s">
        <v>58</v>
      </c>
      <c r="N648" s="1">
        <v>138.44</v>
      </c>
      <c r="O648">
        <v>4</v>
      </c>
      <c r="P648" t="s">
        <v>35</v>
      </c>
      <c r="Q648">
        <v>5</v>
      </c>
      <c r="R648">
        <v>1</v>
      </c>
      <c r="S648">
        <v>1</v>
      </c>
      <c r="T648" t="s">
        <v>36</v>
      </c>
      <c r="U648" t="s">
        <v>85</v>
      </c>
      <c r="V648">
        <v>1</v>
      </c>
      <c r="W648">
        <v>2</v>
      </c>
      <c r="X648" t="s">
        <v>36</v>
      </c>
      <c r="Y648" t="s">
        <v>60</v>
      </c>
      <c r="Z648" t="s">
        <v>86</v>
      </c>
      <c r="AA648" s="2">
        <v>45344</v>
      </c>
      <c r="AB648" t="b">
        <v>0</v>
      </c>
      <c r="AC648" t="b">
        <v>1</v>
      </c>
      <c r="AD648" t="s">
        <v>52</v>
      </c>
      <c r="AE648" t="s">
        <v>67</v>
      </c>
      <c r="AF648">
        <v>1</v>
      </c>
    </row>
    <row r="649" spans="1:32" x14ac:dyDescent="0.25">
      <c r="A649" t="s">
        <v>1369</v>
      </c>
      <c r="B649">
        <v>647</v>
      </c>
      <c r="C649">
        <v>45</v>
      </c>
      <c r="D649" t="str">
        <f>IF(tbl_Original[[#This Row],[Gender2]]="Female","Female",IF(tbl_Original[[#This Row],[Gender2]]="Male","Male","Other"))</f>
        <v>Other</v>
      </c>
      <c r="E649" t="s">
        <v>274</v>
      </c>
      <c r="F649" t="s">
        <v>30</v>
      </c>
      <c r="G649" t="s">
        <v>55</v>
      </c>
      <c r="H649" t="s">
        <v>45</v>
      </c>
      <c r="I649" t="s">
        <v>30</v>
      </c>
      <c r="J649" t="str">
        <f>PROPER(TRIM(CLEAN(tbl_Original[[#This Row],[Column1]])))</f>
        <v>Karabash</v>
      </c>
      <c r="K649" t="s">
        <v>1370</v>
      </c>
      <c r="L649" t="s">
        <v>1370</v>
      </c>
      <c r="M649" t="s">
        <v>65</v>
      </c>
      <c r="N649" s="1">
        <v>440.62</v>
      </c>
      <c r="O649">
        <v>8</v>
      </c>
      <c r="P649" t="s">
        <v>35</v>
      </c>
      <c r="Q649">
        <v>2</v>
      </c>
      <c r="R649">
        <v>2</v>
      </c>
      <c r="S649">
        <v>2</v>
      </c>
      <c r="T649" t="s">
        <v>36</v>
      </c>
      <c r="U649" t="s">
        <v>85</v>
      </c>
      <c r="V649">
        <v>1</v>
      </c>
      <c r="W649">
        <v>3</v>
      </c>
      <c r="X649" t="s">
        <v>49</v>
      </c>
      <c r="Y649" t="s">
        <v>38</v>
      </c>
      <c r="Z649" t="s">
        <v>61</v>
      </c>
      <c r="AA649" s="2">
        <v>45323</v>
      </c>
      <c r="AB649" t="b">
        <v>1</v>
      </c>
      <c r="AC649" t="b">
        <v>1</v>
      </c>
      <c r="AD649" t="s">
        <v>40</v>
      </c>
      <c r="AE649" t="s">
        <v>67</v>
      </c>
      <c r="AF649">
        <v>6</v>
      </c>
    </row>
    <row r="650" spans="1:32" x14ac:dyDescent="0.25">
      <c r="A650" t="s">
        <v>1371</v>
      </c>
      <c r="B650">
        <v>648</v>
      </c>
      <c r="C650">
        <v>23</v>
      </c>
      <c r="D650" t="str">
        <f>IF(tbl_Original[[#This Row],[Gender2]]="Female","Female",IF(tbl_Original[[#This Row],[Gender2]]="Male","Male","Other"))</f>
        <v>Female</v>
      </c>
      <c r="E650" t="s">
        <v>29</v>
      </c>
      <c r="F650" t="s">
        <v>44</v>
      </c>
      <c r="G650" t="s">
        <v>76</v>
      </c>
      <c r="H650" t="s">
        <v>56</v>
      </c>
      <c r="I650" t="s">
        <v>44</v>
      </c>
      <c r="J650" t="str">
        <f>PROPER(TRIM(CLEAN(tbl_Original[[#This Row],[Column1]])))</f>
        <v>Maomiaoji</v>
      </c>
      <c r="K650" t="s">
        <v>1372</v>
      </c>
      <c r="L650" t="s">
        <v>1372</v>
      </c>
      <c r="M650" t="s">
        <v>90</v>
      </c>
      <c r="N650" s="1">
        <v>145.97999999999999</v>
      </c>
      <c r="O650">
        <v>4</v>
      </c>
      <c r="P650" t="s">
        <v>48</v>
      </c>
      <c r="Q650">
        <v>1</v>
      </c>
      <c r="R650">
        <v>2</v>
      </c>
      <c r="S650">
        <v>1</v>
      </c>
      <c r="T650" t="s">
        <v>59</v>
      </c>
      <c r="U650" t="s">
        <v>85</v>
      </c>
      <c r="V650">
        <v>2</v>
      </c>
      <c r="W650">
        <v>5</v>
      </c>
      <c r="X650" t="s">
        <v>44</v>
      </c>
      <c r="Y650" t="s">
        <v>79</v>
      </c>
      <c r="Z650" t="s">
        <v>66</v>
      </c>
      <c r="AA650" s="2">
        <v>45551</v>
      </c>
      <c r="AB650" t="b">
        <v>0</v>
      </c>
      <c r="AC650" t="b">
        <v>0</v>
      </c>
      <c r="AD650" t="s">
        <v>40</v>
      </c>
      <c r="AE650" t="s">
        <v>41</v>
      </c>
      <c r="AF650">
        <v>1</v>
      </c>
    </row>
    <row r="651" spans="1:32" x14ac:dyDescent="0.25">
      <c r="A651" t="s">
        <v>1373</v>
      </c>
      <c r="B651">
        <v>649</v>
      </c>
      <c r="C651">
        <v>28</v>
      </c>
      <c r="D651" t="str">
        <f>IF(tbl_Original[[#This Row],[Gender2]]="Female","Female",IF(tbl_Original[[#This Row],[Gender2]]="Male","Male","Other"))</f>
        <v>Male</v>
      </c>
      <c r="E651" t="s">
        <v>43</v>
      </c>
      <c r="F651" t="s">
        <v>30</v>
      </c>
      <c r="G651" t="s">
        <v>31</v>
      </c>
      <c r="H651" t="s">
        <v>45</v>
      </c>
      <c r="I651" t="s">
        <v>44</v>
      </c>
      <c r="J651" t="str">
        <f>PROPER(TRIM(CLEAN(tbl_Original[[#This Row],[Column1]])))</f>
        <v>Pingtian</v>
      </c>
      <c r="K651" t="s">
        <v>1374</v>
      </c>
      <c r="L651" t="s">
        <v>1374</v>
      </c>
      <c r="M651" t="s">
        <v>120</v>
      </c>
      <c r="N651" s="1">
        <v>405.66</v>
      </c>
      <c r="O651">
        <v>11</v>
      </c>
      <c r="P651" t="s">
        <v>78</v>
      </c>
      <c r="Q651">
        <v>5</v>
      </c>
      <c r="R651">
        <v>2</v>
      </c>
      <c r="S651">
        <v>1</v>
      </c>
      <c r="T651" t="s">
        <v>49</v>
      </c>
      <c r="U651" t="s">
        <v>37</v>
      </c>
      <c r="V651">
        <v>1</v>
      </c>
      <c r="W651">
        <v>3</v>
      </c>
      <c r="X651" t="s">
        <v>44</v>
      </c>
      <c r="Y651" t="s">
        <v>38</v>
      </c>
      <c r="Z651" t="s">
        <v>86</v>
      </c>
      <c r="AA651" s="2">
        <v>45409</v>
      </c>
      <c r="AB651" t="b">
        <v>1</v>
      </c>
      <c r="AC651" t="b">
        <v>0</v>
      </c>
      <c r="AD651" t="s">
        <v>62</v>
      </c>
      <c r="AE651" t="s">
        <v>67</v>
      </c>
      <c r="AF651">
        <v>11</v>
      </c>
    </row>
    <row r="652" spans="1:32" x14ac:dyDescent="0.25">
      <c r="A652" t="s">
        <v>1375</v>
      </c>
      <c r="B652">
        <v>650</v>
      </c>
      <c r="C652">
        <v>26</v>
      </c>
      <c r="D652" t="str">
        <f>IF(tbl_Original[[#This Row],[Gender2]]="Female","Female",IF(tbl_Original[[#This Row],[Gender2]]="Male","Male","Other"))</f>
        <v>Female</v>
      </c>
      <c r="E652" t="s">
        <v>29</v>
      </c>
      <c r="F652" t="s">
        <v>44</v>
      </c>
      <c r="G652" t="s">
        <v>55</v>
      </c>
      <c r="H652" t="s">
        <v>45</v>
      </c>
      <c r="I652" t="s">
        <v>30</v>
      </c>
      <c r="J652" t="str">
        <f>PROPER(TRIM(CLEAN(tbl_Original[[#This Row],[Column1]])))</f>
        <v>Tina</v>
      </c>
      <c r="K652" t="s">
        <v>2229</v>
      </c>
      <c r="L652" t="s">
        <v>1376</v>
      </c>
      <c r="M652" t="s">
        <v>183</v>
      </c>
      <c r="N652" s="1">
        <v>419.98</v>
      </c>
      <c r="O652">
        <v>7</v>
      </c>
      <c r="P652" t="s">
        <v>48</v>
      </c>
      <c r="Q652">
        <v>4</v>
      </c>
      <c r="R652">
        <v>4</v>
      </c>
      <c r="S652">
        <v>0</v>
      </c>
      <c r="T652" t="s">
        <v>36</v>
      </c>
      <c r="U652" t="s">
        <v>85</v>
      </c>
      <c r="V652">
        <v>0</v>
      </c>
      <c r="W652">
        <v>10</v>
      </c>
      <c r="X652" t="s">
        <v>49</v>
      </c>
      <c r="Y652" t="s">
        <v>79</v>
      </c>
      <c r="Z652" t="s">
        <v>51</v>
      </c>
      <c r="AA652" s="2">
        <v>45410</v>
      </c>
      <c r="AB652" t="b">
        <v>1</v>
      </c>
      <c r="AC652" t="b">
        <v>1</v>
      </c>
      <c r="AD652" t="s">
        <v>62</v>
      </c>
      <c r="AE652" t="s">
        <v>41</v>
      </c>
      <c r="AF652">
        <v>14</v>
      </c>
    </row>
    <row r="653" spans="1:32" x14ac:dyDescent="0.25">
      <c r="A653" t="s">
        <v>1377</v>
      </c>
      <c r="B653">
        <v>651</v>
      </c>
      <c r="C653">
        <v>50</v>
      </c>
      <c r="D653" t="str">
        <f>IF(tbl_Original[[#This Row],[Gender2]]="Female","Female",IF(tbl_Original[[#This Row],[Gender2]]="Male","Male","Other"))</f>
        <v>Female</v>
      </c>
      <c r="E653" t="s">
        <v>29</v>
      </c>
      <c r="F653" t="s">
        <v>30</v>
      </c>
      <c r="G653" t="s">
        <v>76</v>
      </c>
      <c r="H653" t="s">
        <v>56</v>
      </c>
      <c r="I653" t="s">
        <v>44</v>
      </c>
      <c r="J653" t="str">
        <f>PROPER(TRIM(CLEAN(tbl_Original[[#This Row],[Column1]])))</f>
        <v>Montceau-Les-Mines</v>
      </c>
      <c r="K653" t="s">
        <v>1378</v>
      </c>
      <c r="L653" t="s">
        <v>1378</v>
      </c>
      <c r="M653" t="s">
        <v>135</v>
      </c>
      <c r="N653" s="1">
        <v>260.14</v>
      </c>
      <c r="O653">
        <v>5</v>
      </c>
      <c r="P653" t="s">
        <v>78</v>
      </c>
      <c r="Q653">
        <v>3</v>
      </c>
      <c r="R653">
        <v>2</v>
      </c>
      <c r="S653">
        <v>1</v>
      </c>
      <c r="T653" t="s">
        <v>36</v>
      </c>
      <c r="U653" t="s">
        <v>37</v>
      </c>
      <c r="V653">
        <v>1</v>
      </c>
      <c r="W653">
        <v>7</v>
      </c>
      <c r="X653" t="s">
        <v>59</v>
      </c>
      <c r="Y653" t="s">
        <v>60</v>
      </c>
      <c r="Z653" t="s">
        <v>66</v>
      </c>
      <c r="AA653" s="2">
        <v>45536</v>
      </c>
      <c r="AB653" t="b">
        <v>1</v>
      </c>
      <c r="AC653" t="b">
        <v>1</v>
      </c>
      <c r="AD653" t="s">
        <v>40</v>
      </c>
      <c r="AE653" t="s">
        <v>53</v>
      </c>
      <c r="AF653">
        <v>7</v>
      </c>
    </row>
    <row r="654" spans="1:32" x14ac:dyDescent="0.25">
      <c r="A654" t="s">
        <v>1379</v>
      </c>
      <c r="B654">
        <v>652</v>
      </c>
      <c r="C654">
        <v>36</v>
      </c>
      <c r="D654" t="str">
        <f>IF(tbl_Original[[#This Row],[Gender2]]="Female","Female",IF(tbl_Original[[#This Row],[Gender2]]="Male","Male","Other"))</f>
        <v>Female</v>
      </c>
      <c r="E654" t="s">
        <v>29</v>
      </c>
      <c r="F654" t="s">
        <v>30</v>
      </c>
      <c r="G654" t="s">
        <v>69</v>
      </c>
      <c r="H654" t="s">
        <v>32</v>
      </c>
      <c r="I654" t="s">
        <v>44</v>
      </c>
      <c r="J654" t="str">
        <f>PROPER(TRIM(CLEAN(tbl_Original[[#This Row],[Column1]])))</f>
        <v>Karengan</v>
      </c>
      <c r="K654" t="s">
        <v>1380</v>
      </c>
      <c r="L654" t="s">
        <v>1380</v>
      </c>
      <c r="M654" t="s">
        <v>135</v>
      </c>
      <c r="N654" s="1">
        <v>368.91</v>
      </c>
      <c r="O654">
        <v>10</v>
      </c>
      <c r="P654" t="s">
        <v>48</v>
      </c>
      <c r="Q654">
        <v>1</v>
      </c>
      <c r="R654">
        <v>3</v>
      </c>
      <c r="S654">
        <v>2</v>
      </c>
      <c r="T654" t="s">
        <v>44</v>
      </c>
      <c r="U654" t="s">
        <v>50</v>
      </c>
      <c r="V654">
        <v>2</v>
      </c>
      <c r="W654">
        <v>10</v>
      </c>
      <c r="X654" t="s">
        <v>44</v>
      </c>
      <c r="Y654" t="s">
        <v>79</v>
      </c>
      <c r="Z654" t="s">
        <v>61</v>
      </c>
      <c r="AA654" s="2">
        <v>45372</v>
      </c>
      <c r="AB654" t="b">
        <v>0</v>
      </c>
      <c r="AC654" t="b">
        <v>0</v>
      </c>
      <c r="AD654" t="s">
        <v>40</v>
      </c>
      <c r="AE654" t="s">
        <v>41</v>
      </c>
      <c r="AF654">
        <v>7</v>
      </c>
    </row>
    <row r="655" spans="1:32" x14ac:dyDescent="0.25">
      <c r="A655" t="s">
        <v>1381</v>
      </c>
      <c r="B655">
        <v>653</v>
      </c>
      <c r="C655">
        <v>32</v>
      </c>
      <c r="D655" t="str">
        <f>IF(tbl_Original[[#This Row],[Gender2]]="Female","Female",IF(tbl_Original[[#This Row],[Gender2]]="Male","Male","Other"))</f>
        <v>Male</v>
      </c>
      <c r="E655" t="s">
        <v>43</v>
      </c>
      <c r="F655" t="s">
        <v>30</v>
      </c>
      <c r="G655" t="s">
        <v>69</v>
      </c>
      <c r="H655" t="s">
        <v>56</v>
      </c>
      <c r="I655" t="s">
        <v>30</v>
      </c>
      <c r="J655" t="str">
        <f>PROPER(TRIM(CLEAN(tbl_Original[[#This Row],[Column1]])))</f>
        <v>Sungai Raya</v>
      </c>
      <c r="K655" t="s">
        <v>1382</v>
      </c>
      <c r="L655" t="s">
        <v>1382</v>
      </c>
      <c r="M655" t="s">
        <v>65</v>
      </c>
      <c r="N655" s="1">
        <v>100.32</v>
      </c>
      <c r="O655">
        <v>2</v>
      </c>
      <c r="P655" t="s">
        <v>48</v>
      </c>
      <c r="Q655">
        <v>5</v>
      </c>
      <c r="R655">
        <v>1</v>
      </c>
      <c r="S655">
        <v>1</v>
      </c>
      <c r="T655" t="s">
        <v>59</v>
      </c>
      <c r="U655" t="s">
        <v>85</v>
      </c>
      <c r="V655">
        <v>0</v>
      </c>
      <c r="W655">
        <v>1</v>
      </c>
      <c r="X655" t="s">
        <v>49</v>
      </c>
      <c r="Y655" t="s">
        <v>38</v>
      </c>
      <c r="Z655" t="s">
        <v>39</v>
      </c>
      <c r="AA655" s="2">
        <v>45637</v>
      </c>
      <c r="AB655" t="b">
        <v>0</v>
      </c>
      <c r="AC655" t="b">
        <v>1</v>
      </c>
      <c r="AD655" t="s">
        <v>74</v>
      </c>
      <c r="AE655" t="s">
        <v>67</v>
      </c>
      <c r="AF655">
        <v>8</v>
      </c>
    </row>
    <row r="656" spans="1:32" x14ac:dyDescent="0.25">
      <c r="A656" t="s">
        <v>1383</v>
      </c>
      <c r="B656">
        <v>654</v>
      </c>
      <c r="C656">
        <v>34</v>
      </c>
      <c r="D656" t="str">
        <f>IF(tbl_Original[[#This Row],[Gender2]]="Female","Female",IF(tbl_Original[[#This Row],[Gender2]]="Male","Male","Other"))</f>
        <v>Male</v>
      </c>
      <c r="E656" t="s">
        <v>43</v>
      </c>
      <c r="F656" t="s">
        <v>44</v>
      </c>
      <c r="G656" t="s">
        <v>31</v>
      </c>
      <c r="H656" t="s">
        <v>56</v>
      </c>
      <c r="I656" t="s">
        <v>30</v>
      </c>
      <c r="J656" t="str">
        <f>PROPER(TRIM(CLEAN(tbl_Original[[#This Row],[Column1]])))</f>
        <v>Zwedru</v>
      </c>
      <c r="K656" t="s">
        <v>1384</v>
      </c>
      <c r="L656" t="s">
        <v>1384</v>
      </c>
      <c r="M656" t="s">
        <v>47</v>
      </c>
      <c r="N656" s="1">
        <v>107.82</v>
      </c>
      <c r="O656">
        <v>7</v>
      </c>
      <c r="P656" t="s">
        <v>35</v>
      </c>
      <c r="Q656">
        <v>5</v>
      </c>
      <c r="R656">
        <v>3</v>
      </c>
      <c r="S656">
        <v>2</v>
      </c>
      <c r="T656" t="s">
        <v>44</v>
      </c>
      <c r="U656" t="s">
        <v>85</v>
      </c>
      <c r="V656">
        <v>2</v>
      </c>
      <c r="W656">
        <v>10</v>
      </c>
      <c r="X656" t="s">
        <v>59</v>
      </c>
      <c r="Y656" t="s">
        <v>60</v>
      </c>
      <c r="Z656" t="s">
        <v>39</v>
      </c>
      <c r="AA656" s="2">
        <v>45630</v>
      </c>
      <c r="AB656" t="b">
        <v>0</v>
      </c>
      <c r="AC656" t="b">
        <v>1</v>
      </c>
      <c r="AD656" t="s">
        <v>52</v>
      </c>
      <c r="AE656" t="s">
        <v>41</v>
      </c>
      <c r="AF656">
        <v>2</v>
      </c>
    </row>
    <row r="657" spans="1:32" x14ac:dyDescent="0.25">
      <c r="A657" t="s">
        <v>1385</v>
      </c>
      <c r="B657">
        <v>655</v>
      </c>
      <c r="C657">
        <v>50</v>
      </c>
      <c r="D657" t="str">
        <f>IF(tbl_Original[[#This Row],[Gender2]]="Female","Female",IF(tbl_Original[[#This Row],[Gender2]]="Male","Male","Other"))</f>
        <v>Male</v>
      </c>
      <c r="E657" t="s">
        <v>43</v>
      </c>
      <c r="F657" t="s">
        <v>30</v>
      </c>
      <c r="G657" t="s">
        <v>31</v>
      </c>
      <c r="H657" t="s">
        <v>45</v>
      </c>
      <c r="I657" t="s">
        <v>30</v>
      </c>
      <c r="J657" t="str">
        <f>PROPER(TRIM(CLEAN(tbl_Original[[#This Row],[Column1]])))</f>
        <v>Ah</v>
      </c>
      <c r="K657" t="s">
        <v>2230</v>
      </c>
      <c r="L657" t="s">
        <v>1386</v>
      </c>
      <c r="M657" t="s">
        <v>123</v>
      </c>
      <c r="N657" s="1">
        <v>83.88</v>
      </c>
      <c r="O657">
        <v>11</v>
      </c>
      <c r="P657" t="s">
        <v>78</v>
      </c>
      <c r="Q657">
        <v>4</v>
      </c>
      <c r="R657">
        <v>2</v>
      </c>
      <c r="S657">
        <v>1</v>
      </c>
      <c r="T657" t="s">
        <v>49</v>
      </c>
      <c r="U657" t="s">
        <v>50</v>
      </c>
      <c r="V657">
        <v>0</v>
      </c>
      <c r="W657">
        <v>6</v>
      </c>
      <c r="X657" t="s">
        <v>59</v>
      </c>
      <c r="Y657" t="s">
        <v>79</v>
      </c>
      <c r="Z657" t="s">
        <v>66</v>
      </c>
      <c r="AA657" s="2">
        <v>45346</v>
      </c>
      <c r="AB657" t="b">
        <v>1</v>
      </c>
      <c r="AC657" t="b">
        <v>1</v>
      </c>
      <c r="AD657" t="s">
        <v>74</v>
      </c>
      <c r="AE657" t="s">
        <v>67</v>
      </c>
      <c r="AF657">
        <v>4</v>
      </c>
    </row>
    <row r="658" spans="1:32" x14ac:dyDescent="0.25">
      <c r="A658" t="s">
        <v>1387</v>
      </c>
      <c r="B658">
        <v>656</v>
      </c>
      <c r="C658">
        <v>24</v>
      </c>
      <c r="D658" t="str">
        <f>IF(tbl_Original[[#This Row],[Gender2]]="Female","Female",IF(tbl_Original[[#This Row],[Gender2]]="Male","Male","Other"))</f>
        <v>Female</v>
      </c>
      <c r="E658" t="s">
        <v>29</v>
      </c>
      <c r="F658" t="s">
        <v>30</v>
      </c>
      <c r="G658" t="s">
        <v>69</v>
      </c>
      <c r="H658" t="s">
        <v>32</v>
      </c>
      <c r="I658" t="s">
        <v>30</v>
      </c>
      <c r="J658" t="str">
        <f>PROPER(TRIM(CLEAN(tbl_Original[[#This Row],[Column1]])))</f>
        <v>Masaran</v>
      </c>
      <c r="K658" t="s">
        <v>1388</v>
      </c>
      <c r="L658" t="s">
        <v>1388</v>
      </c>
      <c r="M658" t="s">
        <v>194</v>
      </c>
      <c r="N658" s="1">
        <v>81.25</v>
      </c>
      <c r="O658">
        <v>9</v>
      </c>
      <c r="P658" t="s">
        <v>78</v>
      </c>
      <c r="Q658">
        <v>1</v>
      </c>
      <c r="R658">
        <v>2</v>
      </c>
      <c r="S658">
        <v>1</v>
      </c>
      <c r="T658" t="s">
        <v>59</v>
      </c>
      <c r="U658" t="s">
        <v>85</v>
      </c>
      <c r="V658">
        <v>2</v>
      </c>
      <c r="W658">
        <v>8</v>
      </c>
      <c r="X658" t="s">
        <v>49</v>
      </c>
      <c r="Y658" t="s">
        <v>79</v>
      </c>
      <c r="Z658" t="s">
        <v>86</v>
      </c>
      <c r="AA658" s="2">
        <v>45436</v>
      </c>
      <c r="AB658" t="b">
        <v>1</v>
      </c>
      <c r="AC658" t="b">
        <v>1</v>
      </c>
      <c r="AD658" t="s">
        <v>74</v>
      </c>
      <c r="AE658" t="s">
        <v>41</v>
      </c>
      <c r="AF658">
        <v>10</v>
      </c>
    </row>
    <row r="659" spans="1:32" x14ac:dyDescent="0.25">
      <c r="A659" t="s">
        <v>1389</v>
      </c>
      <c r="B659">
        <v>657</v>
      </c>
      <c r="C659">
        <v>49</v>
      </c>
      <c r="D659" t="str">
        <f>IF(tbl_Original[[#This Row],[Gender2]]="Female","Female",IF(tbl_Original[[#This Row],[Gender2]]="Male","Male","Other"))</f>
        <v>Male</v>
      </c>
      <c r="E659" t="s">
        <v>43</v>
      </c>
      <c r="F659" t="s">
        <v>30</v>
      </c>
      <c r="G659" t="s">
        <v>69</v>
      </c>
      <c r="H659" t="s">
        <v>56</v>
      </c>
      <c r="I659" t="s">
        <v>44</v>
      </c>
      <c r="J659" t="str">
        <f>PROPER(TRIM(CLEAN(tbl_Original[[#This Row],[Column1]])))</f>
        <v>Huangtang</v>
      </c>
      <c r="K659" t="s">
        <v>1390</v>
      </c>
      <c r="L659" t="s">
        <v>1390</v>
      </c>
      <c r="M659" t="s">
        <v>65</v>
      </c>
      <c r="N659" s="1">
        <v>125.8</v>
      </c>
      <c r="O659">
        <v>12</v>
      </c>
      <c r="P659" t="s">
        <v>48</v>
      </c>
      <c r="Q659">
        <v>4</v>
      </c>
      <c r="R659">
        <v>4</v>
      </c>
      <c r="S659">
        <v>2</v>
      </c>
      <c r="T659" t="s">
        <v>36</v>
      </c>
      <c r="U659" t="s">
        <v>37</v>
      </c>
      <c r="V659">
        <v>0</v>
      </c>
      <c r="W659">
        <v>8</v>
      </c>
      <c r="X659" t="s">
        <v>44</v>
      </c>
      <c r="Y659" t="s">
        <v>79</v>
      </c>
      <c r="Z659" t="s">
        <v>51</v>
      </c>
      <c r="AA659" s="2">
        <v>45430</v>
      </c>
      <c r="AB659" t="b">
        <v>0</v>
      </c>
      <c r="AC659" t="b">
        <v>1</v>
      </c>
      <c r="AD659" t="s">
        <v>74</v>
      </c>
      <c r="AE659" t="s">
        <v>41</v>
      </c>
      <c r="AF659">
        <v>1</v>
      </c>
    </row>
    <row r="660" spans="1:32" x14ac:dyDescent="0.25">
      <c r="A660" t="s">
        <v>1391</v>
      </c>
      <c r="B660">
        <v>658</v>
      </c>
      <c r="C660">
        <v>18</v>
      </c>
      <c r="D660" t="str">
        <f>IF(tbl_Original[[#This Row],[Gender2]]="Female","Female",IF(tbl_Original[[#This Row],[Gender2]]="Male","Male","Other"))</f>
        <v>Female</v>
      </c>
      <c r="E660" t="s">
        <v>29</v>
      </c>
      <c r="F660" t="s">
        <v>30</v>
      </c>
      <c r="G660" t="s">
        <v>55</v>
      </c>
      <c r="H660" t="s">
        <v>32</v>
      </c>
      <c r="I660" t="s">
        <v>30</v>
      </c>
      <c r="J660" t="str">
        <f>PROPER(TRIM(CLEAN(tbl_Original[[#This Row],[Column1]])))</f>
        <v>Skotari</v>
      </c>
      <c r="K660" t="s">
        <v>2231</v>
      </c>
      <c r="L660" t="s">
        <v>1392</v>
      </c>
      <c r="M660" t="s">
        <v>142</v>
      </c>
      <c r="N660" s="1">
        <v>197.9</v>
      </c>
      <c r="O660">
        <v>11</v>
      </c>
      <c r="P660" t="s">
        <v>35</v>
      </c>
      <c r="Q660">
        <v>2</v>
      </c>
      <c r="R660">
        <v>4</v>
      </c>
      <c r="S660">
        <v>2</v>
      </c>
      <c r="T660" t="s">
        <v>49</v>
      </c>
      <c r="U660" t="s">
        <v>50</v>
      </c>
      <c r="V660">
        <v>1</v>
      </c>
      <c r="W660">
        <v>4</v>
      </c>
      <c r="X660" t="s">
        <v>59</v>
      </c>
      <c r="Y660" t="s">
        <v>79</v>
      </c>
      <c r="Z660" t="s">
        <v>61</v>
      </c>
      <c r="AA660" s="2">
        <v>45384</v>
      </c>
      <c r="AB660" t="b">
        <v>1</v>
      </c>
      <c r="AC660" t="b">
        <v>1</v>
      </c>
      <c r="AD660" t="s">
        <v>52</v>
      </c>
      <c r="AE660" t="s">
        <v>53</v>
      </c>
      <c r="AF660">
        <v>5</v>
      </c>
    </row>
    <row r="661" spans="1:32" x14ac:dyDescent="0.25">
      <c r="A661" t="s">
        <v>1393</v>
      </c>
      <c r="B661">
        <v>659</v>
      </c>
      <c r="C661">
        <v>44</v>
      </c>
      <c r="D661" t="str">
        <f>IF(tbl_Original[[#This Row],[Gender2]]="Female","Female",IF(tbl_Original[[#This Row],[Gender2]]="Male","Male","Other"))</f>
        <v>Male</v>
      </c>
      <c r="E661" t="s">
        <v>43</v>
      </c>
      <c r="F661" t="s">
        <v>44</v>
      </c>
      <c r="G661" t="s">
        <v>76</v>
      </c>
      <c r="H661" t="s">
        <v>45</v>
      </c>
      <c r="I661" t="s">
        <v>30</v>
      </c>
      <c r="J661" t="str">
        <f>PROPER(TRIM(CLEAN(tbl_Original[[#This Row],[Column1]])))</f>
        <v>Jelat</v>
      </c>
      <c r="K661" t="s">
        <v>1394</v>
      </c>
      <c r="L661" t="s">
        <v>1394</v>
      </c>
      <c r="M661" t="s">
        <v>194</v>
      </c>
      <c r="N661" s="1">
        <v>299.08999999999997</v>
      </c>
      <c r="O661">
        <v>8</v>
      </c>
      <c r="P661" t="s">
        <v>48</v>
      </c>
      <c r="Q661">
        <v>1</v>
      </c>
      <c r="R661">
        <v>1</v>
      </c>
      <c r="S661">
        <v>2</v>
      </c>
      <c r="T661" t="s">
        <v>44</v>
      </c>
      <c r="U661" t="s">
        <v>85</v>
      </c>
      <c r="V661">
        <v>2</v>
      </c>
      <c r="W661">
        <v>7</v>
      </c>
      <c r="X661" t="s">
        <v>44</v>
      </c>
      <c r="Y661" t="s">
        <v>38</v>
      </c>
      <c r="Z661" t="s">
        <v>61</v>
      </c>
      <c r="AA661" s="2">
        <v>45467</v>
      </c>
      <c r="AB661" t="b">
        <v>0</v>
      </c>
      <c r="AC661" t="b">
        <v>0</v>
      </c>
      <c r="AD661" t="s">
        <v>62</v>
      </c>
      <c r="AE661" t="s">
        <v>53</v>
      </c>
      <c r="AF661">
        <v>14</v>
      </c>
    </row>
    <row r="662" spans="1:32" x14ac:dyDescent="0.25">
      <c r="A662" t="s">
        <v>1395</v>
      </c>
      <c r="B662">
        <v>660</v>
      </c>
      <c r="C662">
        <v>41</v>
      </c>
      <c r="D662" t="str">
        <f>IF(tbl_Original[[#This Row],[Gender2]]="Female","Female",IF(tbl_Original[[#This Row],[Gender2]]="Male","Male","Other"))</f>
        <v>Male</v>
      </c>
      <c r="E662" t="s">
        <v>43</v>
      </c>
      <c r="F662" t="s">
        <v>44</v>
      </c>
      <c r="G662" t="s">
        <v>31</v>
      </c>
      <c r="H662" t="s">
        <v>45</v>
      </c>
      <c r="I662" t="s">
        <v>30</v>
      </c>
      <c r="J662" t="str">
        <f>PROPER(TRIM(CLEAN(tbl_Original[[#This Row],[Column1]])))</f>
        <v>Doibang</v>
      </c>
      <c r="K662" t="s">
        <v>1396</v>
      </c>
      <c r="L662" t="s">
        <v>1396</v>
      </c>
      <c r="M662" t="s">
        <v>194</v>
      </c>
      <c r="N662" s="1">
        <v>79.3</v>
      </c>
      <c r="O662">
        <v>10</v>
      </c>
      <c r="P662" t="s">
        <v>78</v>
      </c>
      <c r="Q662">
        <v>3</v>
      </c>
      <c r="R662">
        <v>2</v>
      </c>
      <c r="S662">
        <v>1</v>
      </c>
      <c r="T662" t="s">
        <v>59</v>
      </c>
      <c r="U662" t="s">
        <v>37</v>
      </c>
      <c r="V662">
        <v>2</v>
      </c>
      <c r="W662">
        <v>4</v>
      </c>
      <c r="X662" t="s">
        <v>44</v>
      </c>
      <c r="Y662" t="s">
        <v>60</v>
      </c>
      <c r="Z662" t="s">
        <v>61</v>
      </c>
      <c r="AA662" s="2">
        <v>45538</v>
      </c>
      <c r="AB662" t="b">
        <v>0</v>
      </c>
      <c r="AC662" t="b">
        <v>0</v>
      </c>
      <c r="AD662" t="s">
        <v>74</v>
      </c>
      <c r="AE662" t="s">
        <v>41</v>
      </c>
      <c r="AF662">
        <v>2</v>
      </c>
    </row>
    <row r="663" spans="1:32" x14ac:dyDescent="0.25">
      <c r="A663" t="s">
        <v>1397</v>
      </c>
      <c r="B663">
        <v>661</v>
      </c>
      <c r="C663">
        <v>33</v>
      </c>
      <c r="D663" t="str">
        <f>IF(tbl_Original[[#This Row],[Gender2]]="Female","Female",IF(tbl_Original[[#This Row],[Gender2]]="Male","Male","Other"))</f>
        <v>Male</v>
      </c>
      <c r="E663" t="s">
        <v>43</v>
      </c>
      <c r="F663" t="s">
        <v>44</v>
      </c>
      <c r="G663" t="s">
        <v>76</v>
      </c>
      <c r="H663" t="s">
        <v>45</v>
      </c>
      <c r="I663" t="s">
        <v>44</v>
      </c>
      <c r="J663" t="str">
        <f>PROPER(TRIM(CLEAN(tbl_Original[[#This Row],[Column1]])))</f>
        <v>Kazimierz Dolny</v>
      </c>
      <c r="K663" t="s">
        <v>1398</v>
      </c>
      <c r="L663" t="s">
        <v>1398</v>
      </c>
      <c r="M663" t="s">
        <v>82</v>
      </c>
      <c r="N663" s="1">
        <v>55.73</v>
      </c>
      <c r="O663">
        <v>12</v>
      </c>
      <c r="P663" t="s">
        <v>48</v>
      </c>
      <c r="Q663">
        <v>4</v>
      </c>
      <c r="R663">
        <v>3</v>
      </c>
      <c r="S663">
        <v>0.3</v>
      </c>
      <c r="T663" t="s">
        <v>49</v>
      </c>
      <c r="U663" t="s">
        <v>50</v>
      </c>
      <c r="V663">
        <v>1</v>
      </c>
      <c r="W663">
        <v>3</v>
      </c>
      <c r="X663" t="s">
        <v>44</v>
      </c>
      <c r="Y663" t="s">
        <v>38</v>
      </c>
      <c r="Z663" t="s">
        <v>51</v>
      </c>
      <c r="AA663" s="2">
        <v>45431</v>
      </c>
      <c r="AB663" t="b">
        <v>0</v>
      </c>
      <c r="AC663" t="b">
        <v>1</v>
      </c>
      <c r="AD663" t="s">
        <v>40</v>
      </c>
      <c r="AE663" t="s">
        <v>67</v>
      </c>
      <c r="AF663">
        <v>3</v>
      </c>
    </row>
    <row r="664" spans="1:32" x14ac:dyDescent="0.25">
      <c r="A664" t="s">
        <v>1399</v>
      </c>
      <c r="B664">
        <v>662</v>
      </c>
      <c r="C664">
        <v>46</v>
      </c>
      <c r="D664" t="str">
        <f>IF(tbl_Original[[#This Row],[Gender2]]="Female","Female",IF(tbl_Original[[#This Row],[Gender2]]="Male","Male","Other"))</f>
        <v>Male</v>
      </c>
      <c r="E664" t="s">
        <v>43</v>
      </c>
      <c r="F664" t="s">
        <v>44</v>
      </c>
      <c r="G664" t="s">
        <v>55</v>
      </c>
      <c r="H664" t="s">
        <v>32</v>
      </c>
      <c r="I664" t="s">
        <v>44</v>
      </c>
      <c r="J664" t="str">
        <f>PROPER(TRIM(CLEAN(tbl_Original[[#This Row],[Column1]])))</f>
        <v>Margasari</v>
      </c>
      <c r="K664" t="s">
        <v>1400</v>
      </c>
      <c r="L664" t="s">
        <v>1400</v>
      </c>
      <c r="M664" t="s">
        <v>120</v>
      </c>
      <c r="N664" s="1">
        <v>256.44</v>
      </c>
      <c r="O664">
        <v>8</v>
      </c>
      <c r="P664" t="s">
        <v>48</v>
      </c>
      <c r="Q664">
        <v>4</v>
      </c>
      <c r="R664">
        <v>1</v>
      </c>
      <c r="S664">
        <v>2</v>
      </c>
      <c r="T664" t="s">
        <v>44</v>
      </c>
      <c r="U664" t="s">
        <v>37</v>
      </c>
      <c r="V664">
        <v>1</v>
      </c>
      <c r="W664">
        <v>6</v>
      </c>
      <c r="X664" t="s">
        <v>49</v>
      </c>
      <c r="Y664" t="s">
        <v>38</v>
      </c>
      <c r="Z664" t="s">
        <v>66</v>
      </c>
      <c r="AA664" s="2">
        <v>45508</v>
      </c>
      <c r="AB664" t="b">
        <v>0</v>
      </c>
      <c r="AC664" t="b">
        <v>0</v>
      </c>
      <c r="AD664" t="s">
        <v>52</v>
      </c>
      <c r="AE664" t="s">
        <v>67</v>
      </c>
      <c r="AF664">
        <v>3</v>
      </c>
    </row>
    <row r="665" spans="1:32" x14ac:dyDescent="0.25">
      <c r="A665" t="s">
        <v>1401</v>
      </c>
      <c r="B665">
        <v>663</v>
      </c>
      <c r="C665">
        <v>23</v>
      </c>
      <c r="D665" t="str">
        <f>IF(tbl_Original[[#This Row],[Gender2]]="Female","Female",IF(tbl_Original[[#This Row],[Gender2]]="Male","Male","Other"))</f>
        <v>Female</v>
      </c>
      <c r="E665" t="s">
        <v>29</v>
      </c>
      <c r="F665" t="s">
        <v>44</v>
      </c>
      <c r="G665" t="s">
        <v>31</v>
      </c>
      <c r="H665" t="s">
        <v>32</v>
      </c>
      <c r="I665" t="s">
        <v>44</v>
      </c>
      <c r="J665" t="str">
        <f>PROPER(TRIM(CLEAN(tbl_Original[[#This Row],[Column1]])))</f>
        <v>Gara</v>
      </c>
      <c r="K665" t="s">
        <v>2232</v>
      </c>
      <c r="L665" t="s">
        <v>1402</v>
      </c>
      <c r="M665" t="s">
        <v>126</v>
      </c>
      <c r="N665" s="1">
        <v>337.21</v>
      </c>
      <c r="O665">
        <v>12</v>
      </c>
      <c r="P665" t="s">
        <v>78</v>
      </c>
      <c r="Q665">
        <v>1</v>
      </c>
      <c r="R665">
        <v>5</v>
      </c>
      <c r="S665">
        <v>1</v>
      </c>
      <c r="T665" t="s">
        <v>59</v>
      </c>
      <c r="U665" t="s">
        <v>37</v>
      </c>
      <c r="V665">
        <v>0</v>
      </c>
      <c r="W665">
        <v>9</v>
      </c>
      <c r="X665" t="s">
        <v>36</v>
      </c>
      <c r="Y665" t="s">
        <v>60</v>
      </c>
      <c r="Z665" t="s">
        <v>61</v>
      </c>
      <c r="AA665" s="2">
        <v>45589</v>
      </c>
      <c r="AB665" t="b">
        <v>1</v>
      </c>
      <c r="AC665" t="b">
        <v>1</v>
      </c>
      <c r="AD665" t="s">
        <v>74</v>
      </c>
      <c r="AE665" t="s">
        <v>67</v>
      </c>
      <c r="AF665">
        <v>11</v>
      </c>
    </row>
    <row r="666" spans="1:32" x14ac:dyDescent="0.25">
      <c r="A666" t="s">
        <v>1403</v>
      </c>
      <c r="B666">
        <v>664</v>
      </c>
      <c r="C666">
        <v>35</v>
      </c>
      <c r="D666" t="str">
        <f>IF(tbl_Original[[#This Row],[Gender2]]="Female","Female",IF(tbl_Original[[#This Row],[Gender2]]="Male","Male","Other"))</f>
        <v>Female</v>
      </c>
      <c r="E666" t="s">
        <v>29</v>
      </c>
      <c r="F666" t="s">
        <v>44</v>
      </c>
      <c r="G666" t="s">
        <v>55</v>
      </c>
      <c r="H666" t="s">
        <v>56</v>
      </c>
      <c r="I666" t="s">
        <v>30</v>
      </c>
      <c r="J666" t="str">
        <f>PROPER(TRIM(CLEAN(tbl_Original[[#This Row],[Column1]])))</f>
        <v>Muff</v>
      </c>
      <c r="K666" t="s">
        <v>1404</v>
      </c>
      <c r="L666" t="s">
        <v>1404</v>
      </c>
      <c r="M666" t="s">
        <v>120</v>
      </c>
      <c r="N666" s="1">
        <v>494.97</v>
      </c>
      <c r="O666">
        <v>12</v>
      </c>
      <c r="P666" t="s">
        <v>48</v>
      </c>
      <c r="Q666">
        <v>5</v>
      </c>
      <c r="R666">
        <v>4</v>
      </c>
      <c r="S666">
        <v>2</v>
      </c>
      <c r="T666" t="s">
        <v>59</v>
      </c>
      <c r="U666" t="s">
        <v>50</v>
      </c>
      <c r="V666">
        <v>1</v>
      </c>
      <c r="W666">
        <v>5</v>
      </c>
      <c r="X666" t="s">
        <v>59</v>
      </c>
      <c r="Y666" t="s">
        <v>38</v>
      </c>
      <c r="Z666" t="s">
        <v>61</v>
      </c>
      <c r="AA666" s="2">
        <v>45520</v>
      </c>
      <c r="AB666" t="b">
        <v>0</v>
      </c>
      <c r="AC666" t="b">
        <v>0</v>
      </c>
      <c r="AD666" t="s">
        <v>74</v>
      </c>
      <c r="AE666" t="s">
        <v>41</v>
      </c>
      <c r="AF666">
        <v>7</v>
      </c>
    </row>
    <row r="667" spans="1:32" x14ac:dyDescent="0.25">
      <c r="A667" t="s">
        <v>1405</v>
      </c>
      <c r="B667">
        <v>665</v>
      </c>
      <c r="C667">
        <v>31</v>
      </c>
      <c r="D667" t="str">
        <f>IF(tbl_Original[[#This Row],[Gender2]]="Female","Female",IF(tbl_Original[[#This Row],[Gender2]]="Male","Male","Other"))</f>
        <v>Female</v>
      </c>
      <c r="E667" t="s">
        <v>29</v>
      </c>
      <c r="F667" t="s">
        <v>30</v>
      </c>
      <c r="G667" t="s">
        <v>69</v>
      </c>
      <c r="H667" t="s">
        <v>45</v>
      </c>
      <c r="I667" t="s">
        <v>44</v>
      </c>
      <c r="J667" t="str">
        <f>PROPER(TRIM(CLEAN(tbl_Original[[#This Row],[Column1]])))</f>
        <v>Kryva Hora</v>
      </c>
      <c r="K667" t="s">
        <v>1406</v>
      </c>
      <c r="L667" t="s">
        <v>1406</v>
      </c>
      <c r="M667" t="s">
        <v>135</v>
      </c>
      <c r="N667" s="1">
        <v>238.58</v>
      </c>
      <c r="O667">
        <v>6</v>
      </c>
      <c r="P667" t="s">
        <v>78</v>
      </c>
      <c r="Q667">
        <v>3</v>
      </c>
      <c r="R667">
        <v>2</v>
      </c>
      <c r="S667">
        <v>2</v>
      </c>
      <c r="T667" t="s">
        <v>49</v>
      </c>
      <c r="U667" t="s">
        <v>85</v>
      </c>
      <c r="V667">
        <v>2</v>
      </c>
      <c r="W667">
        <v>9</v>
      </c>
      <c r="X667" t="s">
        <v>49</v>
      </c>
      <c r="Y667" t="s">
        <v>38</v>
      </c>
      <c r="Z667" t="s">
        <v>51</v>
      </c>
      <c r="AA667" s="2">
        <v>45454</v>
      </c>
      <c r="AB667" t="b">
        <v>1</v>
      </c>
      <c r="AC667" t="b">
        <v>1</v>
      </c>
      <c r="AD667" t="s">
        <v>52</v>
      </c>
      <c r="AE667" t="s">
        <v>53</v>
      </c>
      <c r="AF667">
        <v>8</v>
      </c>
    </row>
    <row r="668" spans="1:32" x14ac:dyDescent="0.25">
      <c r="A668" t="s">
        <v>1407</v>
      </c>
      <c r="B668">
        <v>666</v>
      </c>
      <c r="C668">
        <v>20</v>
      </c>
      <c r="D668" t="str">
        <f>IF(tbl_Original[[#This Row],[Gender2]]="Female","Female",IF(tbl_Original[[#This Row],[Gender2]]="Male","Male","Other"))</f>
        <v>Female</v>
      </c>
      <c r="E668" t="s">
        <v>29</v>
      </c>
      <c r="F668" t="s">
        <v>44</v>
      </c>
      <c r="G668" t="s">
        <v>55</v>
      </c>
      <c r="H668" t="s">
        <v>32</v>
      </c>
      <c r="I668" t="s">
        <v>44</v>
      </c>
      <c r="J668" t="str">
        <f>PROPER(TRIM(CLEAN(tbl_Original[[#This Row],[Column1]])))</f>
        <v>Pyra</v>
      </c>
      <c r="K668" t="s">
        <v>1408</v>
      </c>
      <c r="L668" t="s">
        <v>1408</v>
      </c>
      <c r="M668" t="s">
        <v>90</v>
      </c>
      <c r="N668" s="1">
        <v>131.9</v>
      </c>
      <c r="O668">
        <v>8</v>
      </c>
      <c r="P668" t="s">
        <v>35</v>
      </c>
      <c r="Q668">
        <v>3</v>
      </c>
      <c r="R668">
        <v>5</v>
      </c>
      <c r="S668">
        <v>0</v>
      </c>
      <c r="T668" t="s">
        <v>36</v>
      </c>
      <c r="U668" t="s">
        <v>50</v>
      </c>
      <c r="V668">
        <v>2</v>
      </c>
      <c r="W668">
        <v>4</v>
      </c>
      <c r="X668" t="s">
        <v>49</v>
      </c>
      <c r="Y668" t="s">
        <v>38</v>
      </c>
      <c r="Z668" t="s">
        <v>39</v>
      </c>
      <c r="AA668" s="2">
        <v>45597</v>
      </c>
      <c r="AB668" t="b">
        <v>1</v>
      </c>
      <c r="AC668" t="b">
        <v>1</v>
      </c>
      <c r="AD668" t="s">
        <v>74</v>
      </c>
      <c r="AE668" t="s">
        <v>41</v>
      </c>
      <c r="AF668">
        <v>4</v>
      </c>
    </row>
    <row r="669" spans="1:32" x14ac:dyDescent="0.25">
      <c r="A669" t="s">
        <v>1409</v>
      </c>
      <c r="B669">
        <v>667</v>
      </c>
      <c r="C669">
        <v>49</v>
      </c>
      <c r="D669" t="str">
        <f>IF(tbl_Original[[#This Row],[Gender2]]="Female","Female",IF(tbl_Original[[#This Row],[Gender2]]="Male","Male","Other"))</f>
        <v>Female</v>
      </c>
      <c r="E669" t="s">
        <v>29</v>
      </c>
      <c r="F669" t="s">
        <v>30</v>
      </c>
      <c r="G669" t="s">
        <v>31</v>
      </c>
      <c r="H669" t="s">
        <v>32</v>
      </c>
      <c r="I669" t="s">
        <v>44</v>
      </c>
      <c r="J669" t="str">
        <f>PROPER(TRIM(CLEAN(tbl_Original[[#This Row],[Column1]])))</f>
        <v>General Lavalle</v>
      </c>
      <c r="K669" t="s">
        <v>1410</v>
      </c>
      <c r="L669" t="s">
        <v>1410</v>
      </c>
      <c r="M669" t="s">
        <v>47</v>
      </c>
      <c r="N669" s="1">
        <v>403.03</v>
      </c>
      <c r="O669">
        <v>12</v>
      </c>
      <c r="P669" t="s">
        <v>35</v>
      </c>
      <c r="Q669">
        <v>1</v>
      </c>
      <c r="R669">
        <v>5</v>
      </c>
      <c r="S669">
        <v>1</v>
      </c>
      <c r="T669" t="s">
        <v>49</v>
      </c>
      <c r="U669" t="s">
        <v>37</v>
      </c>
      <c r="V669">
        <v>0</v>
      </c>
      <c r="W669">
        <v>1</v>
      </c>
      <c r="X669" t="s">
        <v>44</v>
      </c>
      <c r="Y669" t="s">
        <v>38</v>
      </c>
      <c r="Z669" t="s">
        <v>66</v>
      </c>
      <c r="AA669" s="2">
        <v>45526</v>
      </c>
      <c r="AB669" t="b">
        <v>1</v>
      </c>
      <c r="AC669" t="b">
        <v>1</v>
      </c>
      <c r="AD669" t="s">
        <v>52</v>
      </c>
      <c r="AE669" t="s">
        <v>53</v>
      </c>
      <c r="AF669">
        <v>2</v>
      </c>
    </row>
    <row r="670" spans="1:32" x14ac:dyDescent="0.25">
      <c r="A670" t="s">
        <v>1411</v>
      </c>
      <c r="B670">
        <v>668</v>
      </c>
      <c r="C670">
        <v>26</v>
      </c>
      <c r="D670" t="str">
        <f>IF(tbl_Original[[#This Row],[Gender2]]="Female","Female",IF(tbl_Original[[#This Row],[Gender2]]="Male","Male","Other"))</f>
        <v>Female</v>
      </c>
      <c r="E670" t="s">
        <v>29</v>
      </c>
      <c r="F670" t="s">
        <v>44</v>
      </c>
      <c r="G670" t="s">
        <v>69</v>
      </c>
      <c r="H670" t="s">
        <v>32</v>
      </c>
      <c r="I670" t="s">
        <v>44</v>
      </c>
      <c r="J670" t="str">
        <f>PROPER(TRIM(CLEAN(tbl_Original[[#This Row],[Column1]])))</f>
        <v>Zhongzhang</v>
      </c>
      <c r="K670" t="s">
        <v>1412</v>
      </c>
      <c r="L670" t="s">
        <v>1412</v>
      </c>
      <c r="M670" t="s">
        <v>142</v>
      </c>
      <c r="N670" s="1">
        <v>338.6</v>
      </c>
      <c r="O670">
        <v>10</v>
      </c>
      <c r="P670" t="s">
        <v>48</v>
      </c>
      <c r="Q670">
        <v>1</v>
      </c>
      <c r="R670">
        <v>3</v>
      </c>
      <c r="S670">
        <v>2</v>
      </c>
      <c r="T670" t="s">
        <v>49</v>
      </c>
      <c r="U670" t="s">
        <v>37</v>
      </c>
      <c r="V670">
        <v>1</v>
      </c>
      <c r="W670">
        <v>3</v>
      </c>
      <c r="X670" t="s">
        <v>49</v>
      </c>
      <c r="Y670" t="s">
        <v>79</v>
      </c>
      <c r="Z670" t="s">
        <v>66</v>
      </c>
      <c r="AA670" s="2">
        <v>45528</v>
      </c>
      <c r="AB670" t="b">
        <v>0</v>
      </c>
      <c r="AC670" t="b">
        <v>0</v>
      </c>
      <c r="AD670" t="s">
        <v>74</v>
      </c>
      <c r="AE670" t="s">
        <v>41</v>
      </c>
      <c r="AF670">
        <v>9</v>
      </c>
    </row>
    <row r="671" spans="1:32" x14ac:dyDescent="0.25">
      <c r="A671" t="s">
        <v>1413</v>
      </c>
      <c r="B671">
        <v>669</v>
      </c>
      <c r="C671">
        <v>36</v>
      </c>
      <c r="D671" t="str">
        <f>IF(tbl_Original[[#This Row],[Gender2]]="Female","Female",IF(tbl_Original[[#This Row],[Gender2]]="Male","Male","Other"))</f>
        <v>Male</v>
      </c>
      <c r="E671" t="s">
        <v>43</v>
      </c>
      <c r="F671" t="s">
        <v>30</v>
      </c>
      <c r="G671" t="s">
        <v>69</v>
      </c>
      <c r="H671" t="s">
        <v>45</v>
      </c>
      <c r="I671" t="s">
        <v>44</v>
      </c>
      <c r="J671" t="str">
        <f>PROPER(TRIM(CLEAN(tbl_Original[[#This Row],[Column1]])))</f>
        <v>Estacion</v>
      </c>
      <c r="K671" t="s">
        <v>1414</v>
      </c>
      <c r="L671" t="s">
        <v>1414</v>
      </c>
      <c r="M671" t="s">
        <v>71</v>
      </c>
      <c r="N671" s="1">
        <v>365.38</v>
      </c>
      <c r="O671">
        <v>11</v>
      </c>
      <c r="P671" t="s">
        <v>78</v>
      </c>
      <c r="Q671">
        <v>1</v>
      </c>
      <c r="R671">
        <v>4</v>
      </c>
      <c r="S671">
        <v>0</v>
      </c>
      <c r="T671" t="s">
        <v>44</v>
      </c>
      <c r="U671" t="s">
        <v>37</v>
      </c>
      <c r="V671">
        <v>0</v>
      </c>
      <c r="W671">
        <v>9</v>
      </c>
      <c r="X671" t="s">
        <v>49</v>
      </c>
      <c r="Y671" t="s">
        <v>79</v>
      </c>
      <c r="Z671" t="s">
        <v>86</v>
      </c>
      <c r="AA671" s="2">
        <v>45505</v>
      </c>
      <c r="AB671" t="b">
        <v>0</v>
      </c>
      <c r="AC671" t="b">
        <v>0</v>
      </c>
      <c r="AD671" t="s">
        <v>52</v>
      </c>
      <c r="AE671" t="s">
        <v>67</v>
      </c>
      <c r="AF671">
        <v>14</v>
      </c>
    </row>
    <row r="672" spans="1:32" x14ac:dyDescent="0.25">
      <c r="A672" t="s">
        <v>1415</v>
      </c>
      <c r="B672">
        <v>670</v>
      </c>
      <c r="C672">
        <v>21</v>
      </c>
      <c r="D672" t="str">
        <f>IF(tbl_Original[[#This Row],[Gender2]]="Female","Female",IF(tbl_Original[[#This Row],[Gender2]]="Male","Male","Other"))</f>
        <v>Male</v>
      </c>
      <c r="E672" t="s">
        <v>43</v>
      </c>
      <c r="F672" t="s">
        <v>30</v>
      </c>
      <c r="G672" t="s">
        <v>31</v>
      </c>
      <c r="H672" t="s">
        <v>45</v>
      </c>
      <c r="I672" t="s">
        <v>44</v>
      </c>
      <c r="J672" t="str">
        <f>PROPER(TRIM(CLEAN(tbl_Original[[#This Row],[Column1]])))</f>
        <v>Xinglongchang</v>
      </c>
      <c r="K672" t="s">
        <v>1416</v>
      </c>
      <c r="L672" t="s">
        <v>1416</v>
      </c>
      <c r="M672" t="s">
        <v>90</v>
      </c>
      <c r="N672" s="1">
        <v>433.99</v>
      </c>
      <c r="O672">
        <v>11</v>
      </c>
      <c r="P672" t="s">
        <v>35</v>
      </c>
      <c r="Q672">
        <v>3</v>
      </c>
      <c r="R672">
        <v>2</v>
      </c>
      <c r="S672">
        <v>1</v>
      </c>
      <c r="T672" t="s">
        <v>44</v>
      </c>
      <c r="U672" t="s">
        <v>50</v>
      </c>
      <c r="V672">
        <v>0</v>
      </c>
      <c r="W672">
        <v>2</v>
      </c>
      <c r="X672" t="s">
        <v>36</v>
      </c>
      <c r="Y672" t="s">
        <v>79</v>
      </c>
      <c r="Z672" t="s">
        <v>39</v>
      </c>
      <c r="AA672" s="2">
        <v>45331</v>
      </c>
      <c r="AB672" t="b">
        <v>0</v>
      </c>
      <c r="AC672" t="b">
        <v>0</v>
      </c>
      <c r="AD672" t="s">
        <v>40</v>
      </c>
      <c r="AE672" t="s">
        <v>41</v>
      </c>
      <c r="AF672">
        <v>8</v>
      </c>
    </row>
    <row r="673" spans="1:32" x14ac:dyDescent="0.25">
      <c r="A673" t="s">
        <v>1417</v>
      </c>
      <c r="B673">
        <v>671</v>
      </c>
      <c r="C673">
        <v>35</v>
      </c>
      <c r="D673" t="str">
        <f>IF(tbl_Original[[#This Row],[Gender2]]="Female","Female",IF(tbl_Original[[#This Row],[Gender2]]="Male","Male","Other"))</f>
        <v>Female</v>
      </c>
      <c r="E673" t="s">
        <v>29</v>
      </c>
      <c r="F673" t="s">
        <v>30</v>
      </c>
      <c r="G673" t="s">
        <v>69</v>
      </c>
      <c r="H673" t="s">
        <v>45</v>
      </c>
      <c r="I673" t="s">
        <v>30</v>
      </c>
      <c r="J673" t="str">
        <f>PROPER(TRIM(CLEAN(tbl_Original[[#This Row],[Column1]])))</f>
        <v>San Nicolas</v>
      </c>
      <c r="K673" t="s">
        <v>1418</v>
      </c>
      <c r="L673" t="s">
        <v>1418</v>
      </c>
      <c r="M673" t="s">
        <v>104</v>
      </c>
      <c r="N673" s="1">
        <v>495.95</v>
      </c>
      <c r="O673">
        <v>5</v>
      </c>
      <c r="P673" t="s">
        <v>48</v>
      </c>
      <c r="Q673">
        <v>4</v>
      </c>
      <c r="R673">
        <v>2</v>
      </c>
      <c r="S673">
        <v>0</v>
      </c>
      <c r="T673" t="s">
        <v>44</v>
      </c>
      <c r="U673" t="s">
        <v>85</v>
      </c>
      <c r="V673">
        <v>1</v>
      </c>
      <c r="W673">
        <v>7</v>
      </c>
      <c r="X673" t="s">
        <v>36</v>
      </c>
      <c r="Y673" t="s">
        <v>60</v>
      </c>
      <c r="Z673" t="s">
        <v>66</v>
      </c>
      <c r="AA673" s="2">
        <v>45392</v>
      </c>
      <c r="AB673" t="b">
        <v>0</v>
      </c>
      <c r="AC673" t="b">
        <v>0</v>
      </c>
      <c r="AD673" t="s">
        <v>74</v>
      </c>
      <c r="AE673" t="s">
        <v>41</v>
      </c>
      <c r="AF673">
        <v>6</v>
      </c>
    </row>
    <row r="674" spans="1:32" x14ac:dyDescent="0.25">
      <c r="A674" t="s">
        <v>1419</v>
      </c>
      <c r="B674">
        <v>672</v>
      </c>
      <c r="C674">
        <v>41</v>
      </c>
      <c r="D674" t="str">
        <f>IF(tbl_Original[[#This Row],[Gender2]]="Female","Female",IF(tbl_Original[[#This Row],[Gender2]]="Male","Male","Other"))</f>
        <v>Male</v>
      </c>
      <c r="E674" t="s">
        <v>43</v>
      </c>
      <c r="F674" t="s">
        <v>44</v>
      </c>
      <c r="G674" t="s">
        <v>31</v>
      </c>
      <c r="H674" t="s">
        <v>45</v>
      </c>
      <c r="I674" t="s">
        <v>30</v>
      </c>
      <c r="J674" t="str">
        <f>PROPER(TRIM(CLEAN(tbl_Original[[#This Row],[Column1]])))</f>
        <v>Ropa</v>
      </c>
      <c r="K674" t="s">
        <v>1420</v>
      </c>
      <c r="L674" t="s">
        <v>1420</v>
      </c>
      <c r="M674" t="s">
        <v>123</v>
      </c>
      <c r="N674" s="1">
        <v>356.22</v>
      </c>
      <c r="O674">
        <v>7</v>
      </c>
      <c r="P674" t="s">
        <v>48</v>
      </c>
      <c r="Q674">
        <v>2</v>
      </c>
      <c r="R674">
        <v>5</v>
      </c>
      <c r="S674">
        <v>0</v>
      </c>
      <c r="T674" t="s">
        <v>49</v>
      </c>
      <c r="U674" t="s">
        <v>85</v>
      </c>
      <c r="V674">
        <v>1</v>
      </c>
      <c r="W674">
        <v>7</v>
      </c>
      <c r="X674" t="s">
        <v>44</v>
      </c>
      <c r="Y674" t="s">
        <v>60</v>
      </c>
      <c r="Z674" t="s">
        <v>39</v>
      </c>
      <c r="AA674" s="2">
        <v>45453</v>
      </c>
      <c r="AB674" t="b">
        <v>0</v>
      </c>
      <c r="AC674" t="b">
        <v>1</v>
      </c>
      <c r="AD674" t="s">
        <v>74</v>
      </c>
      <c r="AE674" t="s">
        <v>67</v>
      </c>
      <c r="AF674">
        <v>6</v>
      </c>
    </row>
    <row r="675" spans="1:32" x14ac:dyDescent="0.25">
      <c r="A675" t="s">
        <v>1421</v>
      </c>
      <c r="B675">
        <v>673</v>
      </c>
      <c r="C675">
        <v>22</v>
      </c>
      <c r="D675" t="str">
        <f>IF(tbl_Original[[#This Row],[Gender2]]="Female","Female",IF(tbl_Original[[#This Row],[Gender2]]="Male","Male","Other"))</f>
        <v>Other</v>
      </c>
      <c r="E675" t="s">
        <v>352</v>
      </c>
      <c r="F675" t="s">
        <v>44</v>
      </c>
      <c r="G675" t="s">
        <v>55</v>
      </c>
      <c r="H675" t="s">
        <v>45</v>
      </c>
      <c r="I675" t="s">
        <v>30</v>
      </c>
      <c r="J675" t="str">
        <f>PROPER(TRIM(CLEAN(tbl_Original[[#This Row],[Column1]])))</f>
        <v>San Diego</v>
      </c>
      <c r="K675" t="s">
        <v>1422</v>
      </c>
      <c r="L675" t="s">
        <v>1422</v>
      </c>
      <c r="M675" t="s">
        <v>142</v>
      </c>
      <c r="N675" s="1">
        <v>156.4</v>
      </c>
      <c r="O675">
        <v>7</v>
      </c>
      <c r="P675" t="s">
        <v>48</v>
      </c>
      <c r="Q675">
        <v>4</v>
      </c>
      <c r="R675">
        <v>5</v>
      </c>
      <c r="S675">
        <v>2</v>
      </c>
      <c r="T675" t="s">
        <v>59</v>
      </c>
      <c r="U675" t="s">
        <v>37</v>
      </c>
      <c r="V675">
        <v>1</v>
      </c>
      <c r="W675">
        <v>7</v>
      </c>
      <c r="X675" t="s">
        <v>59</v>
      </c>
      <c r="Y675" t="s">
        <v>79</v>
      </c>
      <c r="Z675" t="s">
        <v>39</v>
      </c>
      <c r="AA675" s="2">
        <v>45603</v>
      </c>
      <c r="AB675" t="b">
        <v>0</v>
      </c>
      <c r="AC675" t="b">
        <v>1</v>
      </c>
      <c r="AD675" t="s">
        <v>40</v>
      </c>
      <c r="AE675" t="s">
        <v>53</v>
      </c>
      <c r="AF675">
        <v>4</v>
      </c>
    </row>
    <row r="676" spans="1:32" x14ac:dyDescent="0.25">
      <c r="A676" t="s">
        <v>1423</v>
      </c>
      <c r="B676">
        <v>674</v>
      </c>
      <c r="C676">
        <v>42</v>
      </c>
      <c r="D676" t="str">
        <f>IF(tbl_Original[[#This Row],[Gender2]]="Female","Female",IF(tbl_Original[[#This Row],[Gender2]]="Male","Male","Other"))</f>
        <v>Male</v>
      </c>
      <c r="E676" t="s">
        <v>43</v>
      </c>
      <c r="F676" t="s">
        <v>30</v>
      </c>
      <c r="G676" t="s">
        <v>55</v>
      </c>
      <c r="H676" t="s">
        <v>56</v>
      </c>
      <c r="I676" t="s">
        <v>30</v>
      </c>
      <c r="J676" t="str">
        <f>PROPER(TRIM(CLEAN(tbl_Original[[#This Row],[Column1]])))</f>
        <v>Pan-An</v>
      </c>
      <c r="K676" t="s">
        <v>1424</v>
      </c>
      <c r="L676" t="s">
        <v>1424</v>
      </c>
      <c r="M676" t="s">
        <v>90</v>
      </c>
      <c r="N676" s="1">
        <v>454.36</v>
      </c>
      <c r="O676">
        <v>3</v>
      </c>
      <c r="P676" t="s">
        <v>48</v>
      </c>
      <c r="Q676">
        <v>4</v>
      </c>
      <c r="R676">
        <v>5</v>
      </c>
      <c r="S676">
        <v>1</v>
      </c>
      <c r="T676" t="s">
        <v>59</v>
      </c>
      <c r="U676" t="s">
        <v>85</v>
      </c>
      <c r="V676">
        <v>1</v>
      </c>
      <c r="W676">
        <v>8</v>
      </c>
      <c r="X676" t="s">
        <v>49</v>
      </c>
      <c r="Y676" t="s">
        <v>38</v>
      </c>
      <c r="Z676" t="s">
        <v>86</v>
      </c>
      <c r="AA676" s="2">
        <v>45551</v>
      </c>
      <c r="AB676" t="b">
        <v>1</v>
      </c>
      <c r="AC676" t="b">
        <v>0</v>
      </c>
      <c r="AD676" t="s">
        <v>74</v>
      </c>
      <c r="AE676" t="s">
        <v>41</v>
      </c>
      <c r="AF676">
        <v>12</v>
      </c>
    </row>
    <row r="677" spans="1:32" x14ac:dyDescent="0.25">
      <c r="A677" t="s">
        <v>1425</v>
      </c>
      <c r="B677">
        <v>675</v>
      </c>
      <c r="C677">
        <v>50</v>
      </c>
      <c r="D677" t="str">
        <f>IF(tbl_Original[[#This Row],[Gender2]]="Female","Female",IF(tbl_Original[[#This Row],[Gender2]]="Male","Male","Other"))</f>
        <v>Male</v>
      </c>
      <c r="E677" t="s">
        <v>43</v>
      </c>
      <c r="F677" t="s">
        <v>44</v>
      </c>
      <c r="G677" t="s">
        <v>55</v>
      </c>
      <c r="H677" t="s">
        <v>32</v>
      </c>
      <c r="I677" t="s">
        <v>44</v>
      </c>
      <c r="J677" t="str">
        <f>PROPER(TRIM(CLEAN(tbl_Original[[#This Row],[Column1]])))</f>
        <v>Shu</v>
      </c>
      <c r="K677" t="s">
        <v>1426</v>
      </c>
      <c r="L677" t="s">
        <v>1426</v>
      </c>
      <c r="M677" t="s">
        <v>120</v>
      </c>
      <c r="N677" s="1">
        <v>486.07</v>
      </c>
      <c r="O677">
        <v>11</v>
      </c>
      <c r="P677" t="s">
        <v>35</v>
      </c>
      <c r="Q677">
        <v>5</v>
      </c>
      <c r="R677">
        <v>1</v>
      </c>
      <c r="S677">
        <v>0</v>
      </c>
      <c r="T677" t="s">
        <v>49</v>
      </c>
      <c r="U677" t="s">
        <v>37</v>
      </c>
      <c r="V677">
        <v>2</v>
      </c>
      <c r="W677">
        <v>6</v>
      </c>
      <c r="X677" t="s">
        <v>36</v>
      </c>
      <c r="Y677" t="s">
        <v>38</v>
      </c>
      <c r="Z677" t="s">
        <v>39</v>
      </c>
      <c r="AA677" s="2">
        <v>45307</v>
      </c>
      <c r="AB677" t="b">
        <v>0</v>
      </c>
      <c r="AC677" t="b">
        <v>0</v>
      </c>
      <c r="AD677" t="s">
        <v>74</v>
      </c>
      <c r="AE677" t="s">
        <v>53</v>
      </c>
      <c r="AF677">
        <v>12</v>
      </c>
    </row>
    <row r="678" spans="1:32" x14ac:dyDescent="0.25">
      <c r="A678" t="s">
        <v>1427</v>
      </c>
      <c r="B678">
        <v>676</v>
      </c>
      <c r="C678">
        <v>30</v>
      </c>
      <c r="D678" t="str">
        <f>IF(tbl_Original[[#This Row],[Gender2]]="Female","Female",IF(tbl_Original[[#This Row],[Gender2]]="Male","Male","Other"))</f>
        <v>Female</v>
      </c>
      <c r="E678" t="s">
        <v>29</v>
      </c>
      <c r="F678" t="s">
        <v>44</v>
      </c>
      <c r="G678" t="s">
        <v>76</v>
      </c>
      <c r="H678" t="s">
        <v>45</v>
      </c>
      <c r="I678" t="s">
        <v>30</v>
      </c>
      <c r="J678" t="str">
        <f>PROPER(TRIM(CLEAN(tbl_Original[[#This Row],[Column1]])))</f>
        <v>Tn Nad Vltavou</v>
      </c>
      <c r="K678" t="s">
        <v>2150</v>
      </c>
      <c r="L678" t="s">
        <v>332</v>
      </c>
      <c r="M678" t="s">
        <v>114</v>
      </c>
      <c r="N678" s="1">
        <v>427.86</v>
      </c>
      <c r="O678">
        <v>11</v>
      </c>
      <c r="P678" t="s">
        <v>35</v>
      </c>
      <c r="Q678">
        <v>4</v>
      </c>
      <c r="R678">
        <v>3</v>
      </c>
      <c r="S678">
        <v>1</v>
      </c>
      <c r="T678" t="s">
        <v>49</v>
      </c>
      <c r="U678" t="s">
        <v>50</v>
      </c>
      <c r="V678">
        <v>0</v>
      </c>
      <c r="W678">
        <v>6</v>
      </c>
      <c r="X678" t="s">
        <v>49</v>
      </c>
      <c r="Y678" t="s">
        <v>79</v>
      </c>
      <c r="Z678" t="s">
        <v>61</v>
      </c>
      <c r="AA678" s="2">
        <v>45354</v>
      </c>
      <c r="AB678" t="b">
        <v>1</v>
      </c>
      <c r="AC678" t="b">
        <v>1</v>
      </c>
      <c r="AD678" t="s">
        <v>40</v>
      </c>
      <c r="AE678" t="s">
        <v>67</v>
      </c>
      <c r="AF678">
        <v>8</v>
      </c>
    </row>
    <row r="679" spans="1:32" x14ac:dyDescent="0.25">
      <c r="A679" t="s">
        <v>1428</v>
      </c>
      <c r="B679">
        <v>677</v>
      </c>
      <c r="C679">
        <v>49</v>
      </c>
      <c r="D679" t="str">
        <f>IF(tbl_Original[[#This Row],[Gender2]]="Female","Female",IF(tbl_Original[[#This Row],[Gender2]]="Male","Male","Other"))</f>
        <v>Female</v>
      </c>
      <c r="E679" t="s">
        <v>29</v>
      </c>
      <c r="F679" t="s">
        <v>44</v>
      </c>
      <c r="G679" t="s">
        <v>76</v>
      </c>
      <c r="H679" t="s">
        <v>56</v>
      </c>
      <c r="I679" t="s">
        <v>44</v>
      </c>
      <c r="J679" t="str">
        <f>PROPER(TRIM(CLEAN(tbl_Original[[#This Row],[Column1]])))</f>
        <v>Mojogajeh</v>
      </c>
      <c r="K679" t="s">
        <v>1429</v>
      </c>
      <c r="L679" t="s">
        <v>1429</v>
      </c>
      <c r="M679" t="s">
        <v>188</v>
      </c>
      <c r="N679" s="1">
        <v>235.13</v>
      </c>
      <c r="O679">
        <v>10</v>
      </c>
      <c r="P679" t="s">
        <v>78</v>
      </c>
      <c r="Q679">
        <v>5</v>
      </c>
      <c r="R679">
        <v>4</v>
      </c>
      <c r="S679">
        <v>1</v>
      </c>
      <c r="T679" t="s">
        <v>49</v>
      </c>
      <c r="U679" t="s">
        <v>85</v>
      </c>
      <c r="V679">
        <v>2</v>
      </c>
      <c r="W679">
        <v>3</v>
      </c>
      <c r="X679" t="s">
        <v>36</v>
      </c>
      <c r="Y679" t="s">
        <v>60</v>
      </c>
      <c r="Z679" t="s">
        <v>66</v>
      </c>
      <c r="AA679" s="2">
        <v>45380</v>
      </c>
      <c r="AB679" t="b">
        <v>1</v>
      </c>
      <c r="AC679" t="b">
        <v>0</v>
      </c>
      <c r="AD679" t="s">
        <v>74</v>
      </c>
      <c r="AE679" t="s">
        <v>41</v>
      </c>
      <c r="AF679">
        <v>6</v>
      </c>
    </row>
    <row r="680" spans="1:32" x14ac:dyDescent="0.25">
      <c r="A680" t="s">
        <v>1430</v>
      </c>
      <c r="B680">
        <v>678</v>
      </c>
      <c r="C680">
        <v>40</v>
      </c>
      <c r="D680" t="str">
        <f>IF(tbl_Original[[#This Row],[Gender2]]="Female","Female",IF(tbl_Original[[#This Row],[Gender2]]="Male","Male","Other"))</f>
        <v>Female</v>
      </c>
      <c r="E680" t="s">
        <v>29</v>
      </c>
      <c r="F680" t="s">
        <v>30</v>
      </c>
      <c r="G680" t="s">
        <v>76</v>
      </c>
      <c r="H680" t="s">
        <v>32</v>
      </c>
      <c r="I680" t="s">
        <v>30</v>
      </c>
      <c r="J680" t="str">
        <f>PROPER(TRIM(CLEAN(tbl_Original[[#This Row],[Column1]])))</f>
        <v>Mawu</v>
      </c>
      <c r="K680" t="s">
        <v>1431</v>
      </c>
      <c r="L680" t="s">
        <v>1431</v>
      </c>
      <c r="M680" t="s">
        <v>158</v>
      </c>
      <c r="N680" s="1">
        <v>361.27</v>
      </c>
      <c r="O680">
        <v>4</v>
      </c>
      <c r="P680" t="s">
        <v>78</v>
      </c>
      <c r="Q680">
        <v>3</v>
      </c>
      <c r="R680">
        <v>3</v>
      </c>
      <c r="S680">
        <v>1</v>
      </c>
      <c r="T680" t="s">
        <v>36</v>
      </c>
      <c r="U680" t="s">
        <v>50</v>
      </c>
      <c r="V680">
        <v>0</v>
      </c>
      <c r="W680">
        <v>5</v>
      </c>
      <c r="X680" t="s">
        <v>44</v>
      </c>
      <c r="Y680" t="s">
        <v>38</v>
      </c>
      <c r="Z680" t="s">
        <v>39</v>
      </c>
      <c r="AA680" s="2">
        <v>45550</v>
      </c>
      <c r="AB680" t="b">
        <v>1</v>
      </c>
      <c r="AC680" t="b">
        <v>0</v>
      </c>
      <c r="AD680" t="s">
        <v>40</v>
      </c>
      <c r="AE680" t="s">
        <v>53</v>
      </c>
      <c r="AF680">
        <v>2</v>
      </c>
    </row>
    <row r="681" spans="1:32" x14ac:dyDescent="0.25">
      <c r="A681" t="s">
        <v>1432</v>
      </c>
      <c r="B681">
        <v>679</v>
      </c>
      <c r="C681">
        <v>38</v>
      </c>
      <c r="D681" t="str">
        <f>IF(tbl_Original[[#This Row],[Gender2]]="Female","Female",IF(tbl_Original[[#This Row],[Gender2]]="Male","Male","Other"))</f>
        <v>Female</v>
      </c>
      <c r="E681" t="s">
        <v>29</v>
      </c>
      <c r="F681" t="s">
        <v>30</v>
      </c>
      <c r="G681" t="s">
        <v>55</v>
      </c>
      <c r="H681" t="s">
        <v>32</v>
      </c>
      <c r="I681" t="s">
        <v>30</v>
      </c>
      <c r="J681" t="str">
        <f>PROPER(TRIM(CLEAN(tbl_Original[[#This Row],[Column1]])))</f>
        <v>Genting</v>
      </c>
      <c r="K681" t="s">
        <v>1433</v>
      </c>
      <c r="L681" t="s">
        <v>1433</v>
      </c>
      <c r="M681" t="s">
        <v>71</v>
      </c>
      <c r="N681" s="1">
        <v>195.83</v>
      </c>
      <c r="O681">
        <v>10</v>
      </c>
      <c r="P681" t="s">
        <v>35</v>
      </c>
      <c r="Q681">
        <v>1</v>
      </c>
      <c r="R681">
        <v>2</v>
      </c>
      <c r="S681">
        <v>2</v>
      </c>
      <c r="T681" t="s">
        <v>36</v>
      </c>
      <c r="U681" t="s">
        <v>50</v>
      </c>
      <c r="V681">
        <v>1</v>
      </c>
      <c r="W681">
        <v>7</v>
      </c>
      <c r="X681" t="s">
        <v>44</v>
      </c>
      <c r="Y681" t="s">
        <v>79</v>
      </c>
      <c r="Z681" t="s">
        <v>61</v>
      </c>
      <c r="AA681" s="2">
        <v>45316</v>
      </c>
      <c r="AB681" t="b">
        <v>1</v>
      </c>
      <c r="AC681" t="b">
        <v>0</v>
      </c>
      <c r="AD681" t="s">
        <v>40</v>
      </c>
      <c r="AE681" t="s">
        <v>41</v>
      </c>
      <c r="AF681">
        <v>13</v>
      </c>
    </row>
    <row r="682" spans="1:32" x14ac:dyDescent="0.25">
      <c r="A682" t="s">
        <v>1434</v>
      </c>
      <c r="B682">
        <v>680</v>
      </c>
      <c r="C682">
        <v>21</v>
      </c>
      <c r="D682" t="str">
        <f>IF(tbl_Original[[#This Row],[Gender2]]="Female","Female",IF(tbl_Original[[#This Row],[Gender2]]="Male","Male","Other"))</f>
        <v>Male</v>
      </c>
      <c r="E682" t="s">
        <v>43</v>
      </c>
      <c r="F682" t="s">
        <v>44</v>
      </c>
      <c r="G682" t="s">
        <v>31</v>
      </c>
      <c r="H682" t="s">
        <v>56</v>
      </c>
      <c r="I682" t="s">
        <v>44</v>
      </c>
      <c r="J682" t="str">
        <f>PROPER(TRIM(CLEAN(tbl_Original[[#This Row],[Column1]])))</f>
        <v>Madan</v>
      </c>
      <c r="K682" t="s">
        <v>1435</v>
      </c>
      <c r="L682" t="s">
        <v>1435</v>
      </c>
      <c r="M682" t="s">
        <v>90</v>
      </c>
      <c r="N682" s="1">
        <v>340.31</v>
      </c>
      <c r="O682">
        <v>10</v>
      </c>
      <c r="P682" t="s">
        <v>78</v>
      </c>
      <c r="Q682">
        <v>5</v>
      </c>
      <c r="R682">
        <v>1</v>
      </c>
      <c r="S682">
        <v>1</v>
      </c>
      <c r="T682" t="s">
        <v>59</v>
      </c>
      <c r="U682" t="s">
        <v>37</v>
      </c>
      <c r="V682">
        <v>0</v>
      </c>
      <c r="W682">
        <v>5</v>
      </c>
      <c r="X682" t="s">
        <v>59</v>
      </c>
      <c r="Y682" t="s">
        <v>79</v>
      </c>
      <c r="Z682" t="s">
        <v>66</v>
      </c>
      <c r="AA682" s="2">
        <v>45553</v>
      </c>
      <c r="AB682" t="b">
        <v>0</v>
      </c>
      <c r="AC682" t="b">
        <v>1</v>
      </c>
      <c r="AD682" t="s">
        <v>62</v>
      </c>
      <c r="AE682" t="s">
        <v>41</v>
      </c>
      <c r="AF682">
        <v>14</v>
      </c>
    </row>
    <row r="683" spans="1:32" x14ac:dyDescent="0.25">
      <c r="A683" t="s">
        <v>1436</v>
      </c>
      <c r="B683">
        <v>681</v>
      </c>
      <c r="C683">
        <v>40</v>
      </c>
      <c r="D683" t="str">
        <f>IF(tbl_Original[[#This Row],[Gender2]]="Female","Female",IF(tbl_Original[[#This Row],[Gender2]]="Male","Male","Other"))</f>
        <v>Male</v>
      </c>
      <c r="E683" t="s">
        <v>43</v>
      </c>
      <c r="F683" t="s">
        <v>44</v>
      </c>
      <c r="G683" t="s">
        <v>76</v>
      </c>
      <c r="H683" t="s">
        <v>56</v>
      </c>
      <c r="I683" t="s">
        <v>44</v>
      </c>
      <c r="J683" t="str">
        <f>PROPER(TRIM(CLEAN(tbl_Original[[#This Row],[Column1]])))</f>
        <v>Hexiangqiao</v>
      </c>
      <c r="K683" t="s">
        <v>1437</v>
      </c>
      <c r="L683" t="s">
        <v>1437</v>
      </c>
      <c r="M683" t="s">
        <v>101</v>
      </c>
      <c r="N683" s="1">
        <v>489.67</v>
      </c>
      <c r="O683">
        <v>5</v>
      </c>
      <c r="P683" t="s">
        <v>35</v>
      </c>
      <c r="Q683">
        <v>5</v>
      </c>
      <c r="R683">
        <v>5</v>
      </c>
      <c r="S683">
        <v>1</v>
      </c>
      <c r="T683" t="s">
        <v>36</v>
      </c>
      <c r="U683" t="s">
        <v>85</v>
      </c>
      <c r="V683">
        <v>1</v>
      </c>
      <c r="W683">
        <v>5</v>
      </c>
      <c r="X683" t="s">
        <v>49</v>
      </c>
      <c r="Y683" t="s">
        <v>38</v>
      </c>
      <c r="Z683" t="s">
        <v>61</v>
      </c>
      <c r="AA683" s="2">
        <v>45647</v>
      </c>
      <c r="AB683" t="b">
        <v>0</v>
      </c>
      <c r="AC683" t="b">
        <v>0</v>
      </c>
      <c r="AD683" t="s">
        <v>52</v>
      </c>
      <c r="AE683" t="s">
        <v>53</v>
      </c>
      <c r="AF683">
        <v>11</v>
      </c>
    </row>
    <row r="684" spans="1:32" x14ac:dyDescent="0.25">
      <c r="A684" t="s">
        <v>1438</v>
      </c>
      <c r="B684">
        <v>682</v>
      </c>
      <c r="C684">
        <v>26</v>
      </c>
      <c r="D684" t="str">
        <f>IF(tbl_Original[[#This Row],[Gender2]]="Female","Female",IF(tbl_Original[[#This Row],[Gender2]]="Male","Male","Other"))</f>
        <v>Male</v>
      </c>
      <c r="E684" t="s">
        <v>43</v>
      </c>
      <c r="F684" t="s">
        <v>44</v>
      </c>
      <c r="G684" t="s">
        <v>76</v>
      </c>
      <c r="H684" t="s">
        <v>56</v>
      </c>
      <c r="I684" t="s">
        <v>30</v>
      </c>
      <c r="J684" t="str">
        <f>PROPER(TRIM(CLEAN(tbl_Original[[#This Row],[Column1]])))</f>
        <v>Na Muen</v>
      </c>
      <c r="K684" t="s">
        <v>1439</v>
      </c>
      <c r="L684" t="s">
        <v>1439</v>
      </c>
      <c r="M684" t="s">
        <v>93</v>
      </c>
      <c r="N684" s="1">
        <v>482.5</v>
      </c>
      <c r="O684">
        <v>11</v>
      </c>
      <c r="P684" t="s">
        <v>35</v>
      </c>
      <c r="Q684">
        <v>1</v>
      </c>
      <c r="R684">
        <v>1</v>
      </c>
      <c r="S684">
        <v>1</v>
      </c>
      <c r="T684" t="s">
        <v>36</v>
      </c>
      <c r="U684" t="s">
        <v>85</v>
      </c>
      <c r="V684">
        <v>2</v>
      </c>
      <c r="W684">
        <v>1</v>
      </c>
      <c r="X684" t="s">
        <v>36</v>
      </c>
      <c r="Y684" t="s">
        <v>60</v>
      </c>
      <c r="Z684" t="s">
        <v>86</v>
      </c>
      <c r="AA684" s="2">
        <v>45563</v>
      </c>
      <c r="AB684" t="b">
        <v>1</v>
      </c>
      <c r="AC684" t="b">
        <v>1</v>
      </c>
      <c r="AD684" t="s">
        <v>40</v>
      </c>
      <c r="AE684" t="s">
        <v>41</v>
      </c>
      <c r="AF684">
        <v>13</v>
      </c>
    </row>
    <row r="685" spans="1:32" x14ac:dyDescent="0.25">
      <c r="A685" t="s">
        <v>1440</v>
      </c>
      <c r="B685">
        <v>683</v>
      </c>
      <c r="C685">
        <v>32</v>
      </c>
      <c r="D685" t="str">
        <f>IF(tbl_Original[[#This Row],[Gender2]]="Female","Female",IF(tbl_Original[[#This Row],[Gender2]]="Male","Male","Other"))</f>
        <v>Female</v>
      </c>
      <c r="E685" t="s">
        <v>29</v>
      </c>
      <c r="F685" t="s">
        <v>30</v>
      </c>
      <c r="G685" t="s">
        <v>31</v>
      </c>
      <c r="H685" t="s">
        <v>56</v>
      </c>
      <c r="I685" t="s">
        <v>30</v>
      </c>
      <c r="J685" t="str">
        <f>PROPER(TRIM(CLEAN(tbl_Original[[#This Row],[Column1]])))</f>
        <v>Gafargaon</v>
      </c>
      <c r="K685" t="s">
        <v>1441</v>
      </c>
      <c r="L685" t="s">
        <v>1441</v>
      </c>
      <c r="M685" t="s">
        <v>246</v>
      </c>
      <c r="N685" s="1">
        <v>433.14</v>
      </c>
      <c r="O685">
        <v>10</v>
      </c>
      <c r="P685" t="s">
        <v>48</v>
      </c>
      <c r="Q685">
        <v>3</v>
      </c>
      <c r="R685">
        <v>1</v>
      </c>
      <c r="S685">
        <v>2</v>
      </c>
      <c r="T685" t="s">
        <v>49</v>
      </c>
      <c r="U685" t="s">
        <v>50</v>
      </c>
      <c r="V685">
        <v>2</v>
      </c>
      <c r="W685">
        <v>3</v>
      </c>
      <c r="X685" t="s">
        <v>44</v>
      </c>
      <c r="Y685" t="s">
        <v>38</v>
      </c>
      <c r="Z685" t="s">
        <v>61</v>
      </c>
      <c r="AA685" s="2">
        <v>45482</v>
      </c>
      <c r="AB685" t="b">
        <v>0</v>
      </c>
      <c r="AC685" t="b">
        <v>0</v>
      </c>
      <c r="AD685" t="s">
        <v>62</v>
      </c>
      <c r="AE685" t="s">
        <v>41</v>
      </c>
      <c r="AF685">
        <v>5</v>
      </c>
    </row>
    <row r="686" spans="1:32" x14ac:dyDescent="0.25">
      <c r="A686" t="s">
        <v>1442</v>
      </c>
      <c r="B686">
        <v>684</v>
      </c>
      <c r="C686">
        <v>47</v>
      </c>
      <c r="D686" t="str">
        <f>IF(tbl_Original[[#This Row],[Gender2]]="Female","Female",IF(tbl_Original[[#This Row],[Gender2]]="Male","Male","Other"))</f>
        <v>Female</v>
      </c>
      <c r="E686" t="s">
        <v>29</v>
      </c>
      <c r="F686" t="s">
        <v>30</v>
      </c>
      <c r="G686" t="s">
        <v>69</v>
      </c>
      <c r="H686" t="s">
        <v>45</v>
      </c>
      <c r="I686" t="s">
        <v>44</v>
      </c>
      <c r="J686" t="str">
        <f>PROPER(TRIM(CLEAN(tbl_Original[[#This Row],[Column1]])))</f>
        <v>Qingban</v>
      </c>
      <c r="K686" t="s">
        <v>1443</v>
      </c>
      <c r="L686" t="s">
        <v>1443</v>
      </c>
      <c r="M686" t="s">
        <v>246</v>
      </c>
      <c r="N686" s="1">
        <v>375.7</v>
      </c>
      <c r="O686">
        <v>6</v>
      </c>
      <c r="P686" t="s">
        <v>78</v>
      </c>
      <c r="Q686">
        <v>3</v>
      </c>
      <c r="R686">
        <v>1</v>
      </c>
      <c r="S686">
        <v>2</v>
      </c>
      <c r="T686" t="s">
        <v>59</v>
      </c>
      <c r="U686" t="s">
        <v>85</v>
      </c>
      <c r="V686">
        <v>2</v>
      </c>
      <c r="W686">
        <v>10</v>
      </c>
      <c r="X686" t="s">
        <v>49</v>
      </c>
      <c r="Y686" t="s">
        <v>38</v>
      </c>
      <c r="Z686" t="s">
        <v>66</v>
      </c>
      <c r="AA686" s="2">
        <v>45562</v>
      </c>
      <c r="AB686" t="b">
        <v>1</v>
      </c>
      <c r="AC686" t="b">
        <v>0</v>
      </c>
      <c r="AD686" t="s">
        <v>52</v>
      </c>
      <c r="AE686" t="s">
        <v>41</v>
      </c>
      <c r="AF686">
        <v>10</v>
      </c>
    </row>
    <row r="687" spans="1:32" x14ac:dyDescent="0.25">
      <c r="A687" t="s">
        <v>1444</v>
      </c>
      <c r="B687">
        <v>685</v>
      </c>
      <c r="C687">
        <v>21</v>
      </c>
      <c r="D687" t="str">
        <f>IF(tbl_Original[[#This Row],[Gender2]]="Female","Female",IF(tbl_Original[[#This Row],[Gender2]]="Male","Male","Other"))</f>
        <v>Male</v>
      </c>
      <c r="E687" t="s">
        <v>43</v>
      </c>
      <c r="F687" t="s">
        <v>30</v>
      </c>
      <c r="G687" t="s">
        <v>55</v>
      </c>
      <c r="H687" t="s">
        <v>56</v>
      </c>
      <c r="I687" t="s">
        <v>30</v>
      </c>
      <c r="J687" t="str">
        <f>PROPER(TRIM(CLEAN(tbl_Original[[#This Row],[Column1]])))</f>
        <v>Labge</v>
      </c>
      <c r="K687" t="s">
        <v>2233</v>
      </c>
      <c r="L687" t="s">
        <v>1445</v>
      </c>
      <c r="M687" t="s">
        <v>194</v>
      </c>
      <c r="N687" s="1">
        <v>381.3</v>
      </c>
      <c r="O687">
        <v>12</v>
      </c>
      <c r="P687" t="s">
        <v>78</v>
      </c>
      <c r="Q687">
        <v>2</v>
      </c>
      <c r="R687">
        <v>1</v>
      </c>
      <c r="S687">
        <v>1</v>
      </c>
      <c r="T687" t="s">
        <v>44</v>
      </c>
      <c r="U687" t="s">
        <v>85</v>
      </c>
      <c r="V687">
        <v>0</v>
      </c>
      <c r="W687">
        <v>4</v>
      </c>
      <c r="X687" t="s">
        <v>59</v>
      </c>
      <c r="Y687" t="s">
        <v>79</v>
      </c>
      <c r="Z687" t="s">
        <v>39</v>
      </c>
      <c r="AA687" s="2">
        <v>45300</v>
      </c>
      <c r="AB687" t="b">
        <v>0</v>
      </c>
      <c r="AC687" t="b">
        <v>0</v>
      </c>
      <c r="AD687" t="s">
        <v>74</v>
      </c>
      <c r="AE687" t="s">
        <v>67</v>
      </c>
      <c r="AF687">
        <v>7</v>
      </c>
    </row>
    <row r="688" spans="1:32" x14ac:dyDescent="0.25">
      <c r="A688" t="s">
        <v>1446</v>
      </c>
      <c r="B688">
        <v>686</v>
      </c>
      <c r="C688">
        <v>34</v>
      </c>
      <c r="D688" t="str">
        <f>IF(tbl_Original[[#This Row],[Gender2]]="Female","Female",IF(tbl_Original[[#This Row],[Gender2]]="Male","Male","Other"))</f>
        <v>Male</v>
      </c>
      <c r="E688" t="s">
        <v>43</v>
      </c>
      <c r="F688" t="s">
        <v>44</v>
      </c>
      <c r="G688" t="s">
        <v>69</v>
      </c>
      <c r="H688" t="s">
        <v>45</v>
      </c>
      <c r="I688" t="s">
        <v>44</v>
      </c>
      <c r="J688" t="str">
        <f>PROPER(TRIM(CLEAN(tbl_Original[[#This Row],[Column1]])))</f>
        <v>Port Elizabeth</v>
      </c>
      <c r="K688" t="s">
        <v>1447</v>
      </c>
      <c r="L688" t="s">
        <v>1447</v>
      </c>
      <c r="M688" t="s">
        <v>117</v>
      </c>
      <c r="N688" s="1">
        <v>210.21</v>
      </c>
      <c r="O688">
        <v>4</v>
      </c>
      <c r="P688" t="s">
        <v>35</v>
      </c>
      <c r="Q688">
        <v>4</v>
      </c>
      <c r="R688">
        <v>1</v>
      </c>
      <c r="S688">
        <v>2</v>
      </c>
      <c r="T688" t="s">
        <v>44</v>
      </c>
      <c r="U688" t="s">
        <v>85</v>
      </c>
      <c r="V688">
        <v>0</v>
      </c>
      <c r="W688">
        <v>10</v>
      </c>
      <c r="X688" t="s">
        <v>44</v>
      </c>
      <c r="Y688" t="s">
        <v>79</v>
      </c>
      <c r="Z688" t="s">
        <v>51</v>
      </c>
      <c r="AA688" s="2">
        <v>45478</v>
      </c>
      <c r="AB688" t="b">
        <v>0</v>
      </c>
      <c r="AC688" t="b">
        <v>1</v>
      </c>
      <c r="AD688" t="s">
        <v>40</v>
      </c>
      <c r="AE688" t="s">
        <v>41</v>
      </c>
      <c r="AF688">
        <v>14</v>
      </c>
    </row>
    <row r="689" spans="1:32" x14ac:dyDescent="0.25">
      <c r="A689" t="s">
        <v>1448</v>
      </c>
      <c r="B689">
        <v>687</v>
      </c>
      <c r="C689">
        <v>29</v>
      </c>
      <c r="D689" t="str">
        <f>IF(tbl_Original[[#This Row],[Gender2]]="Female","Female",IF(tbl_Original[[#This Row],[Gender2]]="Male","Male","Other"))</f>
        <v>Male</v>
      </c>
      <c r="E689" t="s">
        <v>43</v>
      </c>
      <c r="F689" t="s">
        <v>30</v>
      </c>
      <c r="G689" t="s">
        <v>69</v>
      </c>
      <c r="H689" t="s">
        <v>56</v>
      </c>
      <c r="I689" t="s">
        <v>44</v>
      </c>
      <c r="J689" t="str">
        <f>PROPER(TRIM(CLEAN(tbl_Original[[#This Row],[Column1]])))</f>
        <v>Sauri</v>
      </c>
      <c r="K689" t="s">
        <v>1449</v>
      </c>
      <c r="L689" t="s">
        <v>1449</v>
      </c>
      <c r="M689" t="s">
        <v>142</v>
      </c>
      <c r="N689" s="1">
        <v>408.81</v>
      </c>
      <c r="O689">
        <v>8</v>
      </c>
      <c r="P689" t="s">
        <v>35</v>
      </c>
      <c r="Q689">
        <v>5</v>
      </c>
      <c r="R689">
        <v>4</v>
      </c>
      <c r="S689">
        <v>2</v>
      </c>
      <c r="T689" t="s">
        <v>59</v>
      </c>
      <c r="U689" t="s">
        <v>85</v>
      </c>
      <c r="V689">
        <v>1</v>
      </c>
      <c r="W689">
        <v>3</v>
      </c>
      <c r="X689" t="s">
        <v>49</v>
      </c>
      <c r="Y689" t="s">
        <v>79</v>
      </c>
      <c r="Z689" t="s">
        <v>61</v>
      </c>
      <c r="AA689" s="2">
        <v>45489</v>
      </c>
      <c r="AB689" t="b">
        <v>0</v>
      </c>
      <c r="AC689" t="b">
        <v>1</v>
      </c>
      <c r="AD689" t="s">
        <v>52</v>
      </c>
      <c r="AE689" t="s">
        <v>67</v>
      </c>
      <c r="AF689">
        <v>12</v>
      </c>
    </row>
    <row r="690" spans="1:32" x14ac:dyDescent="0.25">
      <c r="A690" t="s">
        <v>1450</v>
      </c>
      <c r="B690">
        <v>688</v>
      </c>
      <c r="C690">
        <v>20</v>
      </c>
      <c r="D690" t="str">
        <f>IF(tbl_Original[[#This Row],[Gender2]]="Female","Female",IF(tbl_Original[[#This Row],[Gender2]]="Male","Male","Other"))</f>
        <v>Female</v>
      </c>
      <c r="E690" t="s">
        <v>29</v>
      </c>
      <c r="F690" t="s">
        <v>30</v>
      </c>
      <c r="G690" t="s">
        <v>76</v>
      </c>
      <c r="H690" t="s">
        <v>32</v>
      </c>
      <c r="I690" t="s">
        <v>44</v>
      </c>
      <c r="J690" t="str">
        <f>PROPER(TRIM(CLEAN(tbl_Original[[#This Row],[Column1]])))</f>
        <v>Desakolot</v>
      </c>
      <c r="K690" t="s">
        <v>1451</v>
      </c>
      <c r="L690" t="s">
        <v>1451</v>
      </c>
      <c r="M690" t="s">
        <v>246</v>
      </c>
      <c r="N690" s="1">
        <v>118.65</v>
      </c>
      <c r="O690">
        <v>10</v>
      </c>
      <c r="P690" t="s">
        <v>35</v>
      </c>
      <c r="Q690">
        <v>1</v>
      </c>
      <c r="R690">
        <v>3</v>
      </c>
      <c r="S690">
        <v>0</v>
      </c>
      <c r="T690" t="s">
        <v>59</v>
      </c>
      <c r="U690" t="s">
        <v>85</v>
      </c>
      <c r="V690">
        <v>0</v>
      </c>
      <c r="W690">
        <v>2</v>
      </c>
      <c r="X690" t="s">
        <v>59</v>
      </c>
      <c r="Y690" t="s">
        <v>60</v>
      </c>
      <c r="Z690" t="s">
        <v>39</v>
      </c>
      <c r="AA690" s="2">
        <v>45300</v>
      </c>
      <c r="AB690" t="b">
        <v>1</v>
      </c>
      <c r="AC690" t="b">
        <v>1</v>
      </c>
      <c r="AD690" t="s">
        <v>62</v>
      </c>
      <c r="AE690" t="s">
        <v>53</v>
      </c>
      <c r="AF690">
        <v>13</v>
      </c>
    </row>
    <row r="691" spans="1:32" x14ac:dyDescent="0.25">
      <c r="A691" t="s">
        <v>1452</v>
      </c>
      <c r="B691">
        <v>689</v>
      </c>
      <c r="C691">
        <v>50</v>
      </c>
      <c r="D691" t="str">
        <f>IF(tbl_Original[[#This Row],[Gender2]]="Female","Female",IF(tbl_Original[[#This Row],[Gender2]]="Male","Male","Other"))</f>
        <v>Male</v>
      </c>
      <c r="E691" t="s">
        <v>43</v>
      </c>
      <c r="F691" t="s">
        <v>44</v>
      </c>
      <c r="G691" t="s">
        <v>76</v>
      </c>
      <c r="H691" t="s">
        <v>32</v>
      </c>
      <c r="I691" t="s">
        <v>30</v>
      </c>
      <c r="J691" t="str">
        <f>PROPER(TRIM(CLEAN(tbl_Original[[#This Row],[Column1]])))</f>
        <v>Huambo</v>
      </c>
      <c r="K691" t="s">
        <v>1453</v>
      </c>
      <c r="L691" t="s">
        <v>1453</v>
      </c>
      <c r="M691" t="s">
        <v>120</v>
      </c>
      <c r="N691" s="1">
        <v>166.45</v>
      </c>
      <c r="O691">
        <v>7</v>
      </c>
      <c r="P691" t="s">
        <v>35</v>
      </c>
      <c r="Q691">
        <v>5</v>
      </c>
      <c r="R691">
        <v>2</v>
      </c>
      <c r="S691">
        <v>2</v>
      </c>
      <c r="T691" t="s">
        <v>59</v>
      </c>
      <c r="U691" t="s">
        <v>85</v>
      </c>
      <c r="V691">
        <v>2</v>
      </c>
      <c r="W691">
        <v>1</v>
      </c>
      <c r="X691" t="s">
        <v>44</v>
      </c>
      <c r="Y691" t="s">
        <v>60</v>
      </c>
      <c r="Z691" t="s">
        <v>86</v>
      </c>
      <c r="AA691" s="2">
        <v>45517</v>
      </c>
      <c r="AB691" t="b">
        <v>1</v>
      </c>
      <c r="AC691" t="b">
        <v>0</v>
      </c>
      <c r="AD691" t="s">
        <v>74</v>
      </c>
      <c r="AE691" t="s">
        <v>67</v>
      </c>
      <c r="AF691">
        <v>12</v>
      </c>
    </row>
    <row r="692" spans="1:32" x14ac:dyDescent="0.25">
      <c r="A692" t="s">
        <v>1454</v>
      </c>
      <c r="B692">
        <v>690</v>
      </c>
      <c r="C692">
        <v>29</v>
      </c>
      <c r="D692" t="str">
        <f>IF(tbl_Original[[#This Row],[Gender2]]="Female","Female",IF(tbl_Original[[#This Row],[Gender2]]="Male","Male","Other"))</f>
        <v>Female</v>
      </c>
      <c r="E692" t="s">
        <v>29</v>
      </c>
      <c r="F692" t="s">
        <v>30</v>
      </c>
      <c r="G692" t="s">
        <v>76</v>
      </c>
      <c r="H692" t="s">
        <v>56</v>
      </c>
      <c r="I692" t="s">
        <v>44</v>
      </c>
      <c r="J692" t="str">
        <f>PROPER(TRIM(CLEAN(tbl_Original[[#This Row],[Column1]])))</f>
        <v>Luoting</v>
      </c>
      <c r="K692" t="s">
        <v>1455</v>
      </c>
      <c r="L692" t="s">
        <v>1455</v>
      </c>
      <c r="M692" t="s">
        <v>194</v>
      </c>
      <c r="N692" s="1">
        <v>385.32</v>
      </c>
      <c r="O692">
        <v>10</v>
      </c>
      <c r="P692" t="s">
        <v>78</v>
      </c>
      <c r="Q692">
        <v>1</v>
      </c>
      <c r="R692">
        <v>1</v>
      </c>
      <c r="S692">
        <v>1</v>
      </c>
      <c r="T692" t="s">
        <v>59</v>
      </c>
      <c r="U692" t="s">
        <v>85</v>
      </c>
      <c r="V692">
        <v>0</v>
      </c>
      <c r="W692">
        <v>1</v>
      </c>
      <c r="X692" t="s">
        <v>49</v>
      </c>
      <c r="Y692" t="s">
        <v>60</v>
      </c>
      <c r="Z692" t="s">
        <v>51</v>
      </c>
      <c r="AA692" s="2">
        <v>45540</v>
      </c>
      <c r="AB692" t="b">
        <v>1</v>
      </c>
      <c r="AC692" t="b">
        <v>1</v>
      </c>
      <c r="AD692" t="s">
        <v>62</v>
      </c>
      <c r="AE692" t="s">
        <v>53</v>
      </c>
      <c r="AF692">
        <v>9</v>
      </c>
    </row>
    <row r="693" spans="1:32" x14ac:dyDescent="0.25">
      <c r="A693" t="s">
        <v>1456</v>
      </c>
      <c r="B693">
        <v>691</v>
      </c>
      <c r="C693">
        <v>25</v>
      </c>
      <c r="D693" t="str">
        <f>IF(tbl_Original[[#This Row],[Gender2]]="Female","Female",IF(tbl_Original[[#This Row],[Gender2]]="Male","Male","Other"))</f>
        <v>Other</v>
      </c>
      <c r="E693" t="s">
        <v>190</v>
      </c>
      <c r="F693" t="s">
        <v>30</v>
      </c>
      <c r="G693" t="s">
        <v>31</v>
      </c>
      <c r="H693" t="s">
        <v>32</v>
      </c>
      <c r="I693" t="s">
        <v>44</v>
      </c>
      <c r="J693" t="str">
        <f>PROPER(TRIM(CLEAN(tbl_Original[[#This Row],[Column1]])))</f>
        <v>Stepnogorsk</v>
      </c>
      <c r="K693" t="s">
        <v>1457</v>
      </c>
      <c r="L693" t="s">
        <v>1457</v>
      </c>
      <c r="M693" t="s">
        <v>93</v>
      </c>
      <c r="N693" s="1">
        <v>293.99</v>
      </c>
      <c r="O693">
        <v>10</v>
      </c>
      <c r="P693" t="s">
        <v>35</v>
      </c>
      <c r="Q693">
        <v>3</v>
      </c>
      <c r="R693">
        <v>4</v>
      </c>
      <c r="S693">
        <v>0</v>
      </c>
      <c r="T693" t="s">
        <v>36</v>
      </c>
      <c r="U693" t="s">
        <v>37</v>
      </c>
      <c r="V693">
        <v>2</v>
      </c>
      <c r="W693">
        <v>7</v>
      </c>
      <c r="X693" t="s">
        <v>36</v>
      </c>
      <c r="Y693" t="s">
        <v>38</v>
      </c>
      <c r="Z693" t="s">
        <v>39</v>
      </c>
      <c r="AA693" s="2">
        <v>45564</v>
      </c>
      <c r="AB693" t="b">
        <v>0</v>
      </c>
      <c r="AC693" t="b">
        <v>1</v>
      </c>
      <c r="AD693" t="s">
        <v>52</v>
      </c>
      <c r="AE693" t="s">
        <v>41</v>
      </c>
      <c r="AF693">
        <v>5</v>
      </c>
    </row>
    <row r="694" spans="1:32" x14ac:dyDescent="0.25">
      <c r="A694" t="s">
        <v>1458</v>
      </c>
      <c r="B694">
        <v>692</v>
      </c>
      <c r="C694">
        <v>37</v>
      </c>
      <c r="D694" t="str">
        <f>IF(tbl_Original[[#This Row],[Gender2]]="Female","Female",IF(tbl_Original[[#This Row],[Gender2]]="Male","Male","Other"))</f>
        <v>Male</v>
      </c>
      <c r="E694" t="s">
        <v>43</v>
      </c>
      <c r="F694" t="s">
        <v>30</v>
      </c>
      <c r="G694" t="s">
        <v>69</v>
      </c>
      <c r="H694" t="s">
        <v>45</v>
      </c>
      <c r="I694" t="s">
        <v>30</v>
      </c>
      <c r="J694" t="str">
        <f>PROPER(TRIM(CLEAN(tbl_Original[[#This Row],[Column1]])))</f>
        <v>Zarechnyy</v>
      </c>
      <c r="K694" t="s">
        <v>1459</v>
      </c>
      <c r="L694" t="s">
        <v>1459</v>
      </c>
      <c r="M694" t="s">
        <v>126</v>
      </c>
      <c r="N694" s="1">
        <v>161.41</v>
      </c>
      <c r="O694">
        <v>9</v>
      </c>
      <c r="P694" t="s">
        <v>35</v>
      </c>
      <c r="Q694">
        <v>1</v>
      </c>
      <c r="R694">
        <v>4</v>
      </c>
      <c r="S694">
        <v>0</v>
      </c>
      <c r="T694" t="s">
        <v>59</v>
      </c>
      <c r="U694" t="s">
        <v>85</v>
      </c>
      <c r="V694">
        <v>1</v>
      </c>
      <c r="W694">
        <v>8</v>
      </c>
      <c r="X694" t="s">
        <v>44</v>
      </c>
      <c r="Y694" t="s">
        <v>79</v>
      </c>
      <c r="Z694" t="s">
        <v>51</v>
      </c>
      <c r="AA694" s="2">
        <v>45389</v>
      </c>
      <c r="AB694" t="b">
        <v>1</v>
      </c>
      <c r="AC694" t="b">
        <v>0</v>
      </c>
      <c r="AD694" t="s">
        <v>62</v>
      </c>
      <c r="AE694" t="s">
        <v>53</v>
      </c>
      <c r="AF694">
        <v>3</v>
      </c>
    </row>
    <row r="695" spans="1:32" x14ac:dyDescent="0.25">
      <c r="A695" t="s">
        <v>1460</v>
      </c>
      <c r="B695">
        <v>693</v>
      </c>
      <c r="C695">
        <v>39</v>
      </c>
      <c r="D695" t="str">
        <f>IF(tbl_Original[[#This Row],[Gender2]]="Female","Female",IF(tbl_Original[[#This Row],[Gender2]]="Male","Male","Other"))</f>
        <v>Male</v>
      </c>
      <c r="E695" t="s">
        <v>43</v>
      </c>
      <c r="F695" t="s">
        <v>30</v>
      </c>
      <c r="G695" t="s">
        <v>55</v>
      </c>
      <c r="H695" t="s">
        <v>56</v>
      </c>
      <c r="I695" t="s">
        <v>30</v>
      </c>
      <c r="J695" t="str">
        <f>PROPER(TRIM(CLEAN(tbl_Original[[#This Row],[Column1]])))</f>
        <v>La Unin</v>
      </c>
      <c r="K695" t="s">
        <v>2175</v>
      </c>
      <c r="L695" t="s">
        <v>675</v>
      </c>
      <c r="M695" t="s">
        <v>158</v>
      </c>
      <c r="N695" s="1">
        <v>130.91999999999999</v>
      </c>
      <c r="O695">
        <v>2</v>
      </c>
      <c r="P695" t="s">
        <v>78</v>
      </c>
      <c r="Q695">
        <v>1</v>
      </c>
      <c r="R695">
        <v>2</v>
      </c>
      <c r="S695">
        <v>1</v>
      </c>
      <c r="T695" t="s">
        <v>44</v>
      </c>
      <c r="U695" t="s">
        <v>85</v>
      </c>
      <c r="V695">
        <v>2</v>
      </c>
      <c r="W695">
        <v>2</v>
      </c>
      <c r="X695" t="s">
        <v>36</v>
      </c>
      <c r="Y695" t="s">
        <v>38</v>
      </c>
      <c r="Z695" t="s">
        <v>86</v>
      </c>
      <c r="AA695" s="2">
        <v>45644</v>
      </c>
      <c r="AB695" t="b">
        <v>1</v>
      </c>
      <c r="AC695" t="b">
        <v>1</v>
      </c>
      <c r="AD695" t="s">
        <v>62</v>
      </c>
      <c r="AE695" t="s">
        <v>41</v>
      </c>
      <c r="AF695">
        <v>9</v>
      </c>
    </row>
    <row r="696" spans="1:32" x14ac:dyDescent="0.25">
      <c r="A696" t="s">
        <v>1461</v>
      </c>
      <c r="B696">
        <v>694</v>
      </c>
      <c r="C696">
        <v>48</v>
      </c>
      <c r="D696" t="str">
        <f>IF(tbl_Original[[#This Row],[Gender2]]="Female","Female",IF(tbl_Original[[#This Row],[Gender2]]="Male","Male","Other"))</f>
        <v>Female</v>
      </c>
      <c r="E696" t="s">
        <v>29</v>
      </c>
      <c r="F696" t="s">
        <v>30</v>
      </c>
      <c r="G696" t="s">
        <v>76</v>
      </c>
      <c r="H696" t="s">
        <v>32</v>
      </c>
      <c r="I696" t="s">
        <v>44</v>
      </c>
      <c r="J696" t="str">
        <f>PROPER(TRIM(CLEAN(tbl_Original[[#This Row],[Column1]])))</f>
        <v>Banjar Medura</v>
      </c>
      <c r="K696" t="s">
        <v>1462</v>
      </c>
      <c r="L696" t="s">
        <v>1462</v>
      </c>
      <c r="M696" t="s">
        <v>126</v>
      </c>
      <c r="N696" s="1">
        <v>468.6</v>
      </c>
      <c r="O696">
        <v>4</v>
      </c>
      <c r="P696" t="s">
        <v>35</v>
      </c>
      <c r="Q696">
        <v>3</v>
      </c>
      <c r="R696">
        <v>4</v>
      </c>
      <c r="S696">
        <v>2</v>
      </c>
      <c r="T696" t="s">
        <v>49</v>
      </c>
      <c r="U696" t="s">
        <v>37</v>
      </c>
      <c r="V696">
        <v>0</v>
      </c>
      <c r="W696">
        <v>6</v>
      </c>
      <c r="X696" t="s">
        <v>36</v>
      </c>
      <c r="Y696" t="s">
        <v>79</v>
      </c>
      <c r="Z696" t="s">
        <v>51</v>
      </c>
      <c r="AA696" s="2">
        <v>45457</v>
      </c>
      <c r="AB696" t="b">
        <v>0</v>
      </c>
      <c r="AC696" t="b">
        <v>1</v>
      </c>
      <c r="AD696" t="s">
        <v>40</v>
      </c>
      <c r="AE696" t="s">
        <v>41</v>
      </c>
      <c r="AF696">
        <v>2</v>
      </c>
    </row>
    <row r="697" spans="1:32" x14ac:dyDescent="0.25">
      <c r="A697" t="s">
        <v>1463</v>
      </c>
      <c r="B697">
        <v>695</v>
      </c>
      <c r="C697">
        <v>47</v>
      </c>
      <c r="D697" t="str">
        <f>IF(tbl_Original[[#This Row],[Gender2]]="Female","Female",IF(tbl_Original[[#This Row],[Gender2]]="Male","Male","Other"))</f>
        <v>Male</v>
      </c>
      <c r="E697" t="s">
        <v>43</v>
      </c>
      <c r="F697" t="s">
        <v>44</v>
      </c>
      <c r="G697" t="s">
        <v>76</v>
      </c>
      <c r="H697" t="s">
        <v>32</v>
      </c>
      <c r="I697" t="s">
        <v>30</v>
      </c>
      <c r="J697" t="str">
        <f>PROPER(TRIM(CLEAN(tbl_Original[[#This Row],[Column1]])))</f>
        <v>Arnprior</v>
      </c>
      <c r="K697" t="s">
        <v>1464</v>
      </c>
      <c r="L697" t="s">
        <v>1464</v>
      </c>
      <c r="M697" t="s">
        <v>126</v>
      </c>
      <c r="N697" s="1">
        <v>237.57</v>
      </c>
      <c r="O697">
        <v>5</v>
      </c>
      <c r="P697" t="s">
        <v>78</v>
      </c>
      <c r="Q697">
        <v>3</v>
      </c>
      <c r="R697">
        <v>3</v>
      </c>
      <c r="S697">
        <v>0</v>
      </c>
      <c r="T697" t="s">
        <v>49</v>
      </c>
      <c r="U697" t="s">
        <v>37</v>
      </c>
      <c r="V697">
        <v>0</v>
      </c>
      <c r="W697">
        <v>3</v>
      </c>
      <c r="X697" t="s">
        <v>49</v>
      </c>
      <c r="Y697" t="s">
        <v>60</v>
      </c>
      <c r="Z697" t="s">
        <v>86</v>
      </c>
      <c r="AA697" s="2">
        <v>45407</v>
      </c>
      <c r="AB697" t="b">
        <v>1</v>
      </c>
      <c r="AC697" t="b">
        <v>1</v>
      </c>
      <c r="AD697" t="s">
        <v>40</v>
      </c>
      <c r="AE697" t="s">
        <v>41</v>
      </c>
      <c r="AF697">
        <v>11</v>
      </c>
    </row>
    <row r="698" spans="1:32" x14ac:dyDescent="0.25">
      <c r="A698" t="s">
        <v>1465</v>
      </c>
      <c r="B698">
        <v>696</v>
      </c>
      <c r="C698">
        <v>50</v>
      </c>
      <c r="D698" t="str">
        <f>IF(tbl_Original[[#This Row],[Gender2]]="Female","Female",IF(tbl_Original[[#This Row],[Gender2]]="Male","Male","Other"))</f>
        <v>Female</v>
      </c>
      <c r="E698" t="s">
        <v>29</v>
      </c>
      <c r="F698" t="s">
        <v>30</v>
      </c>
      <c r="G698" t="s">
        <v>76</v>
      </c>
      <c r="H698" t="s">
        <v>45</v>
      </c>
      <c r="I698" t="s">
        <v>44</v>
      </c>
      <c r="J698" t="str">
        <f>PROPER(TRIM(CLEAN(tbl_Original[[#This Row],[Column1]])))</f>
        <v>Donglu</v>
      </c>
      <c r="K698" t="s">
        <v>1466</v>
      </c>
      <c r="L698" t="s">
        <v>1466</v>
      </c>
      <c r="M698" t="s">
        <v>71</v>
      </c>
      <c r="N698" s="1">
        <v>395.18</v>
      </c>
      <c r="O698">
        <v>5</v>
      </c>
      <c r="P698" t="s">
        <v>48</v>
      </c>
      <c r="Q698">
        <v>2</v>
      </c>
      <c r="R698">
        <v>2</v>
      </c>
      <c r="S698">
        <v>1</v>
      </c>
      <c r="T698" t="s">
        <v>36</v>
      </c>
      <c r="U698" t="s">
        <v>50</v>
      </c>
      <c r="V698">
        <v>0</v>
      </c>
      <c r="W698">
        <v>5</v>
      </c>
      <c r="X698" t="s">
        <v>44</v>
      </c>
      <c r="Y698" t="s">
        <v>60</v>
      </c>
      <c r="Z698" t="s">
        <v>66</v>
      </c>
      <c r="AA698" s="2">
        <v>45493</v>
      </c>
      <c r="AB698" t="b">
        <v>1</v>
      </c>
      <c r="AC698" t="b">
        <v>1</v>
      </c>
      <c r="AD698" t="s">
        <v>40</v>
      </c>
      <c r="AE698" t="s">
        <v>53</v>
      </c>
      <c r="AF698">
        <v>6</v>
      </c>
    </row>
    <row r="699" spans="1:32" x14ac:dyDescent="0.25">
      <c r="A699" t="s">
        <v>1467</v>
      </c>
      <c r="B699">
        <v>697</v>
      </c>
      <c r="C699">
        <v>42</v>
      </c>
      <c r="D699" t="str">
        <f>IF(tbl_Original[[#This Row],[Gender2]]="Female","Female",IF(tbl_Original[[#This Row],[Gender2]]="Male","Male","Other"))</f>
        <v>Other</v>
      </c>
      <c r="E699" t="s">
        <v>212</v>
      </c>
      <c r="F699" t="s">
        <v>44</v>
      </c>
      <c r="G699" t="s">
        <v>31</v>
      </c>
      <c r="H699" t="s">
        <v>45</v>
      </c>
      <c r="I699" t="s">
        <v>30</v>
      </c>
      <c r="J699" t="str">
        <f>PROPER(TRIM(CLEAN(tbl_Original[[#This Row],[Column1]])))</f>
        <v>Inderka</v>
      </c>
      <c r="K699" t="s">
        <v>1468</v>
      </c>
      <c r="L699" t="s">
        <v>1468</v>
      </c>
      <c r="M699" t="s">
        <v>117</v>
      </c>
      <c r="N699" s="1">
        <v>427.94</v>
      </c>
      <c r="O699">
        <v>12</v>
      </c>
      <c r="P699" t="s">
        <v>35</v>
      </c>
      <c r="Q699">
        <v>5</v>
      </c>
      <c r="R699">
        <v>4</v>
      </c>
      <c r="S699">
        <v>1.3</v>
      </c>
      <c r="T699" t="s">
        <v>44</v>
      </c>
      <c r="U699" t="s">
        <v>50</v>
      </c>
      <c r="V699">
        <v>1</v>
      </c>
      <c r="W699">
        <v>2</v>
      </c>
      <c r="X699" t="s">
        <v>36</v>
      </c>
      <c r="Y699" t="s">
        <v>60</v>
      </c>
      <c r="Z699" t="s">
        <v>66</v>
      </c>
      <c r="AA699" s="2">
        <v>45380</v>
      </c>
      <c r="AB699" t="b">
        <v>0</v>
      </c>
      <c r="AC699" t="b">
        <v>0</v>
      </c>
      <c r="AD699" t="s">
        <v>62</v>
      </c>
      <c r="AE699" t="s">
        <v>41</v>
      </c>
      <c r="AF699">
        <v>10</v>
      </c>
    </row>
    <row r="700" spans="1:32" x14ac:dyDescent="0.25">
      <c r="A700" t="s">
        <v>1469</v>
      </c>
      <c r="B700">
        <v>698</v>
      </c>
      <c r="C700">
        <v>28</v>
      </c>
      <c r="D700" t="str">
        <f>IF(tbl_Original[[#This Row],[Gender2]]="Female","Female",IF(tbl_Original[[#This Row],[Gender2]]="Male","Male","Other"))</f>
        <v>Female</v>
      </c>
      <c r="E700" t="s">
        <v>29</v>
      </c>
      <c r="F700" t="s">
        <v>44</v>
      </c>
      <c r="G700" t="s">
        <v>55</v>
      </c>
      <c r="H700" t="s">
        <v>32</v>
      </c>
      <c r="I700" t="s">
        <v>44</v>
      </c>
      <c r="J700" t="str">
        <f>PROPER(TRIM(CLEAN(tbl_Original[[#This Row],[Column1]])))</f>
        <v>Tochio-Honch</v>
      </c>
      <c r="K700" t="s">
        <v>2234</v>
      </c>
      <c r="L700" t="s">
        <v>1470</v>
      </c>
      <c r="M700" t="s">
        <v>107</v>
      </c>
      <c r="N700" s="1">
        <v>81.23</v>
      </c>
      <c r="O700">
        <v>9</v>
      </c>
      <c r="P700" t="s">
        <v>35</v>
      </c>
      <c r="Q700">
        <v>2</v>
      </c>
      <c r="R700">
        <v>5</v>
      </c>
      <c r="S700">
        <v>2</v>
      </c>
      <c r="T700" t="s">
        <v>44</v>
      </c>
      <c r="U700" t="s">
        <v>50</v>
      </c>
      <c r="V700">
        <v>1</v>
      </c>
      <c r="W700">
        <v>10</v>
      </c>
      <c r="X700" t="s">
        <v>49</v>
      </c>
      <c r="Y700" t="s">
        <v>38</v>
      </c>
      <c r="Z700" t="s">
        <v>86</v>
      </c>
      <c r="AA700" s="2">
        <v>45377</v>
      </c>
      <c r="AB700" t="b">
        <v>0</v>
      </c>
      <c r="AC700" t="b">
        <v>1</v>
      </c>
      <c r="AD700" t="s">
        <v>52</v>
      </c>
      <c r="AE700" t="s">
        <v>53</v>
      </c>
      <c r="AF700">
        <v>6</v>
      </c>
    </row>
    <row r="701" spans="1:32" x14ac:dyDescent="0.25">
      <c r="A701" t="s">
        <v>1471</v>
      </c>
      <c r="B701">
        <v>699</v>
      </c>
      <c r="C701">
        <v>23</v>
      </c>
      <c r="D701" t="str">
        <f>IF(tbl_Original[[#This Row],[Gender2]]="Female","Female",IF(tbl_Original[[#This Row],[Gender2]]="Male","Male","Other"))</f>
        <v>Male</v>
      </c>
      <c r="E701" t="s">
        <v>43</v>
      </c>
      <c r="F701" t="s">
        <v>30</v>
      </c>
      <c r="G701" t="s">
        <v>55</v>
      </c>
      <c r="H701" t="s">
        <v>45</v>
      </c>
      <c r="I701" t="s">
        <v>30</v>
      </c>
      <c r="J701" t="str">
        <f>PROPER(TRIM(CLEAN(tbl_Original[[#This Row],[Column1]])))</f>
        <v>Pasadena</v>
      </c>
      <c r="K701" t="s">
        <v>1472</v>
      </c>
      <c r="L701" t="s">
        <v>1472</v>
      </c>
      <c r="M701" t="s">
        <v>107</v>
      </c>
      <c r="N701" s="1">
        <v>257.43</v>
      </c>
      <c r="O701">
        <v>5</v>
      </c>
      <c r="P701" t="s">
        <v>78</v>
      </c>
      <c r="Q701">
        <v>4</v>
      </c>
      <c r="R701">
        <v>2</v>
      </c>
      <c r="S701">
        <v>0</v>
      </c>
      <c r="T701" t="s">
        <v>59</v>
      </c>
      <c r="U701" t="s">
        <v>37</v>
      </c>
      <c r="V701">
        <v>1</v>
      </c>
      <c r="W701">
        <v>7</v>
      </c>
      <c r="X701" t="s">
        <v>59</v>
      </c>
      <c r="Y701" t="s">
        <v>79</v>
      </c>
      <c r="Z701" t="s">
        <v>66</v>
      </c>
      <c r="AA701" s="2">
        <v>45396</v>
      </c>
      <c r="AB701" t="b">
        <v>1</v>
      </c>
      <c r="AC701" t="b">
        <v>1</v>
      </c>
      <c r="AD701" t="s">
        <v>40</v>
      </c>
      <c r="AE701" t="s">
        <v>53</v>
      </c>
      <c r="AF701">
        <v>13</v>
      </c>
    </row>
    <row r="702" spans="1:32" x14ac:dyDescent="0.25">
      <c r="A702" t="s">
        <v>1473</v>
      </c>
      <c r="B702">
        <v>700</v>
      </c>
      <c r="C702">
        <v>42</v>
      </c>
      <c r="D702" t="str">
        <f>IF(tbl_Original[[#This Row],[Gender2]]="Female","Female",IF(tbl_Original[[#This Row],[Gender2]]="Male","Male","Other"))</f>
        <v>Male</v>
      </c>
      <c r="E702" t="s">
        <v>43</v>
      </c>
      <c r="F702" t="s">
        <v>44</v>
      </c>
      <c r="G702" t="s">
        <v>76</v>
      </c>
      <c r="H702" t="s">
        <v>45</v>
      </c>
      <c r="I702" t="s">
        <v>44</v>
      </c>
      <c r="J702" t="str">
        <f>PROPER(TRIM(CLEAN(tbl_Original[[#This Row],[Column1]])))</f>
        <v>Barishl</v>
      </c>
      <c r="K702" t="s">
        <v>2143</v>
      </c>
      <c r="L702" t="s">
        <v>1474</v>
      </c>
      <c r="M702" t="s">
        <v>135</v>
      </c>
      <c r="N702" s="1">
        <v>305.73</v>
      </c>
      <c r="O702">
        <v>7</v>
      </c>
      <c r="P702" t="s">
        <v>35</v>
      </c>
      <c r="Q702">
        <v>2</v>
      </c>
      <c r="R702">
        <v>5</v>
      </c>
      <c r="S702">
        <v>1</v>
      </c>
      <c r="T702" t="s">
        <v>49</v>
      </c>
      <c r="U702" t="s">
        <v>50</v>
      </c>
      <c r="V702">
        <v>2</v>
      </c>
      <c r="W702">
        <v>8</v>
      </c>
      <c r="X702" t="s">
        <v>49</v>
      </c>
      <c r="Y702" t="s">
        <v>38</v>
      </c>
      <c r="Z702" t="s">
        <v>86</v>
      </c>
      <c r="AA702" s="2">
        <v>45640</v>
      </c>
      <c r="AB702" t="b">
        <v>1</v>
      </c>
      <c r="AC702" t="b">
        <v>0</v>
      </c>
      <c r="AD702" t="s">
        <v>74</v>
      </c>
      <c r="AE702" t="s">
        <v>67</v>
      </c>
      <c r="AF702">
        <v>14</v>
      </c>
    </row>
    <row r="703" spans="1:32" x14ac:dyDescent="0.25">
      <c r="A703" t="s">
        <v>1475</v>
      </c>
      <c r="B703">
        <v>701</v>
      </c>
      <c r="C703">
        <v>32</v>
      </c>
      <c r="D703" t="str">
        <f>IF(tbl_Original[[#This Row],[Gender2]]="Female","Female",IF(tbl_Original[[#This Row],[Gender2]]="Male","Male","Other"))</f>
        <v>Male</v>
      </c>
      <c r="E703" t="s">
        <v>43</v>
      </c>
      <c r="F703" t="s">
        <v>44</v>
      </c>
      <c r="G703" t="s">
        <v>55</v>
      </c>
      <c r="H703" t="s">
        <v>32</v>
      </c>
      <c r="I703" t="s">
        <v>44</v>
      </c>
      <c r="J703" t="str">
        <f>PROPER(TRIM(CLEAN(tbl_Original[[#This Row],[Column1]])))</f>
        <v>Kihurio</v>
      </c>
      <c r="K703" t="s">
        <v>1476</v>
      </c>
      <c r="L703" t="s">
        <v>1476</v>
      </c>
      <c r="M703" t="s">
        <v>126</v>
      </c>
      <c r="N703" s="1">
        <v>249.82</v>
      </c>
      <c r="O703">
        <v>10</v>
      </c>
      <c r="P703" t="s">
        <v>48</v>
      </c>
      <c r="Q703">
        <v>5</v>
      </c>
      <c r="R703">
        <v>3</v>
      </c>
      <c r="S703">
        <v>1</v>
      </c>
      <c r="T703" t="s">
        <v>44</v>
      </c>
      <c r="U703" t="s">
        <v>50</v>
      </c>
      <c r="V703">
        <v>2</v>
      </c>
      <c r="W703">
        <v>6</v>
      </c>
      <c r="X703" t="s">
        <v>49</v>
      </c>
      <c r="Y703" t="s">
        <v>38</v>
      </c>
      <c r="Z703" t="s">
        <v>51</v>
      </c>
      <c r="AA703" s="2">
        <v>45516</v>
      </c>
      <c r="AB703" t="b">
        <v>1</v>
      </c>
      <c r="AC703" t="b">
        <v>0</v>
      </c>
      <c r="AD703" t="s">
        <v>52</v>
      </c>
      <c r="AE703" t="s">
        <v>41</v>
      </c>
      <c r="AF703">
        <v>10</v>
      </c>
    </row>
    <row r="704" spans="1:32" x14ac:dyDescent="0.25">
      <c r="A704" t="s">
        <v>1477</v>
      </c>
      <c r="B704">
        <v>702</v>
      </c>
      <c r="C704">
        <v>33</v>
      </c>
      <c r="D704" t="str">
        <f>IF(tbl_Original[[#This Row],[Gender2]]="Female","Female",IF(tbl_Original[[#This Row],[Gender2]]="Male","Male","Other"))</f>
        <v>Male</v>
      </c>
      <c r="E704" t="s">
        <v>43</v>
      </c>
      <c r="F704" t="s">
        <v>30</v>
      </c>
      <c r="G704" t="s">
        <v>76</v>
      </c>
      <c r="H704" t="s">
        <v>32</v>
      </c>
      <c r="I704" t="s">
        <v>44</v>
      </c>
      <c r="J704" t="str">
        <f>PROPER(TRIM(CLEAN(tbl_Original[[#This Row],[Column1]])))</f>
        <v>Oekero</v>
      </c>
      <c r="K704" t="s">
        <v>1478</v>
      </c>
      <c r="L704" t="s">
        <v>1478</v>
      </c>
      <c r="M704" t="s">
        <v>101</v>
      </c>
      <c r="N704" s="1">
        <v>332.79</v>
      </c>
      <c r="O704">
        <v>11</v>
      </c>
      <c r="P704" t="s">
        <v>78</v>
      </c>
      <c r="Q704">
        <v>3</v>
      </c>
      <c r="R704">
        <v>5</v>
      </c>
      <c r="S704">
        <v>2</v>
      </c>
      <c r="T704" t="s">
        <v>36</v>
      </c>
      <c r="U704" t="s">
        <v>50</v>
      </c>
      <c r="V704">
        <v>2</v>
      </c>
      <c r="W704">
        <v>1</v>
      </c>
      <c r="X704" t="s">
        <v>44</v>
      </c>
      <c r="Y704" t="s">
        <v>38</v>
      </c>
      <c r="Z704" t="s">
        <v>51</v>
      </c>
      <c r="AA704" s="2">
        <v>45533</v>
      </c>
      <c r="AB704" t="b">
        <v>0</v>
      </c>
      <c r="AC704" t="b">
        <v>0</v>
      </c>
      <c r="AD704" t="s">
        <v>52</v>
      </c>
      <c r="AE704" t="s">
        <v>41</v>
      </c>
      <c r="AF704">
        <v>4</v>
      </c>
    </row>
    <row r="705" spans="1:32" x14ac:dyDescent="0.25">
      <c r="A705" t="s">
        <v>1479</v>
      </c>
      <c r="B705">
        <v>703</v>
      </c>
      <c r="C705">
        <v>32</v>
      </c>
      <c r="D705" t="str">
        <f>IF(tbl_Original[[#This Row],[Gender2]]="Female","Female",IF(tbl_Original[[#This Row],[Gender2]]="Male","Male","Other"))</f>
        <v>Male</v>
      </c>
      <c r="E705" t="s">
        <v>43</v>
      </c>
      <c r="F705" t="s">
        <v>44</v>
      </c>
      <c r="G705" t="s">
        <v>55</v>
      </c>
      <c r="H705" t="s">
        <v>32</v>
      </c>
      <c r="I705" t="s">
        <v>30</v>
      </c>
      <c r="J705" t="str">
        <f>PROPER(TRIM(CLEAN(tbl_Original[[#This Row],[Column1]])))</f>
        <v>Cluses</v>
      </c>
      <c r="K705" t="s">
        <v>1480</v>
      </c>
      <c r="L705" t="s">
        <v>1480</v>
      </c>
      <c r="M705" t="s">
        <v>135</v>
      </c>
      <c r="N705" s="1">
        <v>78.900000000000006</v>
      </c>
      <c r="O705">
        <v>3</v>
      </c>
      <c r="P705" t="s">
        <v>48</v>
      </c>
      <c r="Q705">
        <v>4</v>
      </c>
      <c r="R705">
        <v>1</v>
      </c>
      <c r="S705">
        <v>1</v>
      </c>
      <c r="T705" t="s">
        <v>59</v>
      </c>
      <c r="U705" t="s">
        <v>50</v>
      </c>
      <c r="V705">
        <v>0</v>
      </c>
      <c r="W705">
        <v>1</v>
      </c>
      <c r="X705" t="s">
        <v>49</v>
      </c>
      <c r="Y705" t="s">
        <v>38</v>
      </c>
      <c r="Z705" t="s">
        <v>61</v>
      </c>
      <c r="AA705" s="2">
        <v>45542</v>
      </c>
      <c r="AB705" t="b">
        <v>0</v>
      </c>
      <c r="AC705" t="b">
        <v>1</v>
      </c>
      <c r="AD705" t="s">
        <v>74</v>
      </c>
      <c r="AE705" t="s">
        <v>53</v>
      </c>
      <c r="AF705">
        <v>10</v>
      </c>
    </row>
    <row r="706" spans="1:32" x14ac:dyDescent="0.25">
      <c r="A706" t="s">
        <v>1481</v>
      </c>
      <c r="B706">
        <v>704</v>
      </c>
      <c r="C706">
        <v>29</v>
      </c>
      <c r="D706" t="str">
        <f>IF(tbl_Original[[#This Row],[Gender2]]="Female","Female",IF(tbl_Original[[#This Row],[Gender2]]="Male","Male","Other"))</f>
        <v>Male</v>
      </c>
      <c r="E706" t="s">
        <v>43</v>
      </c>
      <c r="F706" t="s">
        <v>44</v>
      </c>
      <c r="G706" t="s">
        <v>69</v>
      </c>
      <c r="H706" t="s">
        <v>45</v>
      </c>
      <c r="I706" t="s">
        <v>44</v>
      </c>
      <c r="J706" t="str">
        <f>PROPER(TRIM(CLEAN(tbl_Original[[#This Row],[Column1]])))</f>
        <v>Wrzsowice</v>
      </c>
      <c r="K706" t="s">
        <v>2235</v>
      </c>
      <c r="L706" t="s">
        <v>1482</v>
      </c>
      <c r="M706" t="s">
        <v>104</v>
      </c>
      <c r="N706" s="1">
        <v>122.55</v>
      </c>
      <c r="O706">
        <v>9</v>
      </c>
      <c r="P706" t="s">
        <v>35</v>
      </c>
      <c r="Q706">
        <v>2</v>
      </c>
      <c r="R706">
        <v>4</v>
      </c>
      <c r="S706">
        <v>0.3</v>
      </c>
      <c r="T706" t="s">
        <v>59</v>
      </c>
      <c r="U706" t="s">
        <v>50</v>
      </c>
      <c r="V706">
        <v>2</v>
      </c>
      <c r="W706">
        <v>3</v>
      </c>
      <c r="X706" t="s">
        <v>49</v>
      </c>
      <c r="Y706" t="s">
        <v>79</v>
      </c>
      <c r="Z706" t="s">
        <v>39</v>
      </c>
      <c r="AA706" s="2">
        <v>45471</v>
      </c>
      <c r="AB706" t="b">
        <v>0</v>
      </c>
      <c r="AC706" t="b">
        <v>0</v>
      </c>
      <c r="AD706" t="s">
        <v>62</v>
      </c>
      <c r="AE706" t="s">
        <v>67</v>
      </c>
      <c r="AF706">
        <v>4</v>
      </c>
    </row>
    <row r="707" spans="1:32" x14ac:dyDescent="0.25">
      <c r="A707" t="s">
        <v>1483</v>
      </c>
      <c r="B707">
        <v>705</v>
      </c>
      <c r="C707">
        <v>25</v>
      </c>
      <c r="D707" t="str">
        <f>IF(tbl_Original[[#This Row],[Gender2]]="Female","Female",IF(tbl_Original[[#This Row],[Gender2]]="Male","Male","Other"))</f>
        <v>Other</v>
      </c>
      <c r="E707" t="s">
        <v>190</v>
      </c>
      <c r="F707" t="s">
        <v>44</v>
      </c>
      <c r="G707" t="s">
        <v>76</v>
      </c>
      <c r="H707" t="s">
        <v>32</v>
      </c>
      <c r="I707" t="s">
        <v>30</v>
      </c>
      <c r="J707" t="str">
        <f>PROPER(TRIM(CLEAN(tbl_Original[[#This Row],[Column1]])))</f>
        <v>Hengfeng</v>
      </c>
      <c r="K707" t="s">
        <v>1484</v>
      </c>
      <c r="L707" t="s">
        <v>1484</v>
      </c>
      <c r="M707" t="s">
        <v>93</v>
      </c>
      <c r="N707" s="1">
        <v>307.61</v>
      </c>
      <c r="O707">
        <v>6</v>
      </c>
      <c r="P707" t="s">
        <v>35</v>
      </c>
      <c r="Q707">
        <v>1</v>
      </c>
      <c r="R707">
        <v>1</v>
      </c>
      <c r="S707">
        <v>0</v>
      </c>
      <c r="T707" t="s">
        <v>59</v>
      </c>
      <c r="U707" t="s">
        <v>37</v>
      </c>
      <c r="V707">
        <v>0</v>
      </c>
      <c r="W707">
        <v>9</v>
      </c>
      <c r="X707" t="s">
        <v>49</v>
      </c>
      <c r="Y707" t="s">
        <v>60</v>
      </c>
      <c r="Z707" t="s">
        <v>51</v>
      </c>
      <c r="AA707" s="2">
        <v>45547</v>
      </c>
      <c r="AB707" t="b">
        <v>1</v>
      </c>
      <c r="AC707" t="b">
        <v>1</v>
      </c>
      <c r="AD707" t="s">
        <v>40</v>
      </c>
      <c r="AE707" t="s">
        <v>41</v>
      </c>
      <c r="AF707">
        <v>10</v>
      </c>
    </row>
    <row r="708" spans="1:32" x14ac:dyDescent="0.25">
      <c r="A708" t="s">
        <v>1485</v>
      </c>
      <c r="B708">
        <v>706</v>
      </c>
      <c r="C708">
        <v>41</v>
      </c>
      <c r="D708" t="str">
        <f>IF(tbl_Original[[#This Row],[Gender2]]="Female","Female",IF(tbl_Original[[#This Row],[Gender2]]="Male","Male","Other"))</f>
        <v>Female</v>
      </c>
      <c r="E708" t="s">
        <v>29</v>
      </c>
      <c r="F708" t="s">
        <v>44</v>
      </c>
      <c r="G708" t="s">
        <v>76</v>
      </c>
      <c r="H708" t="s">
        <v>32</v>
      </c>
      <c r="I708" t="s">
        <v>30</v>
      </c>
      <c r="J708" t="str">
        <f>PROPER(TRIM(CLEAN(tbl_Original[[#This Row],[Column1]])))</f>
        <v>Bor</v>
      </c>
      <c r="K708" t="s">
        <v>1486</v>
      </c>
      <c r="L708" t="s">
        <v>1486</v>
      </c>
      <c r="M708" t="s">
        <v>120</v>
      </c>
      <c r="N708" s="1">
        <v>152.33000000000001</v>
      </c>
      <c r="O708">
        <v>2</v>
      </c>
      <c r="P708" t="s">
        <v>48</v>
      </c>
      <c r="Q708">
        <v>1</v>
      </c>
      <c r="R708">
        <v>5</v>
      </c>
      <c r="S708">
        <v>1</v>
      </c>
      <c r="T708" t="s">
        <v>36</v>
      </c>
      <c r="U708" t="s">
        <v>50</v>
      </c>
      <c r="V708">
        <v>1</v>
      </c>
      <c r="W708">
        <v>6</v>
      </c>
      <c r="X708" t="s">
        <v>44</v>
      </c>
      <c r="Y708" t="s">
        <v>60</v>
      </c>
      <c r="Z708" t="s">
        <v>61</v>
      </c>
      <c r="AA708" s="2">
        <v>45310</v>
      </c>
      <c r="AB708" t="b">
        <v>0</v>
      </c>
      <c r="AC708" t="b">
        <v>1</v>
      </c>
      <c r="AD708" t="s">
        <v>62</v>
      </c>
      <c r="AE708" t="s">
        <v>41</v>
      </c>
      <c r="AF708">
        <v>8</v>
      </c>
    </row>
    <row r="709" spans="1:32" x14ac:dyDescent="0.25">
      <c r="A709" t="s">
        <v>1487</v>
      </c>
      <c r="B709">
        <v>707</v>
      </c>
      <c r="C709">
        <v>24</v>
      </c>
      <c r="D709" t="str">
        <f>IF(tbl_Original[[#This Row],[Gender2]]="Female","Female",IF(tbl_Original[[#This Row],[Gender2]]="Male","Male","Other"))</f>
        <v>Female</v>
      </c>
      <c r="E709" t="s">
        <v>29</v>
      </c>
      <c r="F709" t="s">
        <v>30</v>
      </c>
      <c r="G709" t="s">
        <v>76</v>
      </c>
      <c r="H709" t="s">
        <v>32</v>
      </c>
      <c r="I709" t="s">
        <v>44</v>
      </c>
      <c r="J709" t="str">
        <f>PROPER(TRIM(CLEAN(tbl_Original[[#This Row],[Column1]])))</f>
        <v>Nawu</v>
      </c>
      <c r="K709" t="s">
        <v>1488</v>
      </c>
      <c r="L709" t="s">
        <v>1488</v>
      </c>
      <c r="M709" t="s">
        <v>93</v>
      </c>
      <c r="N709" s="1">
        <v>465.07</v>
      </c>
      <c r="O709">
        <v>8</v>
      </c>
      <c r="P709" t="s">
        <v>78</v>
      </c>
      <c r="Q709">
        <v>2</v>
      </c>
      <c r="R709">
        <v>4</v>
      </c>
      <c r="S709">
        <v>0</v>
      </c>
      <c r="T709" t="s">
        <v>49</v>
      </c>
      <c r="U709" t="s">
        <v>50</v>
      </c>
      <c r="V709">
        <v>1</v>
      </c>
      <c r="W709">
        <v>2</v>
      </c>
      <c r="X709" t="s">
        <v>44</v>
      </c>
      <c r="Y709" t="s">
        <v>79</v>
      </c>
      <c r="Z709" t="s">
        <v>86</v>
      </c>
      <c r="AA709" s="2">
        <v>45353</v>
      </c>
      <c r="AB709" t="b">
        <v>0</v>
      </c>
      <c r="AC709" t="b">
        <v>0</v>
      </c>
      <c r="AD709" t="s">
        <v>52</v>
      </c>
      <c r="AE709" t="s">
        <v>41</v>
      </c>
      <c r="AF709">
        <v>8</v>
      </c>
    </row>
    <row r="710" spans="1:32" x14ac:dyDescent="0.25">
      <c r="A710" t="s">
        <v>1489</v>
      </c>
      <c r="B710">
        <v>708</v>
      </c>
      <c r="C710">
        <v>32</v>
      </c>
      <c r="D710" t="str">
        <f>IF(tbl_Original[[#This Row],[Gender2]]="Female","Female",IF(tbl_Original[[#This Row],[Gender2]]="Male","Male","Other"))</f>
        <v>Female</v>
      </c>
      <c r="E710" t="s">
        <v>29</v>
      </c>
      <c r="F710" t="s">
        <v>44</v>
      </c>
      <c r="G710" t="s">
        <v>55</v>
      </c>
      <c r="H710" t="s">
        <v>56</v>
      </c>
      <c r="I710" t="s">
        <v>30</v>
      </c>
      <c r="J710" t="str">
        <f>PROPER(TRIM(CLEAN(tbl_Original[[#This Row],[Column1]])))</f>
        <v>Longotea</v>
      </c>
      <c r="K710" t="s">
        <v>1490</v>
      </c>
      <c r="L710" t="s">
        <v>1490</v>
      </c>
      <c r="M710" t="s">
        <v>90</v>
      </c>
      <c r="N710" s="1">
        <v>498.23</v>
      </c>
      <c r="O710">
        <v>10</v>
      </c>
      <c r="P710" t="s">
        <v>78</v>
      </c>
      <c r="Q710">
        <v>5</v>
      </c>
      <c r="R710">
        <v>2</v>
      </c>
      <c r="S710">
        <v>0</v>
      </c>
      <c r="T710" t="s">
        <v>36</v>
      </c>
      <c r="U710" t="s">
        <v>85</v>
      </c>
      <c r="V710">
        <v>0</v>
      </c>
      <c r="W710">
        <v>7</v>
      </c>
      <c r="X710" t="s">
        <v>49</v>
      </c>
      <c r="Y710" t="s">
        <v>60</v>
      </c>
      <c r="Z710" t="s">
        <v>66</v>
      </c>
      <c r="AA710" s="2">
        <v>45299</v>
      </c>
      <c r="AB710" t="b">
        <v>1</v>
      </c>
      <c r="AC710" t="b">
        <v>0</v>
      </c>
      <c r="AD710" t="s">
        <v>74</v>
      </c>
      <c r="AE710" t="s">
        <v>41</v>
      </c>
      <c r="AF710">
        <v>9</v>
      </c>
    </row>
    <row r="711" spans="1:32" x14ac:dyDescent="0.25">
      <c r="A711" t="s">
        <v>1491</v>
      </c>
      <c r="B711">
        <v>709</v>
      </c>
      <c r="C711">
        <v>41</v>
      </c>
      <c r="D711" t="str">
        <f>IF(tbl_Original[[#This Row],[Gender2]]="Female","Female",IF(tbl_Original[[#This Row],[Gender2]]="Male","Male","Other"))</f>
        <v>Female</v>
      </c>
      <c r="E711" t="s">
        <v>29</v>
      </c>
      <c r="F711" t="s">
        <v>30</v>
      </c>
      <c r="G711" t="s">
        <v>69</v>
      </c>
      <c r="H711" t="s">
        <v>45</v>
      </c>
      <c r="I711" t="s">
        <v>30</v>
      </c>
      <c r="J711" t="str">
        <f>PROPER(TRIM(CLEAN(tbl_Original[[#This Row],[Column1]])))</f>
        <v>Abl Al Jabr</v>
      </c>
      <c r="K711" t="s">
        <v>2286</v>
      </c>
      <c r="L711" t="s">
        <v>1492</v>
      </c>
      <c r="M711" t="s">
        <v>98</v>
      </c>
      <c r="N711" s="1">
        <v>491.18</v>
      </c>
      <c r="O711">
        <v>3</v>
      </c>
      <c r="P711" t="s">
        <v>35</v>
      </c>
      <c r="Q711">
        <v>4</v>
      </c>
      <c r="R711">
        <v>4</v>
      </c>
      <c r="S711">
        <v>1</v>
      </c>
      <c r="T711" t="s">
        <v>44</v>
      </c>
      <c r="U711" t="s">
        <v>85</v>
      </c>
      <c r="V711">
        <v>0</v>
      </c>
      <c r="W711">
        <v>6</v>
      </c>
      <c r="X711" t="s">
        <v>36</v>
      </c>
      <c r="Y711" t="s">
        <v>60</v>
      </c>
      <c r="Z711" t="s">
        <v>86</v>
      </c>
      <c r="AA711" s="2">
        <v>45531</v>
      </c>
      <c r="AB711" t="b">
        <v>0</v>
      </c>
      <c r="AC711" t="b">
        <v>0</v>
      </c>
      <c r="AD711" t="s">
        <v>62</v>
      </c>
      <c r="AE711" t="s">
        <v>41</v>
      </c>
      <c r="AF711">
        <v>14</v>
      </c>
    </row>
    <row r="712" spans="1:32" x14ac:dyDescent="0.25">
      <c r="A712" t="s">
        <v>1493</v>
      </c>
      <c r="B712">
        <v>710</v>
      </c>
      <c r="C712">
        <v>18</v>
      </c>
      <c r="D712" t="str">
        <f>IF(tbl_Original[[#This Row],[Gender2]]="Female","Female",IF(tbl_Original[[#This Row],[Gender2]]="Male","Male","Other"))</f>
        <v>Male</v>
      </c>
      <c r="E712" t="s">
        <v>43</v>
      </c>
      <c r="F712" t="s">
        <v>30</v>
      </c>
      <c r="G712" t="s">
        <v>76</v>
      </c>
      <c r="H712" t="s">
        <v>32</v>
      </c>
      <c r="I712" t="s">
        <v>30</v>
      </c>
      <c r="J712" t="str">
        <f>PROPER(TRIM(CLEAN(tbl_Original[[#This Row],[Column1]])))</f>
        <v>Gueset</v>
      </c>
      <c r="K712" t="s">
        <v>1494</v>
      </c>
      <c r="L712" t="s">
        <v>1494</v>
      </c>
      <c r="M712" t="s">
        <v>104</v>
      </c>
      <c r="N712" s="1">
        <v>149.41999999999999</v>
      </c>
      <c r="O712">
        <v>3</v>
      </c>
      <c r="P712" t="s">
        <v>35</v>
      </c>
      <c r="Q712">
        <v>1</v>
      </c>
      <c r="R712">
        <v>1</v>
      </c>
      <c r="S712">
        <v>2</v>
      </c>
      <c r="T712" t="s">
        <v>49</v>
      </c>
      <c r="U712" t="s">
        <v>85</v>
      </c>
      <c r="V712">
        <v>0</v>
      </c>
      <c r="W712">
        <v>6</v>
      </c>
      <c r="X712" t="s">
        <v>36</v>
      </c>
      <c r="Y712" t="s">
        <v>79</v>
      </c>
      <c r="Z712" t="s">
        <v>86</v>
      </c>
      <c r="AA712" s="2">
        <v>45294</v>
      </c>
      <c r="AB712" t="b">
        <v>1</v>
      </c>
      <c r="AC712" t="b">
        <v>0</v>
      </c>
      <c r="AD712" t="s">
        <v>52</v>
      </c>
      <c r="AE712" t="s">
        <v>67</v>
      </c>
      <c r="AF712">
        <v>5</v>
      </c>
    </row>
    <row r="713" spans="1:32" x14ac:dyDescent="0.25">
      <c r="A713" t="s">
        <v>1495</v>
      </c>
      <c r="B713">
        <v>711</v>
      </c>
      <c r="C713">
        <v>25</v>
      </c>
      <c r="D713" t="str">
        <f>IF(tbl_Original[[#This Row],[Gender2]]="Female","Female",IF(tbl_Original[[#This Row],[Gender2]]="Male","Male","Other"))</f>
        <v>Male</v>
      </c>
      <c r="E713" t="s">
        <v>43</v>
      </c>
      <c r="F713" t="s">
        <v>30</v>
      </c>
      <c r="G713" t="s">
        <v>55</v>
      </c>
      <c r="H713" t="s">
        <v>56</v>
      </c>
      <c r="I713" t="s">
        <v>30</v>
      </c>
      <c r="J713" t="str">
        <f>PROPER(TRIM(CLEAN(tbl_Original[[#This Row],[Column1]])))</f>
        <v>Lkak</v>
      </c>
      <c r="K713" t="s">
        <v>2236</v>
      </c>
      <c r="L713" t="s">
        <v>1496</v>
      </c>
      <c r="M713" t="s">
        <v>71</v>
      </c>
      <c r="N713" s="1">
        <v>82.13</v>
      </c>
      <c r="O713">
        <v>9</v>
      </c>
      <c r="P713" t="s">
        <v>78</v>
      </c>
      <c r="Q713">
        <v>5</v>
      </c>
      <c r="R713">
        <v>1</v>
      </c>
      <c r="S713">
        <v>0</v>
      </c>
      <c r="T713" t="s">
        <v>49</v>
      </c>
      <c r="U713" t="s">
        <v>37</v>
      </c>
      <c r="V713">
        <v>2</v>
      </c>
      <c r="W713">
        <v>6</v>
      </c>
      <c r="X713" t="s">
        <v>44</v>
      </c>
      <c r="Y713" t="s">
        <v>38</v>
      </c>
      <c r="Z713" t="s">
        <v>61</v>
      </c>
      <c r="AA713" s="2">
        <v>45391</v>
      </c>
      <c r="AB713" t="b">
        <v>1</v>
      </c>
      <c r="AC713" t="b">
        <v>1</v>
      </c>
      <c r="AD713" t="s">
        <v>40</v>
      </c>
      <c r="AE713" t="s">
        <v>67</v>
      </c>
      <c r="AF713">
        <v>6</v>
      </c>
    </row>
    <row r="714" spans="1:32" x14ac:dyDescent="0.25">
      <c r="A714" t="s">
        <v>1497</v>
      </c>
      <c r="B714">
        <v>712</v>
      </c>
      <c r="C714">
        <v>49</v>
      </c>
      <c r="D714" t="str">
        <f>IF(tbl_Original[[#This Row],[Gender2]]="Female","Female",IF(tbl_Original[[#This Row],[Gender2]]="Male","Male","Other"))</f>
        <v>Male</v>
      </c>
      <c r="E714" t="s">
        <v>43</v>
      </c>
      <c r="F714" t="s">
        <v>30</v>
      </c>
      <c r="G714" t="s">
        <v>76</v>
      </c>
      <c r="H714" t="s">
        <v>32</v>
      </c>
      <c r="I714" t="s">
        <v>44</v>
      </c>
      <c r="J714" t="str">
        <f>PROPER(TRIM(CLEAN(tbl_Original[[#This Row],[Column1]])))</f>
        <v>Yuanguping</v>
      </c>
      <c r="K714" t="s">
        <v>1498</v>
      </c>
      <c r="L714" t="s">
        <v>1498</v>
      </c>
      <c r="M714" t="s">
        <v>90</v>
      </c>
      <c r="N714" s="1">
        <v>425.18</v>
      </c>
      <c r="O714">
        <v>4</v>
      </c>
      <c r="P714" t="s">
        <v>35</v>
      </c>
      <c r="Q714">
        <v>2</v>
      </c>
      <c r="R714">
        <v>1</v>
      </c>
      <c r="S714">
        <v>0</v>
      </c>
      <c r="T714" t="s">
        <v>49</v>
      </c>
      <c r="U714" t="s">
        <v>85</v>
      </c>
      <c r="V714">
        <v>1</v>
      </c>
      <c r="W714">
        <v>8</v>
      </c>
      <c r="X714" t="s">
        <v>49</v>
      </c>
      <c r="Y714" t="s">
        <v>38</v>
      </c>
      <c r="Z714" t="s">
        <v>51</v>
      </c>
      <c r="AA714" s="2">
        <v>45370</v>
      </c>
      <c r="AB714" t="b">
        <v>1</v>
      </c>
      <c r="AC714" t="b">
        <v>0</v>
      </c>
      <c r="AD714" t="s">
        <v>52</v>
      </c>
      <c r="AE714" t="s">
        <v>53</v>
      </c>
      <c r="AF714">
        <v>10</v>
      </c>
    </row>
    <row r="715" spans="1:32" x14ac:dyDescent="0.25">
      <c r="A715" t="s">
        <v>1499</v>
      </c>
      <c r="B715">
        <v>713</v>
      </c>
      <c r="C715">
        <v>39</v>
      </c>
      <c r="D715" t="str">
        <f>IF(tbl_Original[[#This Row],[Gender2]]="Female","Female",IF(tbl_Original[[#This Row],[Gender2]]="Male","Male","Other"))</f>
        <v>Male</v>
      </c>
      <c r="E715" t="s">
        <v>43</v>
      </c>
      <c r="F715" t="s">
        <v>44</v>
      </c>
      <c r="G715" t="s">
        <v>31</v>
      </c>
      <c r="H715" t="s">
        <v>56</v>
      </c>
      <c r="I715" t="s">
        <v>30</v>
      </c>
      <c r="J715" t="str">
        <f>PROPER(TRIM(CLEAN(tbl_Original[[#This Row],[Column1]])))</f>
        <v>Coln</v>
      </c>
      <c r="K715" t="s">
        <v>2237</v>
      </c>
      <c r="L715" t="s">
        <v>1500</v>
      </c>
      <c r="M715" t="s">
        <v>135</v>
      </c>
      <c r="N715" s="1">
        <v>176.12</v>
      </c>
      <c r="O715">
        <v>8</v>
      </c>
      <c r="P715" t="s">
        <v>78</v>
      </c>
      <c r="Q715">
        <v>2</v>
      </c>
      <c r="R715">
        <v>3</v>
      </c>
      <c r="S715">
        <v>1.2</v>
      </c>
      <c r="T715" t="s">
        <v>49</v>
      </c>
      <c r="U715" t="s">
        <v>37</v>
      </c>
      <c r="V715">
        <v>1</v>
      </c>
      <c r="W715">
        <v>10</v>
      </c>
      <c r="X715" t="s">
        <v>59</v>
      </c>
      <c r="Y715" t="s">
        <v>79</v>
      </c>
      <c r="Z715" t="s">
        <v>39</v>
      </c>
      <c r="AA715" s="2">
        <v>45458</v>
      </c>
      <c r="AB715" t="b">
        <v>1</v>
      </c>
      <c r="AC715" t="b">
        <v>1</v>
      </c>
      <c r="AD715" t="s">
        <v>62</v>
      </c>
      <c r="AE715" t="s">
        <v>53</v>
      </c>
      <c r="AF715">
        <v>14</v>
      </c>
    </row>
    <row r="716" spans="1:32" x14ac:dyDescent="0.25">
      <c r="A716" t="s">
        <v>1501</v>
      </c>
      <c r="B716">
        <v>714</v>
      </c>
      <c r="C716">
        <v>47</v>
      </c>
      <c r="D716" t="str">
        <f>IF(tbl_Original[[#This Row],[Gender2]]="Female","Female",IF(tbl_Original[[#This Row],[Gender2]]="Male","Male","Other"))</f>
        <v>Female</v>
      </c>
      <c r="E716" t="s">
        <v>29</v>
      </c>
      <c r="F716" t="s">
        <v>44</v>
      </c>
      <c r="G716" t="s">
        <v>55</v>
      </c>
      <c r="H716" t="s">
        <v>45</v>
      </c>
      <c r="I716" t="s">
        <v>30</v>
      </c>
      <c r="J716" t="str">
        <f>PROPER(TRIM(CLEAN(tbl_Original[[#This Row],[Column1]])))</f>
        <v>Lyon</v>
      </c>
      <c r="K716" t="s">
        <v>1502</v>
      </c>
      <c r="L716" t="s">
        <v>1502</v>
      </c>
      <c r="M716" t="s">
        <v>246</v>
      </c>
      <c r="N716" s="1">
        <v>70.3</v>
      </c>
      <c r="O716">
        <v>6</v>
      </c>
      <c r="P716" t="s">
        <v>78</v>
      </c>
      <c r="Q716">
        <v>3</v>
      </c>
      <c r="R716">
        <v>5</v>
      </c>
      <c r="S716">
        <v>0</v>
      </c>
      <c r="T716" t="s">
        <v>36</v>
      </c>
      <c r="U716" t="s">
        <v>85</v>
      </c>
      <c r="V716">
        <v>1</v>
      </c>
      <c r="W716">
        <v>8</v>
      </c>
      <c r="X716" t="s">
        <v>49</v>
      </c>
      <c r="Y716" t="s">
        <v>79</v>
      </c>
      <c r="Z716" t="s">
        <v>86</v>
      </c>
      <c r="AA716" s="2">
        <v>45354</v>
      </c>
      <c r="AB716" t="b">
        <v>1</v>
      </c>
      <c r="AC716" t="b">
        <v>1</v>
      </c>
      <c r="AD716" t="s">
        <v>40</v>
      </c>
      <c r="AE716" t="s">
        <v>53</v>
      </c>
      <c r="AF716">
        <v>3</v>
      </c>
    </row>
    <row r="717" spans="1:32" x14ac:dyDescent="0.25">
      <c r="A717" t="s">
        <v>1503</v>
      </c>
      <c r="B717">
        <v>715</v>
      </c>
      <c r="C717">
        <v>43</v>
      </c>
      <c r="D717" t="str">
        <f>IF(tbl_Original[[#This Row],[Gender2]]="Female","Female",IF(tbl_Original[[#This Row],[Gender2]]="Male","Male","Other"))</f>
        <v>Male</v>
      </c>
      <c r="E717" t="s">
        <v>43</v>
      </c>
      <c r="F717" t="s">
        <v>30</v>
      </c>
      <c r="G717" t="s">
        <v>31</v>
      </c>
      <c r="H717" t="s">
        <v>32</v>
      </c>
      <c r="I717" t="s">
        <v>30</v>
      </c>
      <c r="J717" t="str">
        <f>PROPER(TRIM(CLEAN(tbl_Original[[#This Row],[Column1]])))</f>
        <v>Chamical</v>
      </c>
      <c r="K717" t="s">
        <v>1504</v>
      </c>
      <c r="L717" t="s">
        <v>1504</v>
      </c>
      <c r="M717" t="s">
        <v>98</v>
      </c>
      <c r="N717" s="1">
        <v>319.39</v>
      </c>
      <c r="O717">
        <v>7</v>
      </c>
      <c r="P717" t="s">
        <v>35</v>
      </c>
      <c r="Q717">
        <v>4</v>
      </c>
      <c r="R717">
        <v>5</v>
      </c>
      <c r="S717">
        <v>0</v>
      </c>
      <c r="T717" t="s">
        <v>36</v>
      </c>
      <c r="U717" t="s">
        <v>85</v>
      </c>
      <c r="V717">
        <v>1</v>
      </c>
      <c r="W717">
        <v>10</v>
      </c>
      <c r="X717" t="s">
        <v>44</v>
      </c>
      <c r="Y717" t="s">
        <v>79</v>
      </c>
      <c r="Z717" t="s">
        <v>39</v>
      </c>
      <c r="AA717" s="2">
        <v>45613</v>
      </c>
      <c r="AB717" t="b">
        <v>0</v>
      </c>
      <c r="AC717" t="b">
        <v>1</v>
      </c>
      <c r="AD717" t="s">
        <v>74</v>
      </c>
      <c r="AE717" t="s">
        <v>53</v>
      </c>
      <c r="AF717">
        <v>3</v>
      </c>
    </row>
    <row r="718" spans="1:32" x14ac:dyDescent="0.25">
      <c r="A718" t="s">
        <v>1505</v>
      </c>
      <c r="B718">
        <v>716</v>
      </c>
      <c r="C718">
        <v>38</v>
      </c>
      <c r="D718" t="str">
        <f>IF(tbl_Original[[#This Row],[Gender2]]="Female","Female",IF(tbl_Original[[#This Row],[Gender2]]="Male","Male","Other"))</f>
        <v>Female</v>
      </c>
      <c r="E718" t="s">
        <v>29</v>
      </c>
      <c r="F718" t="s">
        <v>44</v>
      </c>
      <c r="G718" t="s">
        <v>69</v>
      </c>
      <c r="H718" t="s">
        <v>45</v>
      </c>
      <c r="I718" t="s">
        <v>44</v>
      </c>
      <c r="J718" t="str">
        <f>PROPER(TRIM(CLEAN(tbl_Original[[#This Row],[Column1]])))</f>
        <v>Gios Andras</v>
      </c>
      <c r="K718" t="s">
        <v>2287</v>
      </c>
      <c r="L718" t="s">
        <v>1506</v>
      </c>
      <c r="M718" t="s">
        <v>65</v>
      </c>
      <c r="N718" s="1">
        <v>113.51</v>
      </c>
      <c r="O718">
        <v>11</v>
      </c>
      <c r="P718" t="s">
        <v>35</v>
      </c>
      <c r="Q718">
        <v>4</v>
      </c>
      <c r="R718">
        <v>1</v>
      </c>
      <c r="S718">
        <v>1</v>
      </c>
      <c r="T718" t="s">
        <v>44</v>
      </c>
      <c r="U718" t="s">
        <v>50</v>
      </c>
      <c r="V718">
        <v>2</v>
      </c>
      <c r="W718">
        <v>2</v>
      </c>
      <c r="X718" t="s">
        <v>59</v>
      </c>
      <c r="Y718" t="s">
        <v>79</v>
      </c>
      <c r="Z718" t="s">
        <v>39</v>
      </c>
      <c r="AA718" s="2">
        <v>45336</v>
      </c>
      <c r="AB718" t="b">
        <v>1</v>
      </c>
      <c r="AC718" t="b">
        <v>1</v>
      </c>
      <c r="AD718" t="s">
        <v>74</v>
      </c>
      <c r="AE718" t="s">
        <v>67</v>
      </c>
      <c r="AF718">
        <v>8</v>
      </c>
    </row>
    <row r="719" spans="1:32" x14ac:dyDescent="0.25">
      <c r="A719" t="s">
        <v>1507</v>
      </c>
      <c r="B719">
        <v>717</v>
      </c>
      <c r="C719">
        <v>40</v>
      </c>
      <c r="D719" t="str">
        <f>IF(tbl_Original[[#This Row],[Gender2]]="Female","Female",IF(tbl_Original[[#This Row],[Gender2]]="Male","Male","Other"))</f>
        <v>Female</v>
      </c>
      <c r="E719" t="s">
        <v>29</v>
      </c>
      <c r="F719" t="s">
        <v>44</v>
      </c>
      <c r="G719" t="s">
        <v>55</v>
      </c>
      <c r="H719" t="s">
        <v>32</v>
      </c>
      <c r="I719" t="s">
        <v>30</v>
      </c>
      <c r="J719" t="str">
        <f>PROPER(TRIM(CLEAN(tbl_Original[[#This Row],[Column1]])))</f>
        <v>Cibeusi</v>
      </c>
      <c r="K719" t="s">
        <v>1508</v>
      </c>
      <c r="L719" t="s">
        <v>1508</v>
      </c>
      <c r="M719" t="s">
        <v>101</v>
      </c>
      <c r="N719" s="1">
        <v>492.74</v>
      </c>
      <c r="O719">
        <v>2</v>
      </c>
      <c r="P719" t="s">
        <v>35</v>
      </c>
      <c r="Q719">
        <v>1</v>
      </c>
      <c r="R719">
        <v>5</v>
      </c>
      <c r="S719">
        <v>2</v>
      </c>
      <c r="T719" t="s">
        <v>59</v>
      </c>
      <c r="U719" t="s">
        <v>85</v>
      </c>
      <c r="V719">
        <v>1</v>
      </c>
      <c r="W719">
        <v>3</v>
      </c>
      <c r="X719" t="s">
        <v>44</v>
      </c>
      <c r="Y719" t="s">
        <v>38</v>
      </c>
      <c r="Z719" t="s">
        <v>66</v>
      </c>
      <c r="AA719" s="2">
        <v>45351</v>
      </c>
      <c r="AB719" t="b">
        <v>1</v>
      </c>
      <c r="AC719" t="b">
        <v>0</v>
      </c>
      <c r="AD719" t="s">
        <v>40</v>
      </c>
      <c r="AE719" t="s">
        <v>67</v>
      </c>
      <c r="AF719">
        <v>13</v>
      </c>
    </row>
    <row r="720" spans="1:32" x14ac:dyDescent="0.25">
      <c r="A720" t="s">
        <v>1509</v>
      </c>
      <c r="B720">
        <v>718</v>
      </c>
      <c r="C720">
        <v>33</v>
      </c>
      <c r="D720" t="str">
        <f>IF(tbl_Original[[#This Row],[Gender2]]="Female","Female",IF(tbl_Original[[#This Row],[Gender2]]="Male","Male","Other"))</f>
        <v>Male</v>
      </c>
      <c r="E720" t="s">
        <v>43</v>
      </c>
      <c r="F720" t="s">
        <v>30</v>
      </c>
      <c r="G720" t="s">
        <v>76</v>
      </c>
      <c r="H720" t="s">
        <v>56</v>
      </c>
      <c r="I720" t="s">
        <v>30</v>
      </c>
      <c r="J720" t="str">
        <f>PROPER(TRIM(CLEAN(tbl_Original[[#This Row],[Column1]])))</f>
        <v>Itsandzni</v>
      </c>
      <c r="K720" t="s">
        <v>2238</v>
      </c>
      <c r="L720" t="s">
        <v>1510</v>
      </c>
      <c r="M720" t="s">
        <v>71</v>
      </c>
      <c r="N720" s="1">
        <v>143.80000000000001</v>
      </c>
      <c r="O720">
        <v>9</v>
      </c>
      <c r="P720" t="s">
        <v>48</v>
      </c>
      <c r="Q720">
        <v>2</v>
      </c>
      <c r="R720">
        <v>2</v>
      </c>
      <c r="S720">
        <v>2</v>
      </c>
      <c r="T720" t="s">
        <v>59</v>
      </c>
      <c r="U720" t="s">
        <v>37</v>
      </c>
      <c r="V720">
        <v>0</v>
      </c>
      <c r="W720">
        <v>7</v>
      </c>
      <c r="X720" t="s">
        <v>36</v>
      </c>
      <c r="Y720" t="s">
        <v>38</v>
      </c>
      <c r="Z720" t="s">
        <v>61</v>
      </c>
      <c r="AA720" s="2">
        <v>45344</v>
      </c>
      <c r="AB720" t="b">
        <v>1</v>
      </c>
      <c r="AC720" t="b">
        <v>0</v>
      </c>
      <c r="AD720" t="s">
        <v>52</v>
      </c>
      <c r="AE720" t="s">
        <v>41</v>
      </c>
      <c r="AF720">
        <v>11</v>
      </c>
    </row>
    <row r="721" spans="1:32" x14ac:dyDescent="0.25">
      <c r="A721" t="s">
        <v>1511</v>
      </c>
      <c r="B721">
        <v>719</v>
      </c>
      <c r="C721">
        <v>18</v>
      </c>
      <c r="D721" t="str">
        <f>IF(tbl_Original[[#This Row],[Gender2]]="Female","Female",IF(tbl_Original[[#This Row],[Gender2]]="Male","Male","Other"))</f>
        <v>Other</v>
      </c>
      <c r="E721" t="s">
        <v>274</v>
      </c>
      <c r="F721" t="s">
        <v>30</v>
      </c>
      <c r="G721" t="s">
        <v>69</v>
      </c>
      <c r="H721" t="s">
        <v>32</v>
      </c>
      <c r="I721" t="s">
        <v>30</v>
      </c>
      <c r="J721" t="str">
        <f>PROPER(TRIM(CLEAN(tbl_Original[[#This Row],[Column1]])))</f>
        <v>Kosh-Agach</v>
      </c>
      <c r="K721" t="s">
        <v>1512</v>
      </c>
      <c r="L721" t="s">
        <v>1512</v>
      </c>
      <c r="M721" t="s">
        <v>135</v>
      </c>
      <c r="N721" s="1">
        <v>158.54</v>
      </c>
      <c r="O721">
        <v>5</v>
      </c>
      <c r="P721" t="s">
        <v>78</v>
      </c>
      <c r="Q721">
        <v>2</v>
      </c>
      <c r="R721">
        <v>1</v>
      </c>
      <c r="S721">
        <v>1</v>
      </c>
      <c r="T721" t="s">
        <v>59</v>
      </c>
      <c r="U721" t="s">
        <v>50</v>
      </c>
      <c r="V721">
        <v>2</v>
      </c>
      <c r="W721">
        <v>7</v>
      </c>
      <c r="X721" t="s">
        <v>44</v>
      </c>
      <c r="Y721" t="s">
        <v>60</v>
      </c>
      <c r="Z721" t="s">
        <v>61</v>
      </c>
      <c r="AA721" s="2">
        <v>45382</v>
      </c>
      <c r="AB721" t="b">
        <v>0</v>
      </c>
      <c r="AC721" t="b">
        <v>0</v>
      </c>
      <c r="AD721" t="s">
        <v>74</v>
      </c>
      <c r="AE721" t="s">
        <v>67</v>
      </c>
      <c r="AF721">
        <v>5</v>
      </c>
    </row>
    <row r="722" spans="1:32" x14ac:dyDescent="0.25">
      <c r="A722" t="s">
        <v>1513</v>
      </c>
      <c r="B722">
        <v>720</v>
      </c>
      <c r="C722">
        <v>39</v>
      </c>
      <c r="D722" t="str">
        <f>IF(tbl_Original[[#This Row],[Gender2]]="Female","Female",IF(tbl_Original[[#This Row],[Gender2]]="Male","Male","Other"))</f>
        <v>Female</v>
      </c>
      <c r="E722" t="s">
        <v>29</v>
      </c>
      <c r="F722" t="s">
        <v>44</v>
      </c>
      <c r="G722" t="s">
        <v>31</v>
      </c>
      <c r="H722" t="s">
        <v>32</v>
      </c>
      <c r="I722" t="s">
        <v>44</v>
      </c>
      <c r="J722" t="str">
        <f>PROPER(TRIM(CLEAN(tbl_Original[[#This Row],[Column1]])))</f>
        <v>Kuafeu</v>
      </c>
      <c r="K722" t="s">
        <v>1514</v>
      </c>
      <c r="L722" t="s">
        <v>1514</v>
      </c>
      <c r="M722" t="s">
        <v>71</v>
      </c>
      <c r="N722" s="1">
        <v>213.39</v>
      </c>
      <c r="O722">
        <v>6</v>
      </c>
      <c r="P722" t="s">
        <v>78</v>
      </c>
      <c r="Q722">
        <v>3</v>
      </c>
      <c r="R722">
        <v>4</v>
      </c>
      <c r="S722">
        <v>2</v>
      </c>
      <c r="T722" t="s">
        <v>49</v>
      </c>
      <c r="U722" t="s">
        <v>50</v>
      </c>
      <c r="V722">
        <v>2</v>
      </c>
      <c r="W722">
        <v>5</v>
      </c>
      <c r="X722" t="s">
        <v>49</v>
      </c>
      <c r="Y722" t="s">
        <v>79</v>
      </c>
      <c r="Z722" t="s">
        <v>86</v>
      </c>
      <c r="AA722" s="2">
        <v>45592</v>
      </c>
      <c r="AB722" t="b">
        <v>0</v>
      </c>
      <c r="AC722" t="b">
        <v>1</v>
      </c>
      <c r="AD722" t="s">
        <v>74</v>
      </c>
      <c r="AE722" t="s">
        <v>53</v>
      </c>
      <c r="AF722">
        <v>4</v>
      </c>
    </row>
    <row r="723" spans="1:32" x14ac:dyDescent="0.25">
      <c r="A723" t="s">
        <v>1515</v>
      </c>
      <c r="B723">
        <v>721</v>
      </c>
      <c r="C723">
        <v>31</v>
      </c>
      <c r="D723" t="str">
        <f>IF(tbl_Original[[#This Row],[Gender2]]="Female","Female",IF(tbl_Original[[#This Row],[Gender2]]="Male","Male","Other"))</f>
        <v>Male</v>
      </c>
      <c r="E723" t="s">
        <v>43</v>
      </c>
      <c r="F723" t="s">
        <v>30</v>
      </c>
      <c r="G723" t="s">
        <v>76</v>
      </c>
      <c r="H723" t="s">
        <v>32</v>
      </c>
      <c r="I723" t="s">
        <v>44</v>
      </c>
      <c r="J723" t="str">
        <f>PROPER(TRIM(CLEAN(tbl_Original[[#This Row],[Column1]])))</f>
        <v>Xincheng</v>
      </c>
      <c r="K723" t="s">
        <v>1516</v>
      </c>
      <c r="L723" t="s">
        <v>1516</v>
      </c>
      <c r="M723" t="s">
        <v>142</v>
      </c>
      <c r="N723" s="1">
        <v>127.18</v>
      </c>
      <c r="O723">
        <v>2</v>
      </c>
      <c r="P723" t="s">
        <v>48</v>
      </c>
      <c r="Q723">
        <v>5</v>
      </c>
      <c r="R723">
        <v>5</v>
      </c>
      <c r="S723">
        <v>1</v>
      </c>
      <c r="T723" t="s">
        <v>49</v>
      </c>
      <c r="U723" t="s">
        <v>37</v>
      </c>
      <c r="V723">
        <v>0</v>
      </c>
      <c r="W723">
        <v>2</v>
      </c>
      <c r="X723" t="s">
        <v>49</v>
      </c>
      <c r="Y723" t="s">
        <v>79</v>
      </c>
      <c r="Z723" t="s">
        <v>61</v>
      </c>
      <c r="AA723" s="2">
        <v>45647</v>
      </c>
      <c r="AB723" t="b">
        <v>0</v>
      </c>
      <c r="AC723" t="b">
        <v>0</v>
      </c>
      <c r="AD723" t="s">
        <v>74</v>
      </c>
      <c r="AE723" t="s">
        <v>53</v>
      </c>
      <c r="AF723">
        <v>4</v>
      </c>
    </row>
    <row r="724" spans="1:32" x14ac:dyDescent="0.25">
      <c r="A724" t="s">
        <v>1517</v>
      </c>
      <c r="B724">
        <v>722</v>
      </c>
      <c r="C724">
        <v>27</v>
      </c>
      <c r="D724" t="str">
        <f>IF(tbl_Original[[#This Row],[Gender2]]="Female","Female",IF(tbl_Original[[#This Row],[Gender2]]="Male","Male","Other"))</f>
        <v>Male</v>
      </c>
      <c r="E724" t="s">
        <v>43</v>
      </c>
      <c r="F724" t="s">
        <v>30</v>
      </c>
      <c r="G724" t="s">
        <v>76</v>
      </c>
      <c r="H724" t="s">
        <v>56</v>
      </c>
      <c r="I724" t="s">
        <v>44</v>
      </c>
      <c r="J724" t="str">
        <f>PROPER(TRIM(CLEAN(tbl_Original[[#This Row],[Column1]])))</f>
        <v>Minneapolis</v>
      </c>
      <c r="K724" t="s">
        <v>1518</v>
      </c>
      <c r="L724" t="s">
        <v>1518</v>
      </c>
      <c r="M724" t="s">
        <v>98</v>
      </c>
      <c r="N724" s="1">
        <v>476.63</v>
      </c>
      <c r="O724">
        <v>9</v>
      </c>
      <c r="P724" t="s">
        <v>48</v>
      </c>
      <c r="Q724">
        <v>3</v>
      </c>
      <c r="R724">
        <v>5</v>
      </c>
      <c r="S724">
        <v>2</v>
      </c>
      <c r="T724" t="s">
        <v>49</v>
      </c>
      <c r="U724" t="s">
        <v>50</v>
      </c>
      <c r="V724">
        <v>2</v>
      </c>
      <c r="W724">
        <v>2</v>
      </c>
      <c r="X724" t="s">
        <v>36</v>
      </c>
      <c r="Y724" t="s">
        <v>79</v>
      </c>
      <c r="Z724" t="s">
        <v>61</v>
      </c>
      <c r="AA724" s="2">
        <v>45615</v>
      </c>
      <c r="AB724" t="b">
        <v>1</v>
      </c>
      <c r="AC724" t="b">
        <v>0</v>
      </c>
      <c r="AD724" t="s">
        <v>62</v>
      </c>
      <c r="AE724" t="s">
        <v>41</v>
      </c>
      <c r="AF724">
        <v>1</v>
      </c>
    </row>
    <row r="725" spans="1:32" x14ac:dyDescent="0.25">
      <c r="A725" t="s">
        <v>1519</v>
      </c>
      <c r="B725">
        <v>723</v>
      </c>
      <c r="C725">
        <v>31</v>
      </c>
      <c r="D725" t="str">
        <f>IF(tbl_Original[[#This Row],[Gender2]]="Female","Female",IF(tbl_Original[[#This Row],[Gender2]]="Male","Male","Other"))</f>
        <v>Female</v>
      </c>
      <c r="E725" t="s">
        <v>29</v>
      </c>
      <c r="F725" t="s">
        <v>44</v>
      </c>
      <c r="G725" t="s">
        <v>55</v>
      </c>
      <c r="H725" t="s">
        <v>32</v>
      </c>
      <c r="I725" t="s">
        <v>30</v>
      </c>
      <c r="J725" t="str">
        <f>PROPER(TRIM(CLEAN(tbl_Original[[#This Row],[Column1]])))</f>
        <v>Pfki</v>
      </c>
      <c r="K725" t="s">
        <v>2239</v>
      </c>
      <c r="L725" t="s">
        <v>1520</v>
      </c>
      <c r="M725" t="s">
        <v>101</v>
      </c>
      <c r="N725" s="1">
        <v>56.02</v>
      </c>
      <c r="O725">
        <v>3</v>
      </c>
      <c r="P725" t="s">
        <v>78</v>
      </c>
      <c r="Q725">
        <v>5</v>
      </c>
      <c r="R725">
        <v>3</v>
      </c>
      <c r="S725">
        <v>1</v>
      </c>
      <c r="T725" t="s">
        <v>36</v>
      </c>
      <c r="U725" t="s">
        <v>85</v>
      </c>
      <c r="V725">
        <v>1</v>
      </c>
      <c r="W725">
        <v>6</v>
      </c>
      <c r="X725" t="s">
        <v>44</v>
      </c>
      <c r="Y725" t="s">
        <v>79</v>
      </c>
      <c r="Z725" t="s">
        <v>51</v>
      </c>
      <c r="AA725" s="2">
        <v>45548</v>
      </c>
      <c r="AB725" t="b">
        <v>0</v>
      </c>
      <c r="AC725" t="b">
        <v>1</v>
      </c>
      <c r="AD725" t="s">
        <v>40</v>
      </c>
      <c r="AE725" t="s">
        <v>53</v>
      </c>
      <c r="AF725">
        <v>12</v>
      </c>
    </row>
    <row r="726" spans="1:32" x14ac:dyDescent="0.25">
      <c r="A726" t="s">
        <v>1521</v>
      </c>
      <c r="B726">
        <v>724</v>
      </c>
      <c r="C726">
        <v>36</v>
      </c>
      <c r="D726" t="str">
        <f>IF(tbl_Original[[#This Row],[Gender2]]="Female","Female",IF(tbl_Original[[#This Row],[Gender2]]="Male","Male","Other"))</f>
        <v>Female</v>
      </c>
      <c r="E726" t="s">
        <v>29</v>
      </c>
      <c r="F726" t="s">
        <v>44</v>
      </c>
      <c r="G726" t="s">
        <v>69</v>
      </c>
      <c r="H726" t="s">
        <v>32</v>
      </c>
      <c r="I726" t="s">
        <v>30</v>
      </c>
      <c r="J726" t="str">
        <f>PROPER(TRIM(CLEAN(tbl_Original[[#This Row],[Column1]])))</f>
        <v>Awall</v>
      </c>
      <c r="K726" t="s">
        <v>2288</v>
      </c>
      <c r="L726" t="s">
        <v>1522</v>
      </c>
      <c r="M726" t="s">
        <v>117</v>
      </c>
      <c r="N726" s="1">
        <v>398.97</v>
      </c>
      <c r="O726">
        <v>3</v>
      </c>
      <c r="P726" t="s">
        <v>78</v>
      </c>
      <c r="Q726">
        <v>2</v>
      </c>
      <c r="R726">
        <v>3</v>
      </c>
      <c r="S726">
        <v>1</v>
      </c>
      <c r="T726" t="s">
        <v>44</v>
      </c>
      <c r="U726" t="s">
        <v>50</v>
      </c>
      <c r="V726">
        <v>2</v>
      </c>
      <c r="W726">
        <v>3</v>
      </c>
      <c r="X726" t="s">
        <v>44</v>
      </c>
      <c r="Y726" t="s">
        <v>38</v>
      </c>
      <c r="Z726" t="s">
        <v>61</v>
      </c>
      <c r="AA726" s="2">
        <v>45561</v>
      </c>
      <c r="AB726" t="b">
        <v>0</v>
      </c>
      <c r="AC726" t="b">
        <v>0</v>
      </c>
      <c r="AD726" t="s">
        <v>62</v>
      </c>
      <c r="AE726" t="s">
        <v>41</v>
      </c>
      <c r="AF726">
        <v>9</v>
      </c>
    </row>
    <row r="727" spans="1:32" x14ac:dyDescent="0.25">
      <c r="A727" t="s">
        <v>1523</v>
      </c>
      <c r="B727">
        <v>725</v>
      </c>
      <c r="C727">
        <v>27</v>
      </c>
      <c r="D727" t="str">
        <f>IF(tbl_Original[[#This Row],[Gender2]]="Female","Female",IF(tbl_Original[[#This Row],[Gender2]]="Male","Male","Other"))</f>
        <v>Female</v>
      </c>
      <c r="E727" t="s">
        <v>29</v>
      </c>
      <c r="F727" t="s">
        <v>30</v>
      </c>
      <c r="G727" t="s">
        <v>76</v>
      </c>
      <c r="H727" t="s">
        <v>45</v>
      </c>
      <c r="I727" t="s">
        <v>30</v>
      </c>
      <c r="J727" t="str">
        <f>PROPER(TRIM(CLEAN(tbl_Original[[#This Row],[Column1]])))</f>
        <v>So Mateus Do Maranho</v>
      </c>
      <c r="K727" t="s">
        <v>2197</v>
      </c>
      <c r="L727" t="s">
        <v>902</v>
      </c>
      <c r="M727" t="s">
        <v>158</v>
      </c>
      <c r="N727" s="1">
        <v>53.45</v>
      </c>
      <c r="O727">
        <v>6</v>
      </c>
      <c r="P727" t="s">
        <v>35</v>
      </c>
      <c r="Q727">
        <v>2</v>
      </c>
      <c r="R727">
        <v>3</v>
      </c>
      <c r="S727">
        <v>1</v>
      </c>
      <c r="T727" t="s">
        <v>44</v>
      </c>
      <c r="U727" t="s">
        <v>37</v>
      </c>
      <c r="V727">
        <v>1</v>
      </c>
      <c r="W727">
        <v>9</v>
      </c>
      <c r="X727" t="s">
        <v>44</v>
      </c>
      <c r="Y727" t="s">
        <v>38</v>
      </c>
      <c r="Z727" t="s">
        <v>61</v>
      </c>
      <c r="AA727" s="2">
        <v>45487</v>
      </c>
      <c r="AB727" t="b">
        <v>0</v>
      </c>
      <c r="AC727" t="b">
        <v>0</v>
      </c>
      <c r="AD727" t="s">
        <v>40</v>
      </c>
      <c r="AE727" t="s">
        <v>53</v>
      </c>
      <c r="AF727">
        <v>11</v>
      </c>
    </row>
    <row r="728" spans="1:32" x14ac:dyDescent="0.25">
      <c r="A728" t="s">
        <v>1524</v>
      </c>
      <c r="B728">
        <v>726</v>
      </c>
      <c r="C728">
        <v>21</v>
      </c>
      <c r="D728" t="str">
        <f>IF(tbl_Original[[#This Row],[Gender2]]="Female","Female",IF(tbl_Original[[#This Row],[Gender2]]="Male","Male","Other"))</f>
        <v>Other</v>
      </c>
      <c r="E728" t="s">
        <v>274</v>
      </c>
      <c r="F728" t="s">
        <v>30</v>
      </c>
      <c r="G728" t="s">
        <v>31</v>
      </c>
      <c r="H728" t="s">
        <v>32</v>
      </c>
      <c r="I728" t="s">
        <v>44</v>
      </c>
      <c r="J728" t="str">
        <f>PROPER(TRIM(CLEAN(tbl_Original[[#This Row],[Column1]])))</f>
        <v>Imielin</v>
      </c>
      <c r="K728" t="s">
        <v>1525</v>
      </c>
      <c r="L728" t="s">
        <v>1525</v>
      </c>
      <c r="M728" t="s">
        <v>158</v>
      </c>
      <c r="N728" s="1">
        <v>61.19</v>
      </c>
      <c r="O728">
        <v>2</v>
      </c>
      <c r="P728" t="s">
        <v>35</v>
      </c>
      <c r="Q728">
        <v>4</v>
      </c>
      <c r="R728">
        <v>5</v>
      </c>
      <c r="S728">
        <v>1</v>
      </c>
      <c r="T728" t="s">
        <v>36</v>
      </c>
      <c r="U728" t="s">
        <v>50</v>
      </c>
      <c r="V728">
        <v>2</v>
      </c>
      <c r="W728">
        <v>6</v>
      </c>
      <c r="X728" t="s">
        <v>44</v>
      </c>
      <c r="Y728" t="s">
        <v>79</v>
      </c>
      <c r="Z728" t="s">
        <v>51</v>
      </c>
      <c r="AA728" s="2">
        <v>45516</v>
      </c>
      <c r="AB728" t="b">
        <v>1</v>
      </c>
      <c r="AC728" t="b">
        <v>1</v>
      </c>
      <c r="AD728" t="s">
        <v>52</v>
      </c>
      <c r="AE728" t="s">
        <v>41</v>
      </c>
      <c r="AF728">
        <v>3</v>
      </c>
    </row>
    <row r="729" spans="1:32" x14ac:dyDescent="0.25">
      <c r="A729" t="s">
        <v>1526</v>
      </c>
      <c r="B729">
        <v>727</v>
      </c>
      <c r="C729">
        <v>50</v>
      </c>
      <c r="D729" t="str">
        <f>IF(tbl_Original[[#This Row],[Gender2]]="Female","Female",IF(tbl_Original[[#This Row],[Gender2]]="Male","Male","Other"))</f>
        <v>Female</v>
      </c>
      <c r="E729" t="s">
        <v>29</v>
      </c>
      <c r="F729" t="s">
        <v>30</v>
      </c>
      <c r="G729" t="s">
        <v>31</v>
      </c>
      <c r="H729" t="s">
        <v>45</v>
      </c>
      <c r="I729" t="s">
        <v>30</v>
      </c>
      <c r="J729" t="str">
        <f>PROPER(TRIM(CLEAN(tbl_Original[[#This Row],[Column1]])))</f>
        <v>Przeworsk</v>
      </c>
      <c r="K729" t="s">
        <v>1527</v>
      </c>
      <c r="L729" t="s">
        <v>1527</v>
      </c>
      <c r="M729" t="s">
        <v>98</v>
      </c>
      <c r="N729" s="1">
        <v>471.31</v>
      </c>
      <c r="O729">
        <v>4</v>
      </c>
      <c r="P729" t="s">
        <v>35</v>
      </c>
      <c r="Q729">
        <v>1</v>
      </c>
      <c r="R729">
        <v>5</v>
      </c>
      <c r="S729">
        <v>2</v>
      </c>
      <c r="T729" t="s">
        <v>44</v>
      </c>
      <c r="U729" t="s">
        <v>85</v>
      </c>
      <c r="V729">
        <v>0</v>
      </c>
      <c r="W729">
        <v>8</v>
      </c>
      <c r="X729" t="s">
        <v>36</v>
      </c>
      <c r="Y729" t="s">
        <v>60</v>
      </c>
      <c r="Z729" t="s">
        <v>66</v>
      </c>
      <c r="AA729" s="2">
        <v>45643</v>
      </c>
      <c r="AB729" t="b">
        <v>0</v>
      </c>
      <c r="AC729" t="b">
        <v>1</v>
      </c>
      <c r="AD729" t="s">
        <v>62</v>
      </c>
      <c r="AE729" t="s">
        <v>67</v>
      </c>
      <c r="AF729">
        <v>7</v>
      </c>
    </row>
    <row r="730" spans="1:32" x14ac:dyDescent="0.25">
      <c r="A730" t="s">
        <v>1528</v>
      </c>
      <c r="B730">
        <v>728</v>
      </c>
      <c r="C730">
        <v>49</v>
      </c>
      <c r="D730" t="str">
        <f>IF(tbl_Original[[#This Row],[Gender2]]="Female","Female",IF(tbl_Original[[#This Row],[Gender2]]="Male","Male","Other"))</f>
        <v>Female</v>
      </c>
      <c r="E730" t="s">
        <v>29</v>
      </c>
      <c r="F730" t="s">
        <v>44</v>
      </c>
      <c r="G730" t="s">
        <v>76</v>
      </c>
      <c r="H730" t="s">
        <v>45</v>
      </c>
      <c r="I730" t="s">
        <v>44</v>
      </c>
      <c r="J730" t="str">
        <f>PROPER(TRIM(CLEAN(tbl_Original[[#This Row],[Column1]])))</f>
        <v>Amsterdam Nieuw West</v>
      </c>
      <c r="K730" t="s">
        <v>1529</v>
      </c>
      <c r="L730" t="s">
        <v>1529</v>
      </c>
      <c r="M730" t="s">
        <v>104</v>
      </c>
      <c r="N730" s="1">
        <v>179.19</v>
      </c>
      <c r="O730">
        <v>10</v>
      </c>
      <c r="P730" t="s">
        <v>48</v>
      </c>
      <c r="Q730">
        <v>3</v>
      </c>
      <c r="R730">
        <v>1</v>
      </c>
      <c r="S730">
        <v>1</v>
      </c>
      <c r="T730" t="s">
        <v>59</v>
      </c>
      <c r="U730" t="s">
        <v>50</v>
      </c>
      <c r="V730">
        <v>2</v>
      </c>
      <c r="W730">
        <v>7</v>
      </c>
      <c r="X730" t="s">
        <v>36</v>
      </c>
      <c r="Y730" t="s">
        <v>38</v>
      </c>
      <c r="Z730" t="s">
        <v>51</v>
      </c>
      <c r="AA730" s="2">
        <v>45372</v>
      </c>
      <c r="AB730" t="b">
        <v>0</v>
      </c>
      <c r="AC730" t="b">
        <v>0</v>
      </c>
      <c r="AD730" t="s">
        <v>62</v>
      </c>
      <c r="AE730" t="s">
        <v>67</v>
      </c>
      <c r="AF730">
        <v>12</v>
      </c>
    </row>
    <row r="731" spans="1:32" x14ac:dyDescent="0.25">
      <c r="A731" t="s">
        <v>1530</v>
      </c>
      <c r="B731">
        <v>729</v>
      </c>
      <c r="C731">
        <v>43</v>
      </c>
      <c r="D731" t="str">
        <f>IF(tbl_Original[[#This Row],[Gender2]]="Female","Female",IF(tbl_Original[[#This Row],[Gender2]]="Male","Male","Other"))</f>
        <v>Female</v>
      </c>
      <c r="E731" t="s">
        <v>29</v>
      </c>
      <c r="F731" t="s">
        <v>44</v>
      </c>
      <c r="G731" t="s">
        <v>76</v>
      </c>
      <c r="H731" t="s">
        <v>45</v>
      </c>
      <c r="I731" t="s">
        <v>30</v>
      </c>
      <c r="J731" t="str">
        <f>PROPER(TRIM(CLEAN(tbl_Original[[#This Row],[Column1]])))</f>
        <v>Klishkivtsi</v>
      </c>
      <c r="K731" t="s">
        <v>1531</v>
      </c>
      <c r="L731" t="s">
        <v>1531</v>
      </c>
      <c r="M731" t="s">
        <v>47</v>
      </c>
      <c r="N731" s="1">
        <v>294.61</v>
      </c>
      <c r="O731">
        <v>6</v>
      </c>
      <c r="P731" t="s">
        <v>48</v>
      </c>
      <c r="Q731">
        <v>2</v>
      </c>
      <c r="R731">
        <v>1</v>
      </c>
      <c r="S731">
        <v>0</v>
      </c>
      <c r="T731" t="s">
        <v>36</v>
      </c>
      <c r="U731" t="s">
        <v>85</v>
      </c>
      <c r="V731">
        <v>0</v>
      </c>
      <c r="W731">
        <v>2</v>
      </c>
      <c r="X731" t="s">
        <v>36</v>
      </c>
      <c r="Y731" t="s">
        <v>79</v>
      </c>
      <c r="Z731" t="s">
        <v>51</v>
      </c>
      <c r="AA731" s="2">
        <v>45568</v>
      </c>
      <c r="AB731" t="b">
        <v>0</v>
      </c>
      <c r="AC731" t="b">
        <v>1</v>
      </c>
      <c r="AD731" t="s">
        <v>52</v>
      </c>
      <c r="AE731" t="s">
        <v>67</v>
      </c>
      <c r="AF731">
        <v>4</v>
      </c>
    </row>
    <row r="732" spans="1:32" x14ac:dyDescent="0.25">
      <c r="A732" t="s">
        <v>1532</v>
      </c>
      <c r="B732">
        <v>730</v>
      </c>
      <c r="C732">
        <v>35</v>
      </c>
      <c r="D732" t="str">
        <f>IF(tbl_Original[[#This Row],[Gender2]]="Female","Female",IF(tbl_Original[[#This Row],[Gender2]]="Male","Male","Other"))</f>
        <v>Other</v>
      </c>
      <c r="E732" t="s">
        <v>190</v>
      </c>
      <c r="F732" t="s">
        <v>44</v>
      </c>
      <c r="G732" t="s">
        <v>69</v>
      </c>
      <c r="H732" t="s">
        <v>32</v>
      </c>
      <c r="I732" t="s">
        <v>44</v>
      </c>
      <c r="J732" t="str">
        <f>PROPER(TRIM(CLEAN(tbl_Original[[#This Row],[Column1]])))</f>
        <v>Borova</v>
      </c>
      <c r="K732" t="s">
        <v>1533</v>
      </c>
      <c r="L732" t="s">
        <v>1533</v>
      </c>
      <c r="M732" t="s">
        <v>104</v>
      </c>
      <c r="N732" s="1">
        <v>375.45</v>
      </c>
      <c r="O732">
        <v>6</v>
      </c>
      <c r="P732" t="s">
        <v>78</v>
      </c>
      <c r="Q732">
        <v>3</v>
      </c>
      <c r="R732">
        <v>4</v>
      </c>
      <c r="S732">
        <v>0</v>
      </c>
      <c r="T732" t="s">
        <v>44</v>
      </c>
      <c r="U732" t="s">
        <v>50</v>
      </c>
      <c r="V732">
        <v>1</v>
      </c>
      <c r="W732">
        <v>8</v>
      </c>
      <c r="X732" t="s">
        <v>49</v>
      </c>
      <c r="Y732" t="s">
        <v>60</v>
      </c>
      <c r="Z732" t="s">
        <v>66</v>
      </c>
      <c r="AA732" s="2">
        <v>45396</v>
      </c>
      <c r="AB732" t="b">
        <v>0</v>
      </c>
      <c r="AC732" t="b">
        <v>1</v>
      </c>
      <c r="AD732" t="s">
        <v>62</v>
      </c>
      <c r="AE732" t="s">
        <v>67</v>
      </c>
      <c r="AF732">
        <v>1</v>
      </c>
    </row>
    <row r="733" spans="1:32" x14ac:dyDescent="0.25">
      <c r="A733" t="s">
        <v>1534</v>
      </c>
      <c r="B733">
        <v>731</v>
      </c>
      <c r="C733">
        <v>21</v>
      </c>
      <c r="D733" t="str">
        <f>IF(tbl_Original[[#This Row],[Gender2]]="Female","Female",IF(tbl_Original[[#This Row],[Gender2]]="Male","Male","Other"))</f>
        <v>Male</v>
      </c>
      <c r="E733" t="s">
        <v>43</v>
      </c>
      <c r="F733" t="s">
        <v>30</v>
      </c>
      <c r="G733" t="s">
        <v>69</v>
      </c>
      <c r="H733" t="s">
        <v>56</v>
      </c>
      <c r="I733" t="s">
        <v>44</v>
      </c>
      <c r="J733" t="str">
        <f>PROPER(TRIM(CLEAN(tbl_Original[[#This Row],[Column1]])))</f>
        <v>Vendargues</v>
      </c>
      <c r="K733" t="s">
        <v>1535</v>
      </c>
      <c r="L733" t="s">
        <v>1535</v>
      </c>
      <c r="M733" t="s">
        <v>117</v>
      </c>
      <c r="N733" s="1">
        <v>83.5</v>
      </c>
      <c r="O733">
        <v>12</v>
      </c>
      <c r="P733" t="s">
        <v>48</v>
      </c>
      <c r="Q733">
        <v>2</v>
      </c>
      <c r="R733">
        <v>4</v>
      </c>
      <c r="S733">
        <v>0</v>
      </c>
      <c r="T733" t="s">
        <v>36</v>
      </c>
      <c r="U733" t="s">
        <v>50</v>
      </c>
      <c r="V733">
        <v>2</v>
      </c>
      <c r="W733">
        <v>7</v>
      </c>
      <c r="X733" t="s">
        <v>59</v>
      </c>
      <c r="Y733" t="s">
        <v>60</v>
      </c>
      <c r="Z733" t="s">
        <v>86</v>
      </c>
      <c r="AA733" s="2">
        <v>45316</v>
      </c>
      <c r="AB733" t="b">
        <v>1</v>
      </c>
      <c r="AC733" t="b">
        <v>1</v>
      </c>
      <c r="AD733" t="s">
        <v>40</v>
      </c>
      <c r="AE733" t="s">
        <v>53</v>
      </c>
      <c r="AF733">
        <v>10</v>
      </c>
    </row>
    <row r="734" spans="1:32" x14ac:dyDescent="0.25">
      <c r="A734" t="s">
        <v>1536</v>
      </c>
      <c r="B734">
        <v>732</v>
      </c>
      <c r="C734">
        <v>34</v>
      </c>
      <c r="D734" t="str">
        <f>IF(tbl_Original[[#This Row],[Gender2]]="Female","Female",IF(tbl_Original[[#This Row],[Gender2]]="Male","Male","Other"))</f>
        <v>Male</v>
      </c>
      <c r="E734" t="s">
        <v>43</v>
      </c>
      <c r="F734" t="s">
        <v>44</v>
      </c>
      <c r="G734" t="s">
        <v>31</v>
      </c>
      <c r="H734" t="s">
        <v>45</v>
      </c>
      <c r="I734" t="s">
        <v>30</v>
      </c>
      <c r="J734" t="str">
        <f>PROPER(TRIM(CLEAN(tbl_Original[[#This Row],[Column1]])))</f>
        <v>Zilang</v>
      </c>
      <c r="K734" t="s">
        <v>1537</v>
      </c>
      <c r="L734" t="s">
        <v>1537</v>
      </c>
      <c r="M734" t="s">
        <v>65</v>
      </c>
      <c r="N734" s="1">
        <v>109.88</v>
      </c>
      <c r="O734">
        <v>7</v>
      </c>
      <c r="P734" t="s">
        <v>78</v>
      </c>
      <c r="Q734">
        <v>4</v>
      </c>
      <c r="R734">
        <v>4</v>
      </c>
      <c r="S734">
        <v>1</v>
      </c>
      <c r="T734" t="s">
        <v>59</v>
      </c>
      <c r="U734" t="s">
        <v>85</v>
      </c>
      <c r="V734">
        <v>1</v>
      </c>
      <c r="W734">
        <v>3</v>
      </c>
      <c r="X734" t="s">
        <v>49</v>
      </c>
      <c r="Y734" t="s">
        <v>60</v>
      </c>
      <c r="Z734" t="s">
        <v>39</v>
      </c>
      <c r="AA734" s="2">
        <v>45296</v>
      </c>
      <c r="AB734" t="b">
        <v>0</v>
      </c>
      <c r="AC734" t="b">
        <v>1</v>
      </c>
      <c r="AD734" t="s">
        <v>62</v>
      </c>
      <c r="AE734" t="s">
        <v>53</v>
      </c>
      <c r="AF734">
        <v>11</v>
      </c>
    </row>
    <row r="735" spans="1:32" x14ac:dyDescent="0.25">
      <c r="A735" t="s">
        <v>1538</v>
      </c>
      <c r="B735">
        <v>733</v>
      </c>
      <c r="C735">
        <v>21</v>
      </c>
      <c r="D735" t="str">
        <f>IF(tbl_Original[[#This Row],[Gender2]]="Female","Female",IF(tbl_Original[[#This Row],[Gender2]]="Male","Male","Other"))</f>
        <v>Female</v>
      </c>
      <c r="E735" t="s">
        <v>29</v>
      </c>
      <c r="F735" t="s">
        <v>44</v>
      </c>
      <c r="G735" t="s">
        <v>31</v>
      </c>
      <c r="H735" t="s">
        <v>45</v>
      </c>
      <c r="I735" t="s">
        <v>44</v>
      </c>
      <c r="J735" t="str">
        <f>PROPER(TRIM(CLEAN(tbl_Original[[#This Row],[Column1]])))</f>
        <v>Camalote</v>
      </c>
      <c r="K735" t="s">
        <v>1539</v>
      </c>
      <c r="L735" t="s">
        <v>1539</v>
      </c>
      <c r="M735" t="s">
        <v>58</v>
      </c>
      <c r="N735" s="1">
        <v>182.54</v>
      </c>
      <c r="O735">
        <v>11</v>
      </c>
      <c r="P735" t="s">
        <v>35</v>
      </c>
      <c r="Q735">
        <v>5</v>
      </c>
      <c r="R735">
        <v>5</v>
      </c>
      <c r="S735">
        <v>1</v>
      </c>
      <c r="T735" t="s">
        <v>49</v>
      </c>
      <c r="U735" t="s">
        <v>37</v>
      </c>
      <c r="V735">
        <v>1</v>
      </c>
      <c r="W735">
        <v>1</v>
      </c>
      <c r="X735" t="s">
        <v>44</v>
      </c>
      <c r="Y735" t="s">
        <v>38</v>
      </c>
      <c r="Z735" t="s">
        <v>86</v>
      </c>
      <c r="AA735" s="2">
        <v>45525</v>
      </c>
      <c r="AB735" t="b">
        <v>0</v>
      </c>
      <c r="AC735" t="b">
        <v>0</v>
      </c>
      <c r="AD735" t="s">
        <v>40</v>
      </c>
      <c r="AE735" t="s">
        <v>53</v>
      </c>
      <c r="AF735">
        <v>13</v>
      </c>
    </row>
    <row r="736" spans="1:32" x14ac:dyDescent="0.25">
      <c r="A736" t="s">
        <v>1540</v>
      </c>
      <c r="B736">
        <v>734</v>
      </c>
      <c r="C736">
        <v>23</v>
      </c>
      <c r="D736" t="str">
        <f>IF(tbl_Original[[#This Row],[Gender2]]="Female","Female",IF(tbl_Original[[#This Row],[Gender2]]="Male","Male","Other"))</f>
        <v>Female</v>
      </c>
      <c r="E736" t="s">
        <v>29</v>
      </c>
      <c r="F736" t="s">
        <v>44</v>
      </c>
      <c r="G736" t="s">
        <v>69</v>
      </c>
      <c r="H736" t="s">
        <v>32</v>
      </c>
      <c r="I736" t="s">
        <v>44</v>
      </c>
      <c r="J736" t="str">
        <f>PROPER(TRIM(CLEAN(tbl_Original[[#This Row],[Column1]])))</f>
        <v>Julayjilah</v>
      </c>
      <c r="K736" t="s">
        <v>1541</v>
      </c>
      <c r="L736" t="s">
        <v>1541</v>
      </c>
      <c r="M736" t="s">
        <v>71</v>
      </c>
      <c r="N736" s="1">
        <v>465.48</v>
      </c>
      <c r="O736">
        <v>3</v>
      </c>
      <c r="P736" t="s">
        <v>35</v>
      </c>
      <c r="Q736">
        <v>3</v>
      </c>
      <c r="R736">
        <v>3</v>
      </c>
      <c r="S736">
        <v>2</v>
      </c>
      <c r="T736" t="s">
        <v>49</v>
      </c>
      <c r="U736" t="s">
        <v>85</v>
      </c>
      <c r="V736">
        <v>1</v>
      </c>
      <c r="W736">
        <v>8</v>
      </c>
      <c r="X736" t="s">
        <v>49</v>
      </c>
      <c r="Y736" t="s">
        <v>38</v>
      </c>
      <c r="Z736" t="s">
        <v>86</v>
      </c>
      <c r="AA736" s="2">
        <v>45464</v>
      </c>
      <c r="AB736" t="b">
        <v>0</v>
      </c>
      <c r="AC736" t="b">
        <v>0</v>
      </c>
      <c r="AD736" t="s">
        <v>52</v>
      </c>
      <c r="AE736" t="s">
        <v>41</v>
      </c>
      <c r="AF736">
        <v>1</v>
      </c>
    </row>
    <row r="737" spans="1:32" x14ac:dyDescent="0.25">
      <c r="A737" t="s">
        <v>1542</v>
      </c>
      <c r="B737">
        <v>735</v>
      </c>
      <c r="C737">
        <v>31</v>
      </c>
      <c r="D737" t="str">
        <f>IF(tbl_Original[[#This Row],[Gender2]]="Female","Female",IF(tbl_Original[[#This Row],[Gender2]]="Male","Male","Other"))</f>
        <v>Female</v>
      </c>
      <c r="E737" t="s">
        <v>29</v>
      </c>
      <c r="F737" t="s">
        <v>30</v>
      </c>
      <c r="G737" t="s">
        <v>31</v>
      </c>
      <c r="H737" t="s">
        <v>45</v>
      </c>
      <c r="I737" t="s">
        <v>30</v>
      </c>
      <c r="J737" t="str">
        <f>PROPER(TRIM(CLEAN(tbl_Original[[#This Row],[Column1]])))</f>
        <v>Badajoz</v>
      </c>
      <c r="K737" t="s">
        <v>1543</v>
      </c>
      <c r="L737" t="s">
        <v>1543</v>
      </c>
      <c r="M737" t="s">
        <v>104</v>
      </c>
      <c r="N737" s="1">
        <v>224.52</v>
      </c>
      <c r="O737">
        <v>8</v>
      </c>
      <c r="P737" t="s">
        <v>35</v>
      </c>
      <c r="Q737">
        <v>3</v>
      </c>
      <c r="R737">
        <v>3</v>
      </c>
      <c r="S737">
        <v>2</v>
      </c>
      <c r="T737" t="s">
        <v>59</v>
      </c>
      <c r="U737" t="s">
        <v>50</v>
      </c>
      <c r="V737">
        <v>1</v>
      </c>
      <c r="W737">
        <v>5</v>
      </c>
      <c r="X737" t="s">
        <v>44</v>
      </c>
      <c r="Y737" t="s">
        <v>79</v>
      </c>
      <c r="Z737" t="s">
        <v>39</v>
      </c>
      <c r="AA737" s="2">
        <v>45625</v>
      </c>
      <c r="AB737" t="b">
        <v>1</v>
      </c>
      <c r="AC737" t="b">
        <v>0</v>
      </c>
      <c r="AD737" t="s">
        <v>62</v>
      </c>
      <c r="AE737" t="s">
        <v>67</v>
      </c>
      <c r="AF737">
        <v>1</v>
      </c>
    </row>
    <row r="738" spans="1:32" x14ac:dyDescent="0.25">
      <c r="A738" t="s">
        <v>1544</v>
      </c>
      <c r="B738">
        <v>736</v>
      </c>
      <c r="C738">
        <v>21</v>
      </c>
      <c r="D738" t="str">
        <f>IF(tbl_Original[[#This Row],[Gender2]]="Female","Female",IF(tbl_Original[[#This Row],[Gender2]]="Male","Male","Other"))</f>
        <v>Male</v>
      </c>
      <c r="E738" t="s">
        <v>43</v>
      </c>
      <c r="F738" t="s">
        <v>44</v>
      </c>
      <c r="G738" t="s">
        <v>69</v>
      </c>
      <c r="H738" t="s">
        <v>56</v>
      </c>
      <c r="I738" t="s">
        <v>30</v>
      </c>
      <c r="J738" t="str">
        <f>PROPER(TRIM(CLEAN(tbl_Original[[#This Row],[Column1]])))</f>
        <v>Fort Wayne</v>
      </c>
      <c r="K738" t="s">
        <v>1545</v>
      </c>
      <c r="L738" t="s">
        <v>1545</v>
      </c>
      <c r="M738" t="s">
        <v>188</v>
      </c>
      <c r="N738" s="1">
        <v>281.37</v>
      </c>
      <c r="O738">
        <v>12</v>
      </c>
      <c r="P738" t="s">
        <v>78</v>
      </c>
      <c r="Q738">
        <v>2</v>
      </c>
      <c r="R738">
        <v>3</v>
      </c>
      <c r="S738">
        <v>2</v>
      </c>
      <c r="T738" t="s">
        <v>59</v>
      </c>
      <c r="U738" t="s">
        <v>85</v>
      </c>
      <c r="V738">
        <v>0</v>
      </c>
      <c r="W738">
        <v>2</v>
      </c>
      <c r="X738" t="s">
        <v>59</v>
      </c>
      <c r="Y738" t="s">
        <v>60</v>
      </c>
      <c r="Z738" t="s">
        <v>61</v>
      </c>
      <c r="AA738" s="2">
        <v>45293</v>
      </c>
      <c r="AB738" t="b">
        <v>0</v>
      </c>
      <c r="AC738" t="b">
        <v>1</v>
      </c>
      <c r="AD738" t="s">
        <v>62</v>
      </c>
      <c r="AE738" t="s">
        <v>67</v>
      </c>
      <c r="AF738">
        <v>14</v>
      </c>
    </row>
    <row r="739" spans="1:32" x14ac:dyDescent="0.25">
      <c r="A739" t="s">
        <v>1546</v>
      </c>
      <c r="B739">
        <v>737</v>
      </c>
      <c r="C739">
        <v>22</v>
      </c>
      <c r="D739" t="str">
        <f>IF(tbl_Original[[#This Row],[Gender2]]="Female","Female",IF(tbl_Original[[#This Row],[Gender2]]="Male","Male","Other"))</f>
        <v>Female</v>
      </c>
      <c r="E739" t="s">
        <v>29</v>
      </c>
      <c r="F739" t="s">
        <v>30</v>
      </c>
      <c r="G739" t="s">
        <v>31</v>
      </c>
      <c r="H739" t="s">
        <v>32</v>
      </c>
      <c r="I739" t="s">
        <v>30</v>
      </c>
      <c r="J739" t="str">
        <f>PROPER(TRIM(CLEAN(tbl_Original[[#This Row],[Column1]])))</f>
        <v>Galn</v>
      </c>
      <c r="K739" t="s">
        <v>2240</v>
      </c>
      <c r="L739" t="s">
        <v>1547</v>
      </c>
      <c r="M739" t="s">
        <v>58</v>
      </c>
      <c r="N739" s="1">
        <v>125.68</v>
      </c>
      <c r="O739">
        <v>2</v>
      </c>
      <c r="P739" t="s">
        <v>78</v>
      </c>
      <c r="Q739">
        <v>1</v>
      </c>
      <c r="R739">
        <v>4</v>
      </c>
      <c r="S739">
        <v>1</v>
      </c>
      <c r="T739" t="s">
        <v>36</v>
      </c>
      <c r="U739" t="s">
        <v>50</v>
      </c>
      <c r="V739">
        <v>1</v>
      </c>
      <c r="W739">
        <v>8</v>
      </c>
      <c r="X739" t="s">
        <v>49</v>
      </c>
      <c r="Y739" t="s">
        <v>60</v>
      </c>
      <c r="Z739" t="s">
        <v>61</v>
      </c>
      <c r="AA739" s="2">
        <v>45464</v>
      </c>
      <c r="AB739" t="b">
        <v>1</v>
      </c>
      <c r="AC739" t="b">
        <v>0</v>
      </c>
      <c r="AD739" t="s">
        <v>40</v>
      </c>
      <c r="AE739" t="s">
        <v>67</v>
      </c>
      <c r="AF739">
        <v>9</v>
      </c>
    </row>
    <row r="740" spans="1:32" x14ac:dyDescent="0.25">
      <c r="A740" t="s">
        <v>1548</v>
      </c>
      <c r="B740">
        <v>738</v>
      </c>
      <c r="C740">
        <v>38</v>
      </c>
      <c r="D740" t="str">
        <f>IF(tbl_Original[[#This Row],[Gender2]]="Female","Female",IF(tbl_Original[[#This Row],[Gender2]]="Male","Male","Other"))</f>
        <v>Female</v>
      </c>
      <c r="E740" t="s">
        <v>29</v>
      </c>
      <c r="F740" t="s">
        <v>44</v>
      </c>
      <c r="G740" t="s">
        <v>55</v>
      </c>
      <c r="H740" t="s">
        <v>45</v>
      </c>
      <c r="I740" t="s">
        <v>44</v>
      </c>
      <c r="J740" t="str">
        <f>PROPER(TRIM(CLEAN(tbl_Original[[#This Row],[Column1]])))</f>
        <v>Saint Joseph</v>
      </c>
      <c r="K740" t="s">
        <v>1549</v>
      </c>
      <c r="L740" t="s">
        <v>1549</v>
      </c>
      <c r="M740" t="s">
        <v>188</v>
      </c>
      <c r="N740" s="1">
        <v>178.21</v>
      </c>
      <c r="O740">
        <v>7</v>
      </c>
      <c r="P740" t="s">
        <v>48</v>
      </c>
      <c r="Q740">
        <v>1</v>
      </c>
      <c r="R740">
        <v>5</v>
      </c>
      <c r="S740">
        <v>2</v>
      </c>
      <c r="T740" t="s">
        <v>59</v>
      </c>
      <c r="U740" t="s">
        <v>37</v>
      </c>
      <c r="V740">
        <v>2</v>
      </c>
      <c r="W740">
        <v>8</v>
      </c>
      <c r="X740" t="s">
        <v>36</v>
      </c>
      <c r="Y740" t="s">
        <v>79</v>
      </c>
      <c r="Z740" t="s">
        <v>51</v>
      </c>
      <c r="AA740" s="2">
        <v>45436</v>
      </c>
      <c r="AB740" t="b">
        <v>0</v>
      </c>
      <c r="AC740" t="b">
        <v>0</v>
      </c>
      <c r="AD740" t="s">
        <v>74</v>
      </c>
      <c r="AE740" t="s">
        <v>41</v>
      </c>
      <c r="AF740">
        <v>9</v>
      </c>
    </row>
    <row r="741" spans="1:32" x14ac:dyDescent="0.25">
      <c r="A741" t="s">
        <v>1550</v>
      </c>
      <c r="B741">
        <v>739</v>
      </c>
      <c r="C741">
        <v>27</v>
      </c>
      <c r="D741" t="str">
        <f>IF(tbl_Original[[#This Row],[Gender2]]="Female","Female",IF(tbl_Original[[#This Row],[Gender2]]="Male","Male","Other"))</f>
        <v>Male</v>
      </c>
      <c r="E741" t="s">
        <v>43</v>
      </c>
      <c r="F741" t="s">
        <v>44</v>
      </c>
      <c r="G741" t="s">
        <v>76</v>
      </c>
      <c r="H741" t="s">
        <v>32</v>
      </c>
      <c r="I741" t="s">
        <v>30</v>
      </c>
      <c r="J741" t="str">
        <f>PROPER(TRIM(CLEAN(tbl_Original[[#This Row],[Column1]])))</f>
        <v>Hospitalet De Llobregatl</v>
      </c>
      <c r="K741" t="s">
        <v>2241</v>
      </c>
      <c r="L741" t="s">
        <v>1551</v>
      </c>
      <c r="M741" t="s">
        <v>104</v>
      </c>
      <c r="N741" s="1">
        <v>483.23</v>
      </c>
      <c r="O741">
        <v>7</v>
      </c>
      <c r="P741" t="s">
        <v>78</v>
      </c>
      <c r="Q741">
        <v>2</v>
      </c>
      <c r="R741">
        <v>4</v>
      </c>
      <c r="S741">
        <v>2</v>
      </c>
      <c r="T741" t="s">
        <v>49</v>
      </c>
      <c r="U741" t="s">
        <v>37</v>
      </c>
      <c r="V741">
        <v>0</v>
      </c>
      <c r="W741">
        <v>5</v>
      </c>
      <c r="X741" t="s">
        <v>44</v>
      </c>
      <c r="Y741" t="s">
        <v>60</v>
      </c>
      <c r="Z741" t="s">
        <v>51</v>
      </c>
      <c r="AA741" s="2">
        <v>45645</v>
      </c>
      <c r="AB741" t="b">
        <v>1</v>
      </c>
      <c r="AC741" t="b">
        <v>0</v>
      </c>
      <c r="AD741" t="s">
        <v>62</v>
      </c>
      <c r="AE741" t="s">
        <v>67</v>
      </c>
      <c r="AF741">
        <v>9</v>
      </c>
    </row>
    <row r="742" spans="1:32" x14ac:dyDescent="0.25">
      <c r="A742" t="s">
        <v>1552</v>
      </c>
      <c r="B742">
        <v>740</v>
      </c>
      <c r="C742">
        <v>18</v>
      </c>
      <c r="D742" t="str">
        <f>IF(tbl_Original[[#This Row],[Gender2]]="Female","Female",IF(tbl_Original[[#This Row],[Gender2]]="Male","Male","Other"))</f>
        <v>Male</v>
      </c>
      <c r="E742" t="s">
        <v>43</v>
      </c>
      <c r="F742" t="s">
        <v>30</v>
      </c>
      <c r="G742" t="s">
        <v>31</v>
      </c>
      <c r="H742" t="s">
        <v>56</v>
      </c>
      <c r="I742" t="s">
        <v>44</v>
      </c>
      <c r="J742" t="str">
        <f>PROPER(TRIM(CLEAN(tbl_Original[[#This Row],[Column1]])))</f>
        <v>Palma De Mallorca</v>
      </c>
      <c r="K742" t="s">
        <v>1553</v>
      </c>
      <c r="L742" t="s">
        <v>1553</v>
      </c>
      <c r="M742" t="s">
        <v>65</v>
      </c>
      <c r="N742" s="1">
        <v>415.3</v>
      </c>
      <c r="O742">
        <v>11</v>
      </c>
      <c r="P742" t="s">
        <v>48</v>
      </c>
      <c r="Q742">
        <v>4</v>
      </c>
      <c r="R742">
        <v>2</v>
      </c>
      <c r="S742">
        <v>1</v>
      </c>
      <c r="T742" t="s">
        <v>59</v>
      </c>
      <c r="U742" t="s">
        <v>85</v>
      </c>
      <c r="V742">
        <v>1</v>
      </c>
      <c r="W742">
        <v>9</v>
      </c>
      <c r="X742" t="s">
        <v>36</v>
      </c>
      <c r="Y742" t="s">
        <v>38</v>
      </c>
      <c r="Z742" t="s">
        <v>51</v>
      </c>
      <c r="AA742" s="2">
        <v>45560</v>
      </c>
      <c r="AB742" t="b">
        <v>0</v>
      </c>
      <c r="AC742" t="b">
        <v>1</v>
      </c>
      <c r="AD742" t="s">
        <v>62</v>
      </c>
      <c r="AE742" t="s">
        <v>53</v>
      </c>
      <c r="AF742">
        <v>2</v>
      </c>
    </row>
    <row r="743" spans="1:32" x14ac:dyDescent="0.25">
      <c r="A743" t="s">
        <v>1554</v>
      </c>
      <c r="B743">
        <v>741</v>
      </c>
      <c r="C743">
        <v>36</v>
      </c>
      <c r="D743" t="str">
        <f>IF(tbl_Original[[#This Row],[Gender2]]="Female","Female",IF(tbl_Original[[#This Row],[Gender2]]="Male","Male","Other"))</f>
        <v>Male</v>
      </c>
      <c r="E743" t="s">
        <v>43</v>
      </c>
      <c r="F743" t="s">
        <v>44</v>
      </c>
      <c r="G743" t="s">
        <v>31</v>
      </c>
      <c r="H743" t="s">
        <v>56</v>
      </c>
      <c r="I743" t="s">
        <v>30</v>
      </c>
      <c r="J743" t="str">
        <f>PROPER(TRIM(CLEAN(tbl_Original[[#This Row],[Column1]])))</f>
        <v>Pho Duc</v>
      </c>
      <c r="K743" t="s">
        <v>1555</v>
      </c>
      <c r="L743" t="s">
        <v>1555</v>
      </c>
      <c r="M743" t="s">
        <v>117</v>
      </c>
      <c r="N743" s="1">
        <v>85.52</v>
      </c>
      <c r="O743">
        <v>7</v>
      </c>
      <c r="P743" t="s">
        <v>35</v>
      </c>
      <c r="Q743">
        <v>1</v>
      </c>
      <c r="R743">
        <v>5</v>
      </c>
      <c r="S743">
        <v>0</v>
      </c>
      <c r="T743" t="s">
        <v>49</v>
      </c>
      <c r="U743" t="s">
        <v>37</v>
      </c>
      <c r="V743">
        <v>1</v>
      </c>
      <c r="W743">
        <v>3</v>
      </c>
      <c r="X743" t="s">
        <v>59</v>
      </c>
      <c r="Y743" t="s">
        <v>60</v>
      </c>
      <c r="Z743" t="s">
        <v>66</v>
      </c>
      <c r="AA743" s="2">
        <v>45596</v>
      </c>
      <c r="AB743" t="b">
        <v>0</v>
      </c>
      <c r="AC743" t="b">
        <v>1</v>
      </c>
      <c r="AD743" t="s">
        <v>74</v>
      </c>
      <c r="AE743" t="s">
        <v>41</v>
      </c>
      <c r="AF743">
        <v>7</v>
      </c>
    </row>
    <row r="744" spans="1:32" x14ac:dyDescent="0.25">
      <c r="A744" t="s">
        <v>1556</v>
      </c>
      <c r="B744">
        <v>742</v>
      </c>
      <c r="C744">
        <v>44</v>
      </c>
      <c r="D744" t="str">
        <f>IF(tbl_Original[[#This Row],[Gender2]]="Female","Female",IF(tbl_Original[[#This Row],[Gender2]]="Male","Male","Other"))</f>
        <v>Female</v>
      </c>
      <c r="E744" t="s">
        <v>29</v>
      </c>
      <c r="F744" t="s">
        <v>30</v>
      </c>
      <c r="G744" t="s">
        <v>69</v>
      </c>
      <c r="H744" t="s">
        <v>45</v>
      </c>
      <c r="I744" t="s">
        <v>44</v>
      </c>
      <c r="J744" t="str">
        <f>PROPER(TRIM(CLEAN(tbl_Original[[#This Row],[Column1]])))</f>
        <v>Eba</v>
      </c>
      <c r="K744" t="s">
        <v>2289</v>
      </c>
      <c r="L744" t="s">
        <v>1557</v>
      </c>
      <c r="M744" t="s">
        <v>114</v>
      </c>
      <c r="N744" s="1">
        <v>422.31</v>
      </c>
      <c r="O744">
        <v>2</v>
      </c>
      <c r="P744" t="s">
        <v>48</v>
      </c>
      <c r="Q744">
        <v>3</v>
      </c>
      <c r="R744">
        <v>4</v>
      </c>
      <c r="S744">
        <v>1</v>
      </c>
      <c r="T744" t="s">
        <v>49</v>
      </c>
      <c r="U744" t="s">
        <v>85</v>
      </c>
      <c r="V744">
        <v>0</v>
      </c>
      <c r="W744">
        <v>6</v>
      </c>
      <c r="X744" t="s">
        <v>36</v>
      </c>
      <c r="Y744" t="s">
        <v>60</v>
      </c>
      <c r="Z744" t="s">
        <v>66</v>
      </c>
      <c r="AA744" s="2">
        <v>45513</v>
      </c>
      <c r="AB744" t="b">
        <v>1</v>
      </c>
      <c r="AC744" t="b">
        <v>1</v>
      </c>
      <c r="AD744" t="s">
        <v>62</v>
      </c>
      <c r="AE744" t="s">
        <v>41</v>
      </c>
      <c r="AF744">
        <v>3</v>
      </c>
    </row>
    <row r="745" spans="1:32" x14ac:dyDescent="0.25">
      <c r="A745" t="s">
        <v>1558</v>
      </c>
      <c r="B745">
        <v>743</v>
      </c>
      <c r="C745">
        <v>48</v>
      </c>
      <c r="D745" t="str">
        <f>IF(tbl_Original[[#This Row],[Gender2]]="Female","Female",IF(tbl_Original[[#This Row],[Gender2]]="Male","Male","Other"))</f>
        <v>Other</v>
      </c>
      <c r="E745" t="s">
        <v>88</v>
      </c>
      <c r="F745" t="s">
        <v>44</v>
      </c>
      <c r="G745" t="s">
        <v>31</v>
      </c>
      <c r="H745" t="s">
        <v>45</v>
      </c>
      <c r="I745" t="s">
        <v>44</v>
      </c>
      <c r="J745" t="str">
        <f>PROPER(TRIM(CLEAN(tbl_Original[[#This Row],[Column1]])))</f>
        <v>Yaguaraparo</v>
      </c>
      <c r="K745" t="s">
        <v>1559</v>
      </c>
      <c r="L745" t="s">
        <v>1559</v>
      </c>
      <c r="M745" t="s">
        <v>135</v>
      </c>
      <c r="N745" s="1">
        <v>70.42</v>
      </c>
      <c r="O745">
        <v>11</v>
      </c>
      <c r="P745" t="s">
        <v>78</v>
      </c>
      <c r="Q745">
        <v>4</v>
      </c>
      <c r="R745">
        <v>5</v>
      </c>
      <c r="S745">
        <v>1</v>
      </c>
      <c r="T745" t="s">
        <v>44</v>
      </c>
      <c r="U745" t="s">
        <v>50</v>
      </c>
      <c r="V745">
        <v>2</v>
      </c>
      <c r="W745">
        <v>7</v>
      </c>
      <c r="X745" t="s">
        <v>59</v>
      </c>
      <c r="Y745" t="s">
        <v>79</v>
      </c>
      <c r="Z745" t="s">
        <v>66</v>
      </c>
      <c r="AA745" s="2">
        <v>45566</v>
      </c>
      <c r="AB745" t="b">
        <v>0</v>
      </c>
      <c r="AC745" t="b">
        <v>1</v>
      </c>
      <c r="AD745" t="s">
        <v>40</v>
      </c>
      <c r="AE745" t="s">
        <v>67</v>
      </c>
      <c r="AF745">
        <v>14</v>
      </c>
    </row>
    <row r="746" spans="1:32" x14ac:dyDescent="0.25">
      <c r="A746" t="s">
        <v>1560</v>
      </c>
      <c r="B746">
        <v>744</v>
      </c>
      <c r="C746">
        <v>23</v>
      </c>
      <c r="D746" t="str">
        <f>IF(tbl_Original[[#This Row],[Gender2]]="Female","Female",IF(tbl_Original[[#This Row],[Gender2]]="Male","Male","Other"))</f>
        <v>Female</v>
      </c>
      <c r="E746" t="s">
        <v>29</v>
      </c>
      <c r="F746" t="s">
        <v>30</v>
      </c>
      <c r="G746" t="s">
        <v>69</v>
      </c>
      <c r="H746" t="s">
        <v>56</v>
      </c>
      <c r="I746" t="s">
        <v>30</v>
      </c>
      <c r="J746" t="str">
        <f>PROPER(TRIM(CLEAN(tbl_Original[[#This Row],[Column1]])))</f>
        <v>Novoorsk</v>
      </c>
      <c r="K746" t="s">
        <v>1561</v>
      </c>
      <c r="L746" t="s">
        <v>1561</v>
      </c>
      <c r="M746" t="s">
        <v>126</v>
      </c>
      <c r="N746" s="1">
        <v>437.4</v>
      </c>
      <c r="O746">
        <v>6</v>
      </c>
      <c r="P746" t="s">
        <v>35</v>
      </c>
      <c r="Q746">
        <v>1</v>
      </c>
      <c r="R746">
        <v>4</v>
      </c>
      <c r="S746">
        <v>1</v>
      </c>
      <c r="T746" t="s">
        <v>44</v>
      </c>
      <c r="U746" t="s">
        <v>37</v>
      </c>
      <c r="V746">
        <v>2</v>
      </c>
      <c r="W746">
        <v>5</v>
      </c>
      <c r="X746" t="s">
        <v>59</v>
      </c>
      <c r="Y746" t="s">
        <v>38</v>
      </c>
      <c r="Z746" t="s">
        <v>39</v>
      </c>
      <c r="AA746" s="2">
        <v>45459</v>
      </c>
      <c r="AB746" t="b">
        <v>0</v>
      </c>
      <c r="AC746" t="b">
        <v>0</v>
      </c>
      <c r="AD746" t="s">
        <v>74</v>
      </c>
      <c r="AE746" t="s">
        <v>67</v>
      </c>
      <c r="AF746">
        <v>1</v>
      </c>
    </row>
    <row r="747" spans="1:32" x14ac:dyDescent="0.25">
      <c r="A747" t="s">
        <v>1562</v>
      </c>
      <c r="B747">
        <v>745</v>
      </c>
      <c r="C747">
        <v>35</v>
      </c>
      <c r="D747" t="str">
        <f>IF(tbl_Original[[#This Row],[Gender2]]="Female","Female",IF(tbl_Original[[#This Row],[Gender2]]="Male","Male","Other"))</f>
        <v>Male</v>
      </c>
      <c r="E747" t="s">
        <v>43</v>
      </c>
      <c r="F747" t="s">
        <v>30</v>
      </c>
      <c r="G747" t="s">
        <v>76</v>
      </c>
      <c r="H747" t="s">
        <v>32</v>
      </c>
      <c r="I747" t="s">
        <v>30</v>
      </c>
      <c r="J747" t="str">
        <f>PROPER(TRIM(CLEAN(tbl_Original[[#This Row],[Column1]])))</f>
        <v>Wuyang</v>
      </c>
      <c r="K747" t="s">
        <v>1563</v>
      </c>
      <c r="L747" t="s">
        <v>1563</v>
      </c>
      <c r="M747" t="s">
        <v>246</v>
      </c>
      <c r="N747" s="1">
        <v>207.11</v>
      </c>
      <c r="O747">
        <v>4</v>
      </c>
      <c r="P747" t="s">
        <v>35</v>
      </c>
      <c r="Q747">
        <v>1</v>
      </c>
      <c r="R747">
        <v>4</v>
      </c>
      <c r="S747">
        <v>2</v>
      </c>
      <c r="T747" t="s">
        <v>44</v>
      </c>
      <c r="U747" t="s">
        <v>50</v>
      </c>
      <c r="V747">
        <v>0</v>
      </c>
      <c r="W747">
        <v>1</v>
      </c>
      <c r="X747" t="s">
        <v>59</v>
      </c>
      <c r="Y747" t="s">
        <v>38</v>
      </c>
      <c r="Z747" t="s">
        <v>66</v>
      </c>
      <c r="AA747" s="2">
        <v>45379</v>
      </c>
      <c r="AB747" t="b">
        <v>1</v>
      </c>
      <c r="AC747" t="b">
        <v>0</v>
      </c>
      <c r="AD747" t="s">
        <v>40</v>
      </c>
      <c r="AE747" t="s">
        <v>41</v>
      </c>
      <c r="AF747">
        <v>2</v>
      </c>
    </row>
    <row r="748" spans="1:32" x14ac:dyDescent="0.25">
      <c r="A748" t="s">
        <v>1564</v>
      </c>
      <c r="B748">
        <v>746</v>
      </c>
      <c r="C748">
        <v>50</v>
      </c>
      <c r="D748" t="str">
        <f>IF(tbl_Original[[#This Row],[Gender2]]="Female","Female",IF(tbl_Original[[#This Row],[Gender2]]="Male","Male","Other"))</f>
        <v>Female</v>
      </c>
      <c r="E748" t="s">
        <v>29</v>
      </c>
      <c r="F748" t="s">
        <v>44</v>
      </c>
      <c r="G748" t="s">
        <v>69</v>
      </c>
      <c r="H748" t="s">
        <v>32</v>
      </c>
      <c r="I748" t="s">
        <v>30</v>
      </c>
      <c r="J748" t="str">
        <f>PROPER(TRIM(CLEAN(tbl_Original[[#This Row],[Column1]])))</f>
        <v>Pelasgأa</v>
      </c>
      <c r="K748" t="s">
        <v>2242</v>
      </c>
      <c r="L748" t="s">
        <v>1565</v>
      </c>
      <c r="M748" t="s">
        <v>101</v>
      </c>
      <c r="N748" s="1">
        <v>378.87</v>
      </c>
      <c r="O748">
        <v>2</v>
      </c>
      <c r="P748" t="s">
        <v>78</v>
      </c>
      <c r="Q748">
        <v>5</v>
      </c>
      <c r="R748">
        <v>2</v>
      </c>
      <c r="S748">
        <v>2</v>
      </c>
      <c r="T748" t="s">
        <v>36</v>
      </c>
      <c r="U748" t="s">
        <v>85</v>
      </c>
      <c r="V748">
        <v>2</v>
      </c>
      <c r="W748">
        <v>2</v>
      </c>
      <c r="X748" t="s">
        <v>49</v>
      </c>
      <c r="Y748" t="s">
        <v>79</v>
      </c>
      <c r="Z748" t="s">
        <v>61</v>
      </c>
      <c r="AA748" s="2">
        <v>45459</v>
      </c>
      <c r="AB748" t="b">
        <v>1</v>
      </c>
      <c r="AC748" t="b">
        <v>0</v>
      </c>
      <c r="AD748" t="s">
        <v>74</v>
      </c>
      <c r="AE748" t="s">
        <v>41</v>
      </c>
      <c r="AF748">
        <v>9</v>
      </c>
    </row>
    <row r="749" spans="1:32" x14ac:dyDescent="0.25">
      <c r="A749" t="s">
        <v>1566</v>
      </c>
      <c r="B749">
        <v>747</v>
      </c>
      <c r="C749">
        <v>30</v>
      </c>
      <c r="D749" t="str">
        <f>IF(tbl_Original[[#This Row],[Gender2]]="Female","Female",IF(tbl_Original[[#This Row],[Gender2]]="Male","Male","Other"))</f>
        <v>Female</v>
      </c>
      <c r="E749" t="s">
        <v>29</v>
      </c>
      <c r="F749" t="s">
        <v>44</v>
      </c>
      <c r="G749" t="s">
        <v>76</v>
      </c>
      <c r="H749" t="s">
        <v>45</v>
      </c>
      <c r="I749" t="s">
        <v>44</v>
      </c>
      <c r="J749" t="str">
        <f>PROPER(TRIM(CLEAN(tbl_Original[[#This Row],[Column1]])))</f>
        <v>Phc Th</v>
      </c>
      <c r="K749" t="s">
        <v>2243</v>
      </c>
      <c r="L749" t="s">
        <v>1567</v>
      </c>
      <c r="M749" t="s">
        <v>123</v>
      </c>
      <c r="N749" s="1">
        <v>349</v>
      </c>
      <c r="O749">
        <v>10</v>
      </c>
      <c r="P749" t="s">
        <v>35</v>
      </c>
      <c r="Q749">
        <v>3</v>
      </c>
      <c r="R749">
        <v>5</v>
      </c>
      <c r="S749">
        <v>1</v>
      </c>
      <c r="T749" t="s">
        <v>59</v>
      </c>
      <c r="U749" t="s">
        <v>50</v>
      </c>
      <c r="V749">
        <v>1</v>
      </c>
      <c r="W749">
        <v>5</v>
      </c>
      <c r="X749" t="s">
        <v>59</v>
      </c>
      <c r="Y749" t="s">
        <v>79</v>
      </c>
      <c r="Z749" t="s">
        <v>51</v>
      </c>
      <c r="AA749" s="2">
        <v>45306</v>
      </c>
      <c r="AB749" t="b">
        <v>0</v>
      </c>
      <c r="AC749" t="b">
        <v>1</v>
      </c>
      <c r="AD749" t="s">
        <v>74</v>
      </c>
      <c r="AE749" t="s">
        <v>41</v>
      </c>
      <c r="AF749">
        <v>10</v>
      </c>
    </row>
    <row r="750" spans="1:32" x14ac:dyDescent="0.25">
      <c r="A750" t="s">
        <v>1568</v>
      </c>
      <c r="B750">
        <v>748</v>
      </c>
      <c r="C750">
        <v>38</v>
      </c>
      <c r="D750" t="str">
        <f>IF(tbl_Original[[#This Row],[Gender2]]="Female","Female",IF(tbl_Original[[#This Row],[Gender2]]="Male","Male","Other"))</f>
        <v>Male</v>
      </c>
      <c r="E750" t="s">
        <v>43</v>
      </c>
      <c r="F750" t="s">
        <v>30</v>
      </c>
      <c r="G750" t="s">
        <v>31</v>
      </c>
      <c r="H750" t="s">
        <v>32</v>
      </c>
      <c r="I750" t="s">
        <v>30</v>
      </c>
      <c r="J750" t="str">
        <f>PROPER(TRIM(CLEAN(tbl_Original[[#This Row],[Column1]])))</f>
        <v>Vsevolozhsk</v>
      </c>
      <c r="K750" t="s">
        <v>1569</v>
      </c>
      <c r="L750" t="s">
        <v>1569</v>
      </c>
      <c r="M750" t="s">
        <v>107</v>
      </c>
      <c r="N750" s="1">
        <v>330.27</v>
      </c>
      <c r="O750">
        <v>3</v>
      </c>
      <c r="P750" t="s">
        <v>48</v>
      </c>
      <c r="Q750">
        <v>3</v>
      </c>
      <c r="R750">
        <v>2</v>
      </c>
      <c r="S750">
        <v>1</v>
      </c>
      <c r="T750" t="s">
        <v>44</v>
      </c>
      <c r="U750" t="s">
        <v>50</v>
      </c>
      <c r="V750">
        <v>1</v>
      </c>
      <c r="W750">
        <v>9</v>
      </c>
      <c r="X750" t="s">
        <v>44</v>
      </c>
      <c r="Y750" t="s">
        <v>60</v>
      </c>
      <c r="Z750" t="s">
        <v>66</v>
      </c>
      <c r="AA750" s="2">
        <v>45332</v>
      </c>
      <c r="AB750" t="b">
        <v>1</v>
      </c>
      <c r="AC750" t="b">
        <v>0</v>
      </c>
      <c r="AD750" t="s">
        <v>62</v>
      </c>
      <c r="AE750" t="s">
        <v>41</v>
      </c>
      <c r="AF750">
        <v>9</v>
      </c>
    </row>
    <row r="751" spans="1:32" x14ac:dyDescent="0.25">
      <c r="A751" t="s">
        <v>1570</v>
      </c>
      <c r="B751">
        <v>749</v>
      </c>
      <c r="C751">
        <v>42</v>
      </c>
      <c r="D751" t="str">
        <f>IF(tbl_Original[[#This Row],[Gender2]]="Female","Female",IF(tbl_Original[[#This Row],[Gender2]]="Male","Male","Other"))</f>
        <v>Male</v>
      </c>
      <c r="E751" t="s">
        <v>43</v>
      </c>
      <c r="F751" t="s">
        <v>30</v>
      </c>
      <c r="G751" t="s">
        <v>31</v>
      </c>
      <c r="H751" t="s">
        <v>56</v>
      </c>
      <c r="I751" t="s">
        <v>30</v>
      </c>
      <c r="J751" t="str">
        <f>PROPER(TRIM(CLEAN(tbl_Original[[#This Row],[Column1]])))</f>
        <v>Kara Suu</v>
      </c>
      <c r="K751" t="s">
        <v>1571</v>
      </c>
      <c r="L751" t="s">
        <v>1571</v>
      </c>
      <c r="M751" t="s">
        <v>142</v>
      </c>
      <c r="N751" s="1">
        <v>410.29</v>
      </c>
      <c r="O751">
        <v>10</v>
      </c>
      <c r="P751" t="s">
        <v>78</v>
      </c>
      <c r="Q751">
        <v>2</v>
      </c>
      <c r="R751">
        <v>4</v>
      </c>
      <c r="S751">
        <v>1</v>
      </c>
      <c r="T751" t="s">
        <v>59</v>
      </c>
      <c r="U751" t="s">
        <v>50</v>
      </c>
      <c r="V751">
        <v>2</v>
      </c>
      <c r="W751">
        <v>4</v>
      </c>
      <c r="X751" t="s">
        <v>44</v>
      </c>
      <c r="Y751" t="s">
        <v>60</v>
      </c>
      <c r="Z751" t="s">
        <v>39</v>
      </c>
      <c r="AA751" s="2">
        <v>45537</v>
      </c>
      <c r="AB751" t="b">
        <v>1</v>
      </c>
      <c r="AC751" t="b">
        <v>0</v>
      </c>
      <c r="AD751" t="s">
        <v>74</v>
      </c>
      <c r="AE751" t="s">
        <v>67</v>
      </c>
      <c r="AF751">
        <v>1</v>
      </c>
    </row>
    <row r="752" spans="1:32" x14ac:dyDescent="0.25">
      <c r="A752" t="s">
        <v>1572</v>
      </c>
      <c r="B752">
        <v>750</v>
      </c>
      <c r="C752">
        <v>24</v>
      </c>
      <c r="D752" t="str">
        <f>IF(tbl_Original[[#This Row],[Gender2]]="Female","Female",IF(tbl_Original[[#This Row],[Gender2]]="Male","Male","Other"))</f>
        <v>Female</v>
      </c>
      <c r="E752" t="s">
        <v>29</v>
      </c>
      <c r="F752" t="s">
        <v>44</v>
      </c>
      <c r="G752" t="s">
        <v>76</v>
      </c>
      <c r="H752" t="s">
        <v>56</v>
      </c>
      <c r="I752" t="s">
        <v>30</v>
      </c>
      <c r="J752" t="str">
        <f>PROPER(TRIM(CLEAN(tbl_Original[[#This Row],[Column1]])))</f>
        <v>Beigucheng</v>
      </c>
      <c r="K752" t="s">
        <v>1573</v>
      </c>
      <c r="L752" t="s">
        <v>1573</v>
      </c>
      <c r="M752" t="s">
        <v>107</v>
      </c>
      <c r="N752" s="1">
        <v>400.86</v>
      </c>
      <c r="O752">
        <v>7</v>
      </c>
      <c r="P752" t="s">
        <v>78</v>
      </c>
      <c r="Q752">
        <v>3</v>
      </c>
      <c r="R752">
        <v>3</v>
      </c>
      <c r="S752">
        <v>1</v>
      </c>
      <c r="T752" t="s">
        <v>44</v>
      </c>
      <c r="U752" t="s">
        <v>85</v>
      </c>
      <c r="V752">
        <v>1</v>
      </c>
      <c r="W752">
        <v>7</v>
      </c>
      <c r="X752" t="s">
        <v>59</v>
      </c>
      <c r="Y752" t="s">
        <v>60</v>
      </c>
      <c r="Z752" t="s">
        <v>39</v>
      </c>
      <c r="AA752" s="2">
        <v>45547</v>
      </c>
      <c r="AB752" t="b">
        <v>1</v>
      </c>
      <c r="AC752" t="b">
        <v>0</v>
      </c>
      <c r="AD752" t="s">
        <v>74</v>
      </c>
      <c r="AE752" t="s">
        <v>41</v>
      </c>
      <c r="AF752">
        <v>5</v>
      </c>
    </row>
    <row r="753" spans="1:32" x14ac:dyDescent="0.25">
      <c r="A753" t="s">
        <v>1574</v>
      </c>
      <c r="B753">
        <v>751</v>
      </c>
      <c r="C753">
        <v>27</v>
      </c>
      <c r="D753" t="str">
        <f>IF(tbl_Original[[#This Row],[Gender2]]="Female","Female",IF(tbl_Original[[#This Row],[Gender2]]="Male","Male","Other"))</f>
        <v>Female</v>
      </c>
      <c r="E753" t="s">
        <v>29</v>
      </c>
      <c r="F753" t="s">
        <v>44</v>
      </c>
      <c r="G753" t="s">
        <v>31</v>
      </c>
      <c r="H753" t="s">
        <v>56</v>
      </c>
      <c r="I753" t="s">
        <v>30</v>
      </c>
      <c r="J753" t="str">
        <f>PROPER(TRIM(CLEAN(tbl_Original[[#This Row],[Column1]])))</f>
        <v>Cerro</v>
      </c>
      <c r="K753" t="s">
        <v>1575</v>
      </c>
      <c r="L753" t="s">
        <v>1575</v>
      </c>
      <c r="M753" t="s">
        <v>188</v>
      </c>
      <c r="N753" s="1">
        <v>225.12</v>
      </c>
      <c r="O753">
        <v>11</v>
      </c>
      <c r="P753" t="s">
        <v>48</v>
      </c>
      <c r="Q753">
        <v>3</v>
      </c>
      <c r="R753">
        <v>2</v>
      </c>
      <c r="S753">
        <v>1</v>
      </c>
      <c r="T753" t="s">
        <v>49</v>
      </c>
      <c r="U753" t="s">
        <v>37</v>
      </c>
      <c r="V753">
        <v>0</v>
      </c>
      <c r="W753">
        <v>1</v>
      </c>
      <c r="X753" t="s">
        <v>36</v>
      </c>
      <c r="Y753" t="s">
        <v>79</v>
      </c>
      <c r="Z753" t="s">
        <v>86</v>
      </c>
      <c r="AA753" s="2">
        <v>45535</v>
      </c>
      <c r="AB753" t="b">
        <v>1</v>
      </c>
      <c r="AC753" t="b">
        <v>0</v>
      </c>
      <c r="AD753" t="s">
        <v>74</v>
      </c>
      <c r="AE753" t="s">
        <v>67</v>
      </c>
      <c r="AF753">
        <v>6</v>
      </c>
    </row>
    <row r="754" spans="1:32" x14ac:dyDescent="0.25">
      <c r="A754" t="s">
        <v>1576</v>
      </c>
      <c r="B754">
        <v>752</v>
      </c>
      <c r="C754">
        <v>36</v>
      </c>
      <c r="D754" t="str">
        <f>IF(tbl_Original[[#This Row],[Gender2]]="Female","Female",IF(tbl_Original[[#This Row],[Gender2]]="Male","Male","Other"))</f>
        <v>Female</v>
      </c>
      <c r="E754" t="s">
        <v>29</v>
      </c>
      <c r="F754" t="s">
        <v>44</v>
      </c>
      <c r="G754" t="s">
        <v>69</v>
      </c>
      <c r="H754" t="s">
        <v>56</v>
      </c>
      <c r="I754" t="s">
        <v>44</v>
      </c>
      <c r="J754" t="str">
        <f>PROPER(TRIM(CLEAN(tbl_Original[[#This Row],[Column1]])))</f>
        <v>Yamaga</v>
      </c>
      <c r="K754" t="s">
        <v>1577</v>
      </c>
      <c r="L754" t="s">
        <v>1577</v>
      </c>
      <c r="M754" t="s">
        <v>188</v>
      </c>
      <c r="N754" s="1">
        <v>273.48</v>
      </c>
      <c r="O754">
        <v>12</v>
      </c>
      <c r="P754" t="s">
        <v>78</v>
      </c>
      <c r="Q754">
        <v>5</v>
      </c>
      <c r="R754">
        <v>3</v>
      </c>
      <c r="S754">
        <v>2</v>
      </c>
      <c r="T754" t="s">
        <v>59</v>
      </c>
      <c r="U754" t="s">
        <v>85</v>
      </c>
      <c r="V754">
        <v>0</v>
      </c>
      <c r="W754">
        <v>5</v>
      </c>
      <c r="X754" t="s">
        <v>49</v>
      </c>
      <c r="Y754" t="s">
        <v>60</v>
      </c>
      <c r="Z754" t="s">
        <v>66</v>
      </c>
      <c r="AA754" s="2">
        <v>45313</v>
      </c>
      <c r="AB754" t="b">
        <v>1</v>
      </c>
      <c r="AC754" t="b">
        <v>0</v>
      </c>
      <c r="AD754" t="s">
        <v>52</v>
      </c>
      <c r="AE754" t="s">
        <v>67</v>
      </c>
      <c r="AF754">
        <v>5</v>
      </c>
    </row>
    <row r="755" spans="1:32" x14ac:dyDescent="0.25">
      <c r="A755" t="s">
        <v>1578</v>
      </c>
      <c r="B755">
        <v>753</v>
      </c>
      <c r="C755">
        <v>19</v>
      </c>
      <c r="D755" t="str">
        <f>IF(tbl_Original[[#This Row],[Gender2]]="Female","Female",IF(tbl_Original[[#This Row],[Gender2]]="Male","Male","Other"))</f>
        <v>Other</v>
      </c>
      <c r="E755" t="s">
        <v>88</v>
      </c>
      <c r="F755" t="s">
        <v>44</v>
      </c>
      <c r="G755" t="s">
        <v>55</v>
      </c>
      <c r="H755" t="s">
        <v>56</v>
      </c>
      <c r="I755" t="s">
        <v>30</v>
      </c>
      <c r="J755" t="str">
        <f>PROPER(TRIM(CLEAN(tbl_Original[[#This Row],[Column1]])))</f>
        <v>Sacramento</v>
      </c>
      <c r="K755" t="s">
        <v>1579</v>
      </c>
      <c r="L755" t="s">
        <v>1579</v>
      </c>
      <c r="M755" t="s">
        <v>71</v>
      </c>
      <c r="N755" s="1">
        <v>363.84</v>
      </c>
      <c r="O755">
        <v>11</v>
      </c>
      <c r="P755" t="s">
        <v>78</v>
      </c>
      <c r="Q755">
        <v>3</v>
      </c>
      <c r="R755">
        <v>2</v>
      </c>
      <c r="S755">
        <v>1</v>
      </c>
      <c r="T755" t="s">
        <v>59</v>
      </c>
      <c r="U755" t="s">
        <v>50</v>
      </c>
      <c r="V755">
        <v>0</v>
      </c>
      <c r="W755">
        <v>3</v>
      </c>
      <c r="X755" t="s">
        <v>49</v>
      </c>
      <c r="Y755" t="s">
        <v>79</v>
      </c>
      <c r="Z755" t="s">
        <v>86</v>
      </c>
      <c r="AA755" s="2">
        <v>45534</v>
      </c>
      <c r="AB755" t="b">
        <v>1</v>
      </c>
      <c r="AC755" t="b">
        <v>0</v>
      </c>
      <c r="AD755" t="s">
        <v>62</v>
      </c>
      <c r="AE755" t="s">
        <v>67</v>
      </c>
      <c r="AF755">
        <v>5</v>
      </c>
    </row>
    <row r="756" spans="1:32" x14ac:dyDescent="0.25">
      <c r="A756" t="s">
        <v>1580</v>
      </c>
      <c r="B756">
        <v>754</v>
      </c>
      <c r="C756">
        <v>24</v>
      </c>
      <c r="D756" t="str">
        <f>IF(tbl_Original[[#This Row],[Gender2]]="Female","Female",IF(tbl_Original[[#This Row],[Gender2]]="Male","Male","Other"))</f>
        <v>Female</v>
      </c>
      <c r="E756" t="s">
        <v>29</v>
      </c>
      <c r="F756" t="s">
        <v>44</v>
      </c>
      <c r="G756" t="s">
        <v>55</v>
      </c>
      <c r="H756" t="s">
        <v>32</v>
      </c>
      <c r="I756" t="s">
        <v>30</v>
      </c>
      <c r="J756" t="str">
        <f>PROPER(TRIM(CLEAN(tbl_Original[[#This Row],[Column1]])))</f>
        <v>Foso</v>
      </c>
      <c r="K756" t="s">
        <v>1581</v>
      </c>
      <c r="L756" t="s">
        <v>1581</v>
      </c>
      <c r="M756" t="s">
        <v>114</v>
      </c>
      <c r="N756" s="1">
        <v>302.60000000000002</v>
      </c>
      <c r="O756">
        <v>9</v>
      </c>
      <c r="P756" t="s">
        <v>78</v>
      </c>
      <c r="Q756">
        <v>1</v>
      </c>
      <c r="R756">
        <v>4</v>
      </c>
      <c r="S756">
        <v>2</v>
      </c>
      <c r="T756" t="s">
        <v>49</v>
      </c>
      <c r="U756" t="s">
        <v>85</v>
      </c>
      <c r="V756">
        <v>2</v>
      </c>
      <c r="W756">
        <v>10</v>
      </c>
      <c r="X756" t="s">
        <v>36</v>
      </c>
      <c r="Y756" t="s">
        <v>79</v>
      </c>
      <c r="Z756" t="s">
        <v>61</v>
      </c>
      <c r="AA756" s="2">
        <v>45496</v>
      </c>
      <c r="AB756" t="b">
        <v>0</v>
      </c>
      <c r="AC756" t="b">
        <v>1</v>
      </c>
      <c r="AD756" t="s">
        <v>62</v>
      </c>
      <c r="AE756" t="s">
        <v>53</v>
      </c>
      <c r="AF756">
        <v>2</v>
      </c>
    </row>
    <row r="757" spans="1:32" x14ac:dyDescent="0.25">
      <c r="A757" t="s">
        <v>1582</v>
      </c>
      <c r="B757">
        <v>755</v>
      </c>
      <c r="C757">
        <v>35</v>
      </c>
      <c r="D757" t="str">
        <f>IF(tbl_Original[[#This Row],[Gender2]]="Female","Female",IF(tbl_Original[[#This Row],[Gender2]]="Male","Male","Other"))</f>
        <v>Male</v>
      </c>
      <c r="E757" t="s">
        <v>43</v>
      </c>
      <c r="F757" t="s">
        <v>44</v>
      </c>
      <c r="G757" t="s">
        <v>76</v>
      </c>
      <c r="H757" t="s">
        <v>45</v>
      </c>
      <c r="I757" t="s">
        <v>44</v>
      </c>
      <c r="J757" t="str">
        <f>PROPER(TRIM(CLEAN(tbl_Original[[#This Row],[Column1]])))</f>
        <v>Nowe Brzesko</v>
      </c>
      <c r="K757" t="s">
        <v>1583</v>
      </c>
      <c r="L757" t="s">
        <v>1583</v>
      </c>
      <c r="M757" t="s">
        <v>101</v>
      </c>
      <c r="N757" s="1">
        <v>317.08999999999997</v>
      </c>
      <c r="O757">
        <v>6</v>
      </c>
      <c r="P757" t="s">
        <v>78</v>
      </c>
      <c r="Q757">
        <v>1</v>
      </c>
      <c r="R757">
        <v>1</v>
      </c>
      <c r="S757">
        <v>1</v>
      </c>
      <c r="T757" t="s">
        <v>44</v>
      </c>
      <c r="U757" t="s">
        <v>50</v>
      </c>
      <c r="V757">
        <v>2</v>
      </c>
      <c r="W757">
        <v>2</v>
      </c>
      <c r="X757" t="s">
        <v>44</v>
      </c>
      <c r="Y757" t="s">
        <v>79</v>
      </c>
      <c r="Z757" t="s">
        <v>66</v>
      </c>
      <c r="AA757" s="2">
        <v>45393</v>
      </c>
      <c r="AB757" t="b">
        <v>1</v>
      </c>
      <c r="AC757" t="b">
        <v>0</v>
      </c>
      <c r="AD757" t="s">
        <v>62</v>
      </c>
      <c r="AE757" t="s">
        <v>53</v>
      </c>
      <c r="AF757">
        <v>4</v>
      </c>
    </row>
    <row r="758" spans="1:32" x14ac:dyDescent="0.25">
      <c r="A758" t="s">
        <v>1584</v>
      </c>
      <c r="B758">
        <v>756</v>
      </c>
      <c r="C758">
        <v>38</v>
      </c>
      <c r="D758" t="str">
        <f>IF(tbl_Original[[#This Row],[Gender2]]="Female","Female",IF(tbl_Original[[#This Row],[Gender2]]="Male","Male","Other"))</f>
        <v>Female</v>
      </c>
      <c r="E758" t="s">
        <v>29</v>
      </c>
      <c r="F758" t="s">
        <v>44</v>
      </c>
      <c r="G758" t="s">
        <v>31</v>
      </c>
      <c r="H758" t="s">
        <v>45</v>
      </c>
      <c r="I758" t="s">
        <v>44</v>
      </c>
      <c r="J758" t="str">
        <f>PROPER(TRIM(CLEAN(tbl_Original[[#This Row],[Column1]])))</f>
        <v>Konrak</v>
      </c>
      <c r="K758" t="s">
        <v>2244</v>
      </c>
      <c r="L758" t="s">
        <v>1585</v>
      </c>
      <c r="M758" t="s">
        <v>188</v>
      </c>
      <c r="N758" s="1">
        <v>193.32</v>
      </c>
      <c r="O758">
        <v>9</v>
      </c>
      <c r="P758" t="s">
        <v>35</v>
      </c>
      <c r="Q758">
        <v>4</v>
      </c>
      <c r="R758">
        <v>3</v>
      </c>
      <c r="S758">
        <v>0</v>
      </c>
      <c r="T758" t="s">
        <v>36</v>
      </c>
      <c r="U758" t="s">
        <v>85</v>
      </c>
      <c r="V758">
        <v>0</v>
      </c>
      <c r="W758">
        <v>8</v>
      </c>
      <c r="X758" t="s">
        <v>44</v>
      </c>
      <c r="Y758" t="s">
        <v>38</v>
      </c>
      <c r="Z758" t="s">
        <v>51</v>
      </c>
      <c r="AA758" s="2">
        <v>45484</v>
      </c>
      <c r="AB758" t="b">
        <v>0</v>
      </c>
      <c r="AC758" t="b">
        <v>1</v>
      </c>
      <c r="AD758" t="s">
        <v>52</v>
      </c>
      <c r="AE758" t="s">
        <v>67</v>
      </c>
      <c r="AF758">
        <v>6</v>
      </c>
    </row>
    <row r="759" spans="1:32" x14ac:dyDescent="0.25">
      <c r="A759" t="s">
        <v>1586</v>
      </c>
      <c r="B759">
        <v>757</v>
      </c>
      <c r="C759">
        <v>34</v>
      </c>
      <c r="D759" t="str">
        <f>IF(tbl_Original[[#This Row],[Gender2]]="Female","Female",IF(tbl_Original[[#This Row],[Gender2]]="Male","Male","Other"))</f>
        <v>Male</v>
      </c>
      <c r="E759" t="s">
        <v>43</v>
      </c>
      <c r="F759" t="s">
        <v>44</v>
      </c>
      <c r="G759" t="s">
        <v>69</v>
      </c>
      <c r="H759" t="s">
        <v>45</v>
      </c>
      <c r="I759" t="s">
        <v>44</v>
      </c>
      <c r="J759" t="str">
        <f>PROPER(TRIM(CLEAN(tbl_Original[[#This Row],[Column1]])))</f>
        <v>Qingshandi</v>
      </c>
      <c r="K759" t="s">
        <v>1587</v>
      </c>
      <c r="L759" t="s">
        <v>1587</v>
      </c>
      <c r="M759" t="s">
        <v>120</v>
      </c>
      <c r="N759" s="1">
        <v>282.24</v>
      </c>
      <c r="O759">
        <v>6</v>
      </c>
      <c r="P759" t="s">
        <v>78</v>
      </c>
      <c r="Q759">
        <v>2</v>
      </c>
      <c r="R759">
        <v>3</v>
      </c>
      <c r="S759">
        <v>2</v>
      </c>
      <c r="T759" t="s">
        <v>36</v>
      </c>
      <c r="U759" t="s">
        <v>50</v>
      </c>
      <c r="V759">
        <v>1</v>
      </c>
      <c r="W759">
        <v>7</v>
      </c>
      <c r="X759" t="s">
        <v>49</v>
      </c>
      <c r="Y759" t="s">
        <v>79</v>
      </c>
      <c r="Z759" t="s">
        <v>39</v>
      </c>
      <c r="AA759" s="2">
        <v>45551</v>
      </c>
      <c r="AB759" t="b">
        <v>1</v>
      </c>
      <c r="AC759" t="b">
        <v>1</v>
      </c>
      <c r="AD759" t="s">
        <v>40</v>
      </c>
      <c r="AE759" t="s">
        <v>41</v>
      </c>
      <c r="AF759">
        <v>1</v>
      </c>
    </row>
    <row r="760" spans="1:32" x14ac:dyDescent="0.25">
      <c r="A760" t="s">
        <v>1588</v>
      </c>
      <c r="B760">
        <v>758</v>
      </c>
      <c r="C760">
        <v>29</v>
      </c>
      <c r="D760" t="str">
        <f>IF(tbl_Original[[#This Row],[Gender2]]="Female","Female",IF(tbl_Original[[#This Row],[Gender2]]="Male","Male","Other"))</f>
        <v>Female</v>
      </c>
      <c r="E760" t="s">
        <v>29</v>
      </c>
      <c r="F760" t="s">
        <v>44</v>
      </c>
      <c r="G760" t="s">
        <v>76</v>
      </c>
      <c r="H760" t="s">
        <v>56</v>
      </c>
      <c r="I760" t="s">
        <v>30</v>
      </c>
      <c r="J760" t="str">
        <f>PROPER(TRIM(CLEAN(tbl_Original[[#This Row],[Column1]])))</f>
        <v>Mbala</v>
      </c>
      <c r="K760" t="s">
        <v>1589</v>
      </c>
      <c r="L760" t="s">
        <v>1589</v>
      </c>
      <c r="M760" t="s">
        <v>107</v>
      </c>
      <c r="N760" s="1">
        <v>154.19</v>
      </c>
      <c r="O760">
        <v>6</v>
      </c>
      <c r="P760" t="s">
        <v>78</v>
      </c>
      <c r="Q760">
        <v>5</v>
      </c>
      <c r="R760">
        <v>4</v>
      </c>
      <c r="S760">
        <v>1</v>
      </c>
      <c r="T760" t="s">
        <v>49</v>
      </c>
      <c r="U760" t="s">
        <v>85</v>
      </c>
      <c r="V760">
        <v>2</v>
      </c>
      <c r="W760">
        <v>1</v>
      </c>
      <c r="X760" t="s">
        <v>36</v>
      </c>
      <c r="Y760" t="s">
        <v>38</v>
      </c>
      <c r="Z760" t="s">
        <v>51</v>
      </c>
      <c r="AA760" s="2">
        <v>45557</v>
      </c>
      <c r="AB760" t="b">
        <v>1</v>
      </c>
      <c r="AC760" t="b">
        <v>1</v>
      </c>
      <c r="AD760" t="s">
        <v>40</v>
      </c>
      <c r="AE760" t="s">
        <v>41</v>
      </c>
      <c r="AF760">
        <v>1</v>
      </c>
    </row>
    <row r="761" spans="1:32" x14ac:dyDescent="0.25">
      <c r="A761" t="s">
        <v>1590</v>
      </c>
      <c r="B761">
        <v>759</v>
      </c>
      <c r="C761">
        <v>41</v>
      </c>
      <c r="D761" t="str">
        <f>IF(tbl_Original[[#This Row],[Gender2]]="Female","Female",IF(tbl_Original[[#This Row],[Gender2]]="Male","Male","Other"))</f>
        <v>Female</v>
      </c>
      <c r="E761" t="s">
        <v>29</v>
      </c>
      <c r="F761" t="s">
        <v>30</v>
      </c>
      <c r="G761" t="s">
        <v>69</v>
      </c>
      <c r="H761" t="s">
        <v>32</v>
      </c>
      <c r="I761" t="s">
        <v>30</v>
      </c>
      <c r="J761" t="str">
        <f>PROPER(TRIM(CLEAN(tbl_Original[[#This Row],[Column1]])))</f>
        <v>Shiqiao</v>
      </c>
      <c r="K761" t="s">
        <v>1591</v>
      </c>
      <c r="L761" t="s">
        <v>1591</v>
      </c>
      <c r="M761" t="s">
        <v>71</v>
      </c>
      <c r="N761" s="1">
        <v>84.15</v>
      </c>
      <c r="O761">
        <v>10</v>
      </c>
      <c r="P761" t="s">
        <v>48</v>
      </c>
      <c r="Q761">
        <v>1</v>
      </c>
      <c r="R761">
        <v>3</v>
      </c>
      <c r="S761">
        <v>1</v>
      </c>
      <c r="T761" t="s">
        <v>44</v>
      </c>
      <c r="U761" t="s">
        <v>50</v>
      </c>
      <c r="V761">
        <v>2</v>
      </c>
      <c r="W761">
        <v>1</v>
      </c>
      <c r="X761" t="s">
        <v>44</v>
      </c>
      <c r="Y761" t="s">
        <v>79</v>
      </c>
      <c r="Z761" t="s">
        <v>51</v>
      </c>
      <c r="AA761" s="2">
        <v>45599</v>
      </c>
      <c r="AB761" t="b">
        <v>1</v>
      </c>
      <c r="AC761" t="b">
        <v>1</v>
      </c>
      <c r="AD761" t="s">
        <v>62</v>
      </c>
      <c r="AE761" t="s">
        <v>53</v>
      </c>
      <c r="AF761">
        <v>1</v>
      </c>
    </row>
    <row r="762" spans="1:32" x14ac:dyDescent="0.25">
      <c r="A762" t="s">
        <v>1592</v>
      </c>
      <c r="B762">
        <v>760</v>
      </c>
      <c r="C762">
        <v>41</v>
      </c>
      <c r="D762" t="str">
        <f>IF(tbl_Original[[#This Row],[Gender2]]="Female","Female",IF(tbl_Original[[#This Row],[Gender2]]="Male","Male","Other"))</f>
        <v>Male</v>
      </c>
      <c r="E762" t="s">
        <v>43</v>
      </c>
      <c r="F762" t="s">
        <v>30</v>
      </c>
      <c r="G762" t="s">
        <v>76</v>
      </c>
      <c r="H762" t="s">
        <v>45</v>
      </c>
      <c r="I762" t="s">
        <v>44</v>
      </c>
      <c r="J762" t="str">
        <f>PROPER(TRIM(CLEAN(tbl_Original[[#This Row],[Column1]])))</f>
        <v>Yatsuomachi-Higashikumisaka</v>
      </c>
      <c r="K762" t="s">
        <v>1593</v>
      </c>
      <c r="L762" t="s">
        <v>1593</v>
      </c>
      <c r="M762" t="s">
        <v>142</v>
      </c>
      <c r="N762" s="1">
        <v>214.69</v>
      </c>
      <c r="O762">
        <v>7</v>
      </c>
      <c r="P762" t="s">
        <v>48</v>
      </c>
      <c r="Q762">
        <v>4</v>
      </c>
      <c r="R762">
        <v>4</v>
      </c>
      <c r="S762">
        <v>0</v>
      </c>
      <c r="T762" t="s">
        <v>49</v>
      </c>
      <c r="U762" t="s">
        <v>50</v>
      </c>
      <c r="V762">
        <v>1</v>
      </c>
      <c r="W762">
        <v>7</v>
      </c>
      <c r="X762" t="s">
        <v>36</v>
      </c>
      <c r="Y762" t="s">
        <v>38</v>
      </c>
      <c r="Z762" t="s">
        <v>39</v>
      </c>
      <c r="AA762" s="2">
        <v>45427</v>
      </c>
      <c r="AB762" t="b">
        <v>1</v>
      </c>
      <c r="AC762" t="b">
        <v>1</v>
      </c>
      <c r="AD762" t="s">
        <v>52</v>
      </c>
      <c r="AE762" t="s">
        <v>53</v>
      </c>
      <c r="AF762">
        <v>9</v>
      </c>
    </row>
    <row r="763" spans="1:32" x14ac:dyDescent="0.25">
      <c r="A763" t="s">
        <v>1594</v>
      </c>
      <c r="B763">
        <v>761</v>
      </c>
      <c r="C763">
        <v>32</v>
      </c>
      <c r="D763" t="str">
        <f>IF(tbl_Original[[#This Row],[Gender2]]="Female","Female",IF(tbl_Original[[#This Row],[Gender2]]="Male","Male","Other"))</f>
        <v>Male</v>
      </c>
      <c r="E763" t="s">
        <v>43</v>
      </c>
      <c r="F763" t="s">
        <v>44</v>
      </c>
      <c r="G763" t="s">
        <v>31</v>
      </c>
      <c r="H763" t="s">
        <v>32</v>
      </c>
      <c r="I763" t="s">
        <v>44</v>
      </c>
      <c r="J763" t="str">
        <f>PROPER(TRIM(CLEAN(tbl_Original[[#This Row],[Column1]])))</f>
        <v>Czarna Dbrwka</v>
      </c>
      <c r="K763" t="s">
        <v>2245</v>
      </c>
      <c r="L763" t="s">
        <v>1595</v>
      </c>
      <c r="M763" t="s">
        <v>101</v>
      </c>
      <c r="N763" s="1">
        <v>61.21</v>
      </c>
      <c r="O763">
        <v>12</v>
      </c>
      <c r="P763" t="s">
        <v>35</v>
      </c>
      <c r="Q763">
        <v>5</v>
      </c>
      <c r="R763">
        <v>5</v>
      </c>
      <c r="S763">
        <v>0</v>
      </c>
      <c r="T763" t="s">
        <v>36</v>
      </c>
      <c r="U763" t="s">
        <v>50</v>
      </c>
      <c r="V763">
        <v>0</v>
      </c>
      <c r="W763">
        <v>5</v>
      </c>
      <c r="X763" t="s">
        <v>59</v>
      </c>
      <c r="Y763" t="s">
        <v>60</v>
      </c>
      <c r="Z763" t="s">
        <v>39</v>
      </c>
      <c r="AA763" s="2">
        <v>45620</v>
      </c>
      <c r="AB763" t="b">
        <v>1</v>
      </c>
      <c r="AC763" t="b">
        <v>0</v>
      </c>
      <c r="AD763" t="s">
        <v>74</v>
      </c>
      <c r="AE763" t="s">
        <v>53</v>
      </c>
      <c r="AF763">
        <v>13</v>
      </c>
    </row>
    <row r="764" spans="1:32" x14ac:dyDescent="0.25">
      <c r="A764" t="s">
        <v>1596</v>
      </c>
      <c r="B764">
        <v>762</v>
      </c>
      <c r="C764">
        <v>36</v>
      </c>
      <c r="D764" t="str">
        <f>IF(tbl_Original[[#This Row],[Gender2]]="Female","Female",IF(tbl_Original[[#This Row],[Gender2]]="Male","Male","Other"))</f>
        <v>Female</v>
      </c>
      <c r="E764" t="s">
        <v>29</v>
      </c>
      <c r="F764" t="s">
        <v>30</v>
      </c>
      <c r="G764" t="s">
        <v>55</v>
      </c>
      <c r="H764" t="s">
        <v>45</v>
      </c>
      <c r="I764" t="s">
        <v>44</v>
      </c>
      <c r="J764" t="str">
        <f>PROPER(TRIM(CLEAN(tbl_Original[[#This Row],[Column1]])))</f>
        <v>Pasirmadang</v>
      </c>
      <c r="K764" t="s">
        <v>1597</v>
      </c>
      <c r="L764" t="s">
        <v>1597</v>
      </c>
      <c r="M764" t="s">
        <v>114</v>
      </c>
      <c r="N764" s="1">
        <v>462.48</v>
      </c>
      <c r="O764">
        <v>11</v>
      </c>
      <c r="P764" t="s">
        <v>78</v>
      </c>
      <c r="Q764">
        <v>1</v>
      </c>
      <c r="R764">
        <v>3</v>
      </c>
      <c r="S764">
        <v>0</v>
      </c>
      <c r="T764" t="s">
        <v>49</v>
      </c>
      <c r="U764" t="s">
        <v>85</v>
      </c>
      <c r="V764">
        <v>2</v>
      </c>
      <c r="W764">
        <v>2</v>
      </c>
      <c r="X764" t="s">
        <v>59</v>
      </c>
      <c r="Y764" t="s">
        <v>60</v>
      </c>
      <c r="Z764" t="s">
        <v>61</v>
      </c>
      <c r="AA764" s="2">
        <v>45382</v>
      </c>
      <c r="AB764" t="b">
        <v>0</v>
      </c>
      <c r="AC764" t="b">
        <v>0</v>
      </c>
      <c r="AD764" t="s">
        <v>74</v>
      </c>
      <c r="AE764" t="s">
        <v>67</v>
      </c>
      <c r="AF764">
        <v>12</v>
      </c>
    </row>
    <row r="765" spans="1:32" x14ac:dyDescent="0.25">
      <c r="A765" t="s">
        <v>1598</v>
      </c>
      <c r="B765">
        <v>763</v>
      </c>
      <c r="C765">
        <v>33</v>
      </c>
      <c r="D765" t="str">
        <f>IF(tbl_Original[[#This Row],[Gender2]]="Female","Female",IF(tbl_Original[[#This Row],[Gender2]]="Male","Male","Other"))</f>
        <v>Male</v>
      </c>
      <c r="E765" t="s">
        <v>43</v>
      </c>
      <c r="F765" t="s">
        <v>30</v>
      </c>
      <c r="G765" t="s">
        <v>31</v>
      </c>
      <c r="H765" t="s">
        <v>32</v>
      </c>
      <c r="I765" t="s">
        <v>44</v>
      </c>
      <c r="J765" t="str">
        <f>PROPER(TRIM(CLEAN(tbl_Original[[#This Row],[Column1]])))</f>
        <v>Mao</v>
      </c>
      <c r="K765" t="s">
        <v>2246</v>
      </c>
      <c r="L765" t="s">
        <v>1599</v>
      </c>
      <c r="M765" t="s">
        <v>120</v>
      </c>
      <c r="N765" s="1">
        <v>449.18</v>
      </c>
      <c r="O765">
        <v>3</v>
      </c>
      <c r="P765" t="s">
        <v>35</v>
      </c>
      <c r="Q765">
        <v>5</v>
      </c>
      <c r="R765">
        <v>3</v>
      </c>
      <c r="S765">
        <v>2</v>
      </c>
      <c r="T765" t="s">
        <v>49</v>
      </c>
      <c r="U765" t="s">
        <v>37</v>
      </c>
      <c r="V765">
        <v>0</v>
      </c>
      <c r="W765">
        <v>8</v>
      </c>
      <c r="X765" t="s">
        <v>44</v>
      </c>
      <c r="Y765" t="s">
        <v>38</v>
      </c>
      <c r="Z765" t="s">
        <v>39</v>
      </c>
      <c r="AA765" s="2">
        <v>45372</v>
      </c>
      <c r="AB765" t="b">
        <v>1</v>
      </c>
      <c r="AC765" t="b">
        <v>1</v>
      </c>
      <c r="AD765" t="s">
        <v>52</v>
      </c>
      <c r="AE765" t="s">
        <v>53</v>
      </c>
      <c r="AF765">
        <v>10</v>
      </c>
    </row>
    <row r="766" spans="1:32" x14ac:dyDescent="0.25">
      <c r="A766" t="s">
        <v>1600</v>
      </c>
      <c r="B766">
        <v>764</v>
      </c>
      <c r="C766">
        <v>25</v>
      </c>
      <c r="D766" t="str">
        <f>IF(tbl_Original[[#This Row],[Gender2]]="Female","Female",IF(tbl_Original[[#This Row],[Gender2]]="Male","Male","Other"))</f>
        <v>Female</v>
      </c>
      <c r="E766" t="s">
        <v>29</v>
      </c>
      <c r="F766" t="s">
        <v>30</v>
      </c>
      <c r="G766" t="s">
        <v>31</v>
      </c>
      <c r="H766" t="s">
        <v>56</v>
      </c>
      <c r="I766" t="s">
        <v>30</v>
      </c>
      <c r="J766" t="str">
        <f>PROPER(TRIM(CLEAN(tbl_Original[[#This Row],[Column1]])))</f>
        <v>Tiwi</v>
      </c>
      <c r="K766" t="s">
        <v>1601</v>
      </c>
      <c r="L766" t="s">
        <v>1601</v>
      </c>
      <c r="M766" t="s">
        <v>93</v>
      </c>
      <c r="N766" s="1">
        <v>314.36</v>
      </c>
      <c r="O766">
        <v>7</v>
      </c>
      <c r="P766" t="s">
        <v>48</v>
      </c>
      <c r="Q766">
        <v>3</v>
      </c>
      <c r="R766">
        <v>5</v>
      </c>
      <c r="S766">
        <v>2</v>
      </c>
      <c r="T766" t="s">
        <v>49</v>
      </c>
      <c r="U766" t="s">
        <v>85</v>
      </c>
      <c r="V766">
        <v>1</v>
      </c>
      <c r="W766">
        <v>4</v>
      </c>
      <c r="X766" t="s">
        <v>36</v>
      </c>
      <c r="Y766" t="s">
        <v>79</v>
      </c>
      <c r="Z766" t="s">
        <v>86</v>
      </c>
      <c r="AA766" s="2">
        <v>45476</v>
      </c>
      <c r="AB766" t="b">
        <v>1</v>
      </c>
      <c r="AC766" t="b">
        <v>0</v>
      </c>
      <c r="AD766" t="s">
        <v>62</v>
      </c>
      <c r="AE766" t="s">
        <v>67</v>
      </c>
      <c r="AF766">
        <v>1</v>
      </c>
    </row>
    <row r="767" spans="1:32" x14ac:dyDescent="0.25">
      <c r="A767" t="s">
        <v>1602</v>
      </c>
      <c r="B767">
        <v>765</v>
      </c>
      <c r="C767">
        <v>46</v>
      </c>
      <c r="D767" t="str">
        <f>IF(tbl_Original[[#This Row],[Gender2]]="Female","Female",IF(tbl_Original[[#This Row],[Gender2]]="Male","Male","Other"))</f>
        <v>Female</v>
      </c>
      <c r="E767" t="s">
        <v>29</v>
      </c>
      <c r="F767" t="s">
        <v>30</v>
      </c>
      <c r="G767" t="s">
        <v>31</v>
      </c>
      <c r="H767" t="s">
        <v>32</v>
      </c>
      <c r="I767" t="s">
        <v>30</v>
      </c>
      <c r="J767" t="str">
        <f>PROPER(TRIM(CLEAN(tbl_Original[[#This Row],[Column1]])))</f>
        <v>Ahar</v>
      </c>
      <c r="K767" t="s">
        <v>1603</v>
      </c>
      <c r="L767" t="s">
        <v>1603</v>
      </c>
      <c r="M767" t="s">
        <v>246</v>
      </c>
      <c r="N767" s="1">
        <v>367.7</v>
      </c>
      <c r="O767">
        <v>3</v>
      </c>
      <c r="P767" t="s">
        <v>35</v>
      </c>
      <c r="Q767">
        <v>3</v>
      </c>
      <c r="R767">
        <v>5</v>
      </c>
      <c r="S767">
        <v>2</v>
      </c>
      <c r="T767" t="s">
        <v>36</v>
      </c>
      <c r="U767" t="s">
        <v>37</v>
      </c>
      <c r="V767">
        <v>2</v>
      </c>
      <c r="W767">
        <v>3</v>
      </c>
      <c r="X767" t="s">
        <v>44</v>
      </c>
      <c r="Y767" t="s">
        <v>79</v>
      </c>
      <c r="Z767" t="s">
        <v>39</v>
      </c>
      <c r="AA767" s="2">
        <v>45368</v>
      </c>
      <c r="AB767" t="b">
        <v>1</v>
      </c>
      <c r="AC767" t="b">
        <v>1</v>
      </c>
      <c r="AD767" t="s">
        <v>40</v>
      </c>
      <c r="AE767" t="s">
        <v>41</v>
      </c>
      <c r="AF767">
        <v>3</v>
      </c>
    </row>
    <row r="768" spans="1:32" x14ac:dyDescent="0.25">
      <c r="A768" t="s">
        <v>1604</v>
      </c>
      <c r="B768">
        <v>766</v>
      </c>
      <c r="C768">
        <v>41</v>
      </c>
      <c r="D768" t="str">
        <f>IF(tbl_Original[[#This Row],[Gender2]]="Female","Female",IF(tbl_Original[[#This Row],[Gender2]]="Male","Male","Other"))</f>
        <v>Female</v>
      </c>
      <c r="E768" t="s">
        <v>29</v>
      </c>
      <c r="F768" t="s">
        <v>44</v>
      </c>
      <c r="G768" t="s">
        <v>55</v>
      </c>
      <c r="H768" t="s">
        <v>45</v>
      </c>
      <c r="I768" t="s">
        <v>30</v>
      </c>
      <c r="J768" t="str">
        <f>PROPER(TRIM(CLEAN(tbl_Original[[#This Row],[Column1]])))</f>
        <v>Dake</v>
      </c>
      <c r="K768" t="s">
        <v>1605</v>
      </c>
      <c r="L768" t="s">
        <v>1605</v>
      </c>
      <c r="M768" t="s">
        <v>90</v>
      </c>
      <c r="N768" s="1">
        <v>229.97</v>
      </c>
      <c r="O768">
        <v>7</v>
      </c>
      <c r="P768" t="s">
        <v>35</v>
      </c>
      <c r="Q768">
        <v>3</v>
      </c>
      <c r="R768">
        <v>4</v>
      </c>
      <c r="S768">
        <v>0</v>
      </c>
      <c r="T768" t="s">
        <v>36</v>
      </c>
      <c r="U768" t="s">
        <v>85</v>
      </c>
      <c r="V768">
        <v>2</v>
      </c>
      <c r="W768">
        <v>9</v>
      </c>
      <c r="X768" t="s">
        <v>36</v>
      </c>
      <c r="Y768" t="s">
        <v>79</v>
      </c>
      <c r="Z768" t="s">
        <v>66</v>
      </c>
      <c r="AA768" s="2">
        <v>45617</v>
      </c>
      <c r="AB768" t="b">
        <v>0</v>
      </c>
      <c r="AC768" t="b">
        <v>1</v>
      </c>
      <c r="AD768" t="s">
        <v>40</v>
      </c>
      <c r="AE768" t="s">
        <v>53</v>
      </c>
      <c r="AF768">
        <v>6</v>
      </c>
    </row>
    <row r="769" spans="1:32" x14ac:dyDescent="0.25">
      <c r="A769" t="s">
        <v>1606</v>
      </c>
      <c r="B769">
        <v>767</v>
      </c>
      <c r="C769">
        <v>28</v>
      </c>
      <c r="D769" t="str">
        <f>IF(tbl_Original[[#This Row],[Gender2]]="Female","Female",IF(tbl_Original[[#This Row],[Gender2]]="Male","Male","Other"))</f>
        <v>Female</v>
      </c>
      <c r="E769" t="s">
        <v>29</v>
      </c>
      <c r="F769" t="s">
        <v>30</v>
      </c>
      <c r="G769" t="s">
        <v>69</v>
      </c>
      <c r="H769" t="s">
        <v>32</v>
      </c>
      <c r="I769" t="s">
        <v>30</v>
      </c>
      <c r="J769" t="str">
        <f>PROPER(TRIM(CLEAN(tbl_Original[[#This Row],[Column1]])))</f>
        <v>Harstad</v>
      </c>
      <c r="K769" t="s">
        <v>1607</v>
      </c>
      <c r="L769" t="s">
        <v>1607</v>
      </c>
      <c r="M769" t="s">
        <v>65</v>
      </c>
      <c r="N769" s="1">
        <v>226.53</v>
      </c>
      <c r="O769">
        <v>3</v>
      </c>
      <c r="P769" t="s">
        <v>78</v>
      </c>
      <c r="Q769">
        <v>3</v>
      </c>
      <c r="R769">
        <v>1</v>
      </c>
      <c r="S769">
        <v>1</v>
      </c>
      <c r="T769" t="s">
        <v>44</v>
      </c>
      <c r="U769" t="s">
        <v>50</v>
      </c>
      <c r="V769">
        <v>1</v>
      </c>
      <c r="W769">
        <v>10</v>
      </c>
      <c r="X769" t="s">
        <v>49</v>
      </c>
      <c r="Y769" t="s">
        <v>79</v>
      </c>
      <c r="Z769" t="s">
        <v>51</v>
      </c>
      <c r="AA769" s="2">
        <v>45506</v>
      </c>
      <c r="AB769" t="b">
        <v>1</v>
      </c>
      <c r="AC769" t="b">
        <v>0</v>
      </c>
      <c r="AD769" t="s">
        <v>52</v>
      </c>
      <c r="AE769" t="s">
        <v>41</v>
      </c>
      <c r="AF769">
        <v>13</v>
      </c>
    </row>
    <row r="770" spans="1:32" x14ac:dyDescent="0.25">
      <c r="A770" t="s">
        <v>1608</v>
      </c>
      <c r="B770">
        <v>768</v>
      </c>
      <c r="C770">
        <v>23</v>
      </c>
      <c r="D770" t="str">
        <f>IF(tbl_Original[[#This Row],[Gender2]]="Female","Female",IF(tbl_Original[[#This Row],[Gender2]]="Male","Male","Other"))</f>
        <v>Male</v>
      </c>
      <c r="E770" t="s">
        <v>43</v>
      </c>
      <c r="F770" t="s">
        <v>44</v>
      </c>
      <c r="G770" t="s">
        <v>76</v>
      </c>
      <c r="H770" t="s">
        <v>56</v>
      </c>
      <c r="I770" t="s">
        <v>30</v>
      </c>
      <c r="J770" t="str">
        <f>PROPER(TRIM(CLEAN(tbl_Original[[#This Row],[Column1]])))</f>
        <v>Perbaungan</v>
      </c>
      <c r="K770" t="s">
        <v>1609</v>
      </c>
      <c r="L770" t="s">
        <v>1609</v>
      </c>
      <c r="M770" t="s">
        <v>120</v>
      </c>
      <c r="N770" s="1">
        <v>218.32</v>
      </c>
      <c r="O770">
        <v>2</v>
      </c>
      <c r="P770" t="s">
        <v>35</v>
      </c>
      <c r="Q770">
        <v>5</v>
      </c>
      <c r="R770">
        <v>3</v>
      </c>
      <c r="S770">
        <v>0</v>
      </c>
      <c r="T770" t="s">
        <v>44</v>
      </c>
      <c r="U770" t="s">
        <v>50</v>
      </c>
      <c r="V770">
        <v>2</v>
      </c>
      <c r="W770">
        <v>7</v>
      </c>
      <c r="X770" t="s">
        <v>59</v>
      </c>
      <c r="Y770" t="s">
        <v>79</v>
      </c>
      <c r="Z770" t="s">
        <v>51</v>
      </c>
      <c r="AA770" s="2">
        <v>45559</v>
      </c>
      <c r="AB770" t="b">
        <v>0</v>
      </c>
      <c r="AC770" t="b">
        <v>0</v>
      </c>
      <c r="AD770" t="s">
        <v>40</v>
      </c>
      <c r="AE770" t="s">
        <v>67</v>
      </c>
      <c r="AF770">
        <v>3</v>
      </c>
    </row>
    <row r="771" spans="1:32" x14ac:dyDescent="0.25">
      <c r="A771" t="s">
        <v>1610</v>
      </c>
      <c r="B771">
        <v>769</v>
      </c>
      <c r="C771">
        <v>48</v>
      </c>
      <c r="D771" t="str">
        <f>IF(tbl_Original[[#This Row],[Gender2]]="Female","Female",IF(tbl_Original[[#This Row],[Gender2]]="Male","Male","Other"))</f>
        <v>Female</v>
      </c>
      <c r="E771" t="s">
        <v>29</v>
      </c>
      <c r="F771" t="s">
        <v>44</v>
      </c>
      <c r="G771" t="s">
        <v>69</v>
      </c>
      <c r="H771" t="s">
        <v>45</v>
      </c>
      <c r="I771" t="s">
        <v>44</v>
      </c>
      <c r="J771" t="str">
        <f>PROPER(TRIM(CLEAN(tbl_Original[[#This Row],[Column1]])))</f>
        <v>Soroti</v>
      </c>
      <c r="K771" t="s">
        <v>1611</v>
      </c>
      <c r="L771" t="s">
        <v>1611</v>
      </c>
      <c r="M771" t="s">
        <v>71</v>
      </c>
      <c r="N771" s="1">
        <v>132.66999999999999</v>
      </c>
      <c r="O771">
        <v>7</v>
      </c>
      <c r="P771" t="s">
        <v>48</v>
      </c>
      <c r="Q771">
        <v>2</v>
      </c>
      <c r="R771">
        <v>5</v>
      </c>
      <c r="S771">
        <v>1</v>
      </c>
      <c r="T771" t="s">
        <v>59</v>
      </c>
      <c r="U771" t="s">
        <v>85</v>
      </c>
      <c r="V771">
        <v>2</v>
      </c>
      <c r="W771">
        <v>3</v>
      </c>
      <c r="X771" t="s">
        <v>59</v>
      </c>
      <c r="Y771" t="s">
        <v>60</v>
      </c>
      <c r="Z771" t="s">
        <v>66</v>
      </c>
      <c r="AA771" s="2">
        <v>45644</v>
      </c>
      <c r="AB771" t="b">
        <v>1</v>
      </c>
      <c r="AC771" t="b">
        <v>0</v>
      </c>
      <c r="AD771" t="s">
        <v>62</v>
      </c>
      <c r="AE771" t="s">
        <v>67</v>
      </c>
      <c r="AF771">
        <v>1</v>
      </c>
    </row>
    <row r="772" spans="1:32" x14ac:dyDescent="0.25">
      <c r="A772" t="s">
        <v>1612</v>
      </c>
      <c r="B772">
        <v>770</v>
      </c>
      <c r="C772">
        <v>26</v>
      </c>
      <c r="D772" t="str">
        <f>IF(tbl_Original[[#This Row],[Gender2]]="Female","Female",IF(tbl_Original[[#This Row],[Gender2]]="Male","Male","Other"))</f>
        <v>Male</v>
      </c>
      <c r="E772" t="s">
        <v>43</v>
      </c>
      <c r="F772" t="s">
        <v>44</v>
      </c>
      <c r="G772" t="s">
        <v>55</v>
      </c>
      <c r="H772" t="s">
        <v>56</v>
      </c>
      <c r="I772" t="s">
        <v>44</v>
      </c>
      <c r="J772" t="str">
        <f>PROPER(TRIM(CLEAN(tbl_Original[[#This Row],[Column1]])))</f>
        <v>Caruaru</v>
      </c>
      <c r="K772" t="s">
        <v>1613</v>
      </c>
      <c r="L772" t="s">
        <v>1613</v>
      </c>
      <c r="M772" t="s">
        <v>135</v>
      </c>
      <c r="N772" s="1">
        <v>416.96</v>
      </c>
      <c r="O772">
        <v>7</v>
      </c>
      <c r="P772" t="s">
        <v>48</v>
      </c>
      <c r="Q772">
        <v>5</v>
      </c>
      <c r="R772">
        <v>1</v>
      </c>
      <c r="S772">
        <v>1</v>
      </c>
      <c r="T772" t="s">
        <v>44</v>
      </c>
      <c r="U772" t="s">
        <v>50</v>
      </c>
      <c r="V772">
        <v>0</v>
      </c>
      <c r="W772">
        <v>1</v>
      </c>
      <c r="X772" t="s">
        <v>44</v>
      </c>
      <c r="Y772" t="s">
        <v>38</v>
      </c>
      <c r="Z772" t="s">
        <v>66</v>
      </c>
      <c r="AA772" s="2">
        <v>45437</v>
      </c>
      <c r="AB772" t="b">
        <v>0</v>
      </c>
      <c r="AC772" t="b">
        <v>0</v>
      </c>
      <c r="AD772" t="s">
        <v>74</v>
      </c>
      <c r="AE772" t="s">
        <v>67</v>
      </c>
      <c r="AF772">
        <v>7</v>
      </c>
    </row>
    <row r="773" spans="1:32" x14ac:dyDescent="0.25">
      <c r="A773" t="s">
        <v>1614</v>
      </c>
      <c r="B773">
        <v>771</v>
      </c>
      <c r="C773">
        <v>39</v>
      </c>
      <c r="D773" t="str">
        <f>IF(tbl_Original[[#This Row],[Gender2]]="Female","Female",IF(tbl_Original[[#This Row],[Gender2]]="Male","Male","Other"))</f>
        <v>Female</v>
      </c>
      <c r="E773" t="s">
        <v>29</v>
      </c>
      <c r="F773" t="s">
        <v>44</v>
      </c>
      <c r="G773" t="s">
        <v>31</v>
      </c>
      <c r="H773" t="s">
        <v>56</v>
      </c>
      <c r="I773" t="s">
        <v>30</v>
      </c>
      <c r="J773" t="str">
        <f>PROPER(TRIM(CLEAN(tbl_Original[[#This Row],[Column1]])))</f>
        <v>Kamiennik</v>
      </c>
      <c r="K773" t="s">
        <v>1615</v>
      </c>
      <c r="L773" t="s">
        <v>1615</v>
      </c>
      <c r="M773" t="s">
        <v>135</v>
      </c>
      <c r="N773" s="1">
        <v>459.51</v>
      </c>
      <c r="O773">
        <v>7</v>
      </c>
      <c r="P773" t="s">
        <v>48</v>
      </c>
      <c r="Q773">
        <v>1</v>
      </c>
      <c r="R773">
        <v>2</v>
      </c>
      <c r="S773">
        <v>2</v>
      </c>
      <c r="T773" t="s">
        <v>44</v>
      </c>
      <c r="U773" t="s">
        <v>50</v>
      </c>
      <c r="V773">
        <v>0</v>
      </c>
      <c r="W773">
        <v>5</v>
      </c>
      <c r="X773" t="s">
        <v>49</v>
      </c>
      <c r="Y773" t="s">
        <v>38</v>
      </c>
      <c r="Z773" t="s">
        <v>61</v>
      </c>
      <c r="AA773" s="2">
        <v>45296</v>
      </c>
      <c r="AB773" t="b">
        <v>1</v>
      </c>
      <c r="AC773" t="b">
        <v>0</v>
      </c>
      <c r="AD773" t="s">
        <v>40</v>
      </c>
      <c r="AE773" t="s">
        <v>41</v>
      </c>
      <c r="AF773">
        <v>11</v>
      </c>
    </row>
    <row r="774" spans="1:32" x14ac:dyDescent="0.25">
      <c r="A774" t="s">
        <v>1616</v>
      </c>
      <c r="B774">
        <v>772</v>
      </c>
      <c r="C774">
        <v>45</v>
      </c>
      <c r="D774" t="str">
        <f>IF(tbl_Original[[#This Row],[Gender2]]="Female","Female",IF(tbl_Original[[#This Row],[Gender2]]="Male","Male","Other"))</f>
        <v>Male</v>
      </c>
      <c r="E774" t="s">
        <v>43</v>
      </c>
      <c r="F774" t="s">
        <v>30</v>
      </c>
      <c r="G774" t="s">
        <v>31</v>
      </c>
      <c r="H774" t="s">
        <v>45</v>
      </c>
      <c r="I774" t="s">
        <v>44</v>
      </c>
      <c r="J774" t="str">
        <f>PROPER(TRIM(CLEAN(tbl_Original[[#This Row],[Column1]])))</f>
        <v>Boundiali</v>
      </c>
      <c r="K774" t="s">
        <v>1617</v>
      </c>
      <c r="L774" t="s">
        <v>1617</v>
      </c>
      <c r="M774" t="s">
        <v>90</v>
      </c>
      <c r="N774" s="1">
        <v>487.96</v>
      </c>
      <c r="O774">
        <v>2</v>
      </c>
      <c r="P774" t="s">
        <v>35</v>
      </c>
      <c r="Q774">
        <v>5</v>
      </c>
      <c r="R774">
        <v>3</v>
      </c>
      <c r="S774">
        <v>2</v>
      </c>
      <c r="T774" t="s">
        <v>59</v>
      </c>
      <c r="U774" t="s">
        <v>85</v>
      </c>
      <c r="V774">
        <v>0</v>
      </c>
      <c r="W774">
        <v>2</v>
      </c>
      <c r="X774" t="s">
        <v>36</v>
      </c>
      <c r="Y774" t="s">
        <v>79</v>
      </c>
      <c r="Z774" t="s">
        <v>51</v>
      </c>
      <c r="AA774" s="2">
        <v>45366</v>
      </c>
      <c r="AB774" t="b">
        <v>1</v>
      </c>
      <c r="AC774" t="b">
        <v>1</v>
      </c>
      <c r="AD774" t="s">
        <v>40</v>
      </c>
      <c r="AE774" t="s">
        <v>41</v>
      </c>
      <c r="AF774">
        <v>12</v>
      </c>
    </row>
    <row r="775" spans="1:32" x14ac:dyDescent="0.25">
      <c r="A775" t="s">
        <v>1618</v>
      </c>
      <c r="B775">
        <v>773</v>
      </c>
      <c r="C775">
        <v>22</v>
      </c>
      <c r="D775" t="str">
        <f>IF(tbl_Original[[#This Row],[Gender2]]="Female","Female",IF(tbl_Original[[#This Row],[Gender2]]="Male","Male","Other"))</f>
        <v>Male</v>
      </c>
      <c r="E775" t="s">
        <v>43</v>
      </c>
      <c r="F775" t="s">
        <v>30</v>
      </c>
      <c r="G775" t="s">
        <v>76</v>
      </c>
      <c r="H775" t="s">
        <v>45</v>
      </c>
      <c r="I775" t="s">
        <v>44</v>
      </c>
      <c r="J775" t="str">
        <f>PROPER(TRIM(CLEAN(tbl_Original[[#This Row],[Column1]])))</f>
        <v>Gtene</v>
      </c>
      <c r="K775" t="s">
        <v>2247</v>
      </c>
      <c r="L775" t="s">
        <v>1619</v>
      </c>
      <c r="M775" t="s">
        <v>126</v>
      </c>
      <c r="N775" s="1">
        <v>150.11000000000001</v>
      </c>
      <c r="O775">
        <v>7</v>
      </c>
      <c r="P775" t="s">
        <v>35</v>
      </c>
      <c r="Q775">
        <v>4</v>
      </c>
      <c r="R775">
        <v>4</v>
      </c>
      <c r="S775">
        <v>1.5</v>
      </c>
      <c r="T775" t="s">
        <v>59</v>
      </c>
      <c r="U775" t="s">
        <v>85</v>
      </c>
      <c r="V775">
        <v>0</v>
      </c>
      <c r="W775">
        <v>3</v>
      </c>
      <c r="X775" t="s">
        <v>44</v>
      </c>
      <c r="Y775" t="s">
        <v>60</v>
      </c>
      <c r="Z775" t="s">
        <v>39</v>
      </c>
      <c r="AA775" s="2">
        <v>45496</v>
      </c>
      <c r="AB775" t="b">
        <v>1</v>
      </c>
      <c r="AC775" t="b">
        <v>0</v>
      </c>
      <c r="AD775" t="s">
        <v>52</v>
      </c>
      <c r="AE775" t="s">
        <v>53</v>
      </c>
      <c r="AF775">
        <v>8</v>
      </c>
    </row>
    <row r="776" spans="1:32" x14ac:dyDescent="0.25">
      <c r="A776" t="s">
        <v>1620</v>
      </c>
      <c r="B776">
        <v>774</v>
      </c>
      <c r="C776">
        <v>36</v>
      </c>
      <c r="D776" t="str">
        <f>IF(tbl_Original[[#This Row],[Gender2]]="Female","Female",IF(tbl_Original[[#This Row],[Gender2]]="Male","Male","Other"))</f>
        <v>Male</v>
      </c>
      <c r="E776" t="s">
        <v>43</v>
      </c>
      <c r="F776" t="s">
        <v>44</v>
      </c>
      <c r="G776" t="s">
        <v>31</v>
      </c>
      <c r="H776" t="s">
        <v>45</v>
      </c>
      <c r="I776" t="s">
        <v>30</v>
      </c>
      <c r="J776" t="str">
        <f>PROPER(TRIM(CLEAN(tbl_Original[[#This Row],[Column1]])))</f>
        <v>Kadumelati</v>
      </c>
      <c r="K776" t="s">
        <v>1621</v>
      </c>
      <c r="L776" t="s">
        <v>1621</v>
      </c>
      <c r="M776" t="s">
        <v>107</v>
      </c>
      <c r="N776" s="1">
        <v>218.87</v>
      </c>
      <c r="O776">
        <v>5</v>
      </c>
      <c r="P776" t="s">
        <v>35</v>
      </c>
      <c r="Q776">
        <v>4</v>
      </c>
      <c r="R776">
        <v>3</v>
      </c>
      <c r="S776">
        <v>0</v>
      </c>
      <c r="T776" t="s">
        <v>49</v>
      </c>
      <c r="U776" t="s">
        <v>85</v>
      </c>
      <c r="V776">
        <v>0</v>
      </c>
      <c r="W776">
        <v>4</v>
      </c>
      <c r="X776" t="s">
        <v>49</v>
      </c>
      <c r="Y776" t="s">
        <v>60</v>
      </c>
      <c r="Z776" t="s">
        <v>86</v>
      </c>
      <c r="AA776" s="2">
        <v>45553</v>
      </c>
      <c r="AB776" t="b">
        <v>1</v>
      </c>
      <c r="AC776" t="b">
        <v>0</v>
      </c>
      <c r="AD776" t="s">
        <v>74</v>
      </c>
      <c r="AE776" t="s">
        <v>41</v>
      </c>
      <c r="AF776">
        <v>11</v>
      </c>
    </row>
    <row r="777" spans="1:32" x14ac:dyDescent="0.25">
      <c r="A777" t="s">
        <v>1622</v>
      </c>
      <c r="B777">
        <v>775</v>
      </c>
      <c r="C777">
        <v>29</v>
      </c>
      <c r="D777" t="str">
        <f>IF(tbl_Original[[#This Row],[Gender2]]="Female","Female",IF(tbl_Original[[#This Row],[Gender2]]="Male","Male","Other"))</f>
        <v>Female</v>
      </c>
      <c r="E777" t="s">
        <v>29</v>
      </c>
      <c r="F777" t="s">
        <v>30</v>
      </c>
      <c r="G777" t="s">
        <v>31</v>
      </c>
      <c r="H777" t="s">
        <v>32</v>
      </c>
      <c r="I777" t="s">
        <v>44</v>
      </c>
      <c r="J777" t="str">
        <f>PROPER(TRIM(CLEAN(tbl_Original[[#This Row],[Column1]])))</f>
        <v>Amparo</v>
      </c>
      <c r="K777" t="s">
        <v>1623</v>
      </c>
      <c r="L777" t="s">
        <v>1623</v>
      </c>
      <c r="M777" t="s">
        <v>93</v>
      </c>
      <c r="N777" s="1">
        <v>437.06</v>
      </c>
      <c r="O777">
        <v>7</v>
      </c>
      <c r="P777" t="s">
        <v>48</v>
      </c>
      <c r="Q777">
        <v>3</v>
      </c>
      <c r="R777">
        <v>5</v>
      </c>
      <c r="S777">
        <v>2</v>
      </c>
      <c r="T777" t="s">
        <v>59</v>
      </c>
      <c r="U777" t="s">
        <v>85</v>
      </c>
      <c r="V777">
        <v>0</v>
      </c>
      <c r="W777">
        <v>6</v>
      </c>
      <c r="X777" t="s">
        <v>59</v>
      </c>
      <c r="Y777" t="s">
        <v>60</v>
      </c>
      <c r="Z777" t="s">
        <v>86</v>
      </c>
      <c r="AA777" s="2">
        <v>45360</v>
      </c>
      <c r="AB777" t="b">
        <v>0</v>
      </c>
      <c r="AC777" t="b">
        <v>0</v>
      </c>
      <c r="AD777" t="s">
        <v>62</v>
      </c>
      <c r="AE777" t="s">
        <v>67</v>
      </c>
      <c r="AF777">
        <v>11</v>
      </c>
    </row>
    <row r="778" spans="1:32" x14ac:dyDescent="0.25">
      <c r="A778" t="s">
        <v>1624</v>
      </c>
      <c r="B778">
        <v>776</v>
      </c>
      <c r="C778">
        <v>33</v>
      </c>
      <c r="D778" t="str">
        <f>IF(tbl_Original[[#This Row],[Gender2]]="Female","Female",IF(tbl_Original[[#This Row],[Gender2]]="Male","Male","Other"))</f>
        <v>Male</v>
      </c>
      <c r="E778" t="s">
        <v>43</v>
      </c>
      <c r="F778" t="s">
        <v>44</v>
      </c>
      <c r="G778" t="s">
        <v>31</v>
      </c>
      <c r="H778" t="s">
        <v>32</v>
      </c>
      <c r="I778" t="s">
        <v>44</v>
      </c>
      <c r="J778" t="str">
        <f>PROPER(TRIM(CLEAN(tbl_Original[[#This Row],[Column1]])))</f>
        <v>Shimen</v>
      </c>
      <c r="K778" t="s">
        <v>1625</v>
      </c>
      <c r="L778" t="s">
        <v>1625</v>
      </c>
      <c r="M778" t="s">
        <v>188</v>
      </c>
      <c r="N778" s="1">
        <v>122.58</v>
      </c>
      <c r="O778">
        <v>2</v>
      </c>
      <c r="P778" t="s">
        <v>48</v>
      </c>
      <c r="Q778">
        <v>5</v>
      </c>
      <c r="R778">
        <v>4</v>
      </c>
      <c r="S778">
        <v>1.5</v>
      </c>
      <c r="T778" t="s">
        <v>59</v>
      </c>
      <c r="U778" t="s">
        <v>50</v>
      </c>
      <c r="V778">
        <v>2</v>
      </c>
      <c r="W778">
        <v>5</v>
      </c>
      <c r="X778" t="s">
        <v>36</v>
      </c>
      <c r="Y778" t="s">
        <v>38</v>
      </c>
      <c r="Z778" t="s">
        <v>66</v>
      </c>
      <c r="AA778" s="2">
        <v>45320</v>
      </c>
      <c r="AB778" t="b">
        <v>1</v>
      </c>
      <c r="AC778" t="b">
        <v>0</v>
      </c>
      <c r="AD778" t="s">
        <v>62</v>
      </c>
      <c r="AE778" t="s">
        <v>67</v>
      </c>
      <c r="AF778">
        <v>12</v>
      </c>
    </row>
    <row r="779" spans="1:32" x14ac:dyDescent="0.25">
      <c r="A779" t="s">
        <v>1626</v>
      </c>
      <c r="B779">
        <v>777</v>
      </c>
      <c r="C779">
        <v>35</v>
      </c>
      <c r="D779" t="str">
        <f>IF(tbl_Original[[#This Row],[Gender2]]="Female","Female",IF(tbl_Original[[#This Row],[Gender2]]="Male","Male","Other"))</f>
        <v>Male</v>
      </c>
      <c r="E779" t="s">
        <v>43</v>
      </c>
      <c r="F779" t="s">
        <v>44</v>
      </c>
      <c r="G779" t="s">
        <v>31</v>
      </c>
      <c r="H779" t="s">
        <v>56</v>
      </c>
      <c r="I779" t="s">
        <v>30</v>
      </c>
      <c r="J779" t="str">
        <f>PROPER(TRIM(CLEAN(tbl_Original[[#This Row],[Column1]])))</f>
        <v>Philadelphia</v>
      </c>
      <c r="K779" t="s">
        <v>1627</v>
      </c>
      <c r="L779" t="s">
        <v>1627</v>
      </c>
      <c r="M779" t="s">
        <v>47</v>
      </c>
      <c r="N779" s="1">
        <v>195.07</v>
      </c>
      <c r="O779">
        <v>8</v>
      </c>
      <c r="P779" t="s">
        <v>78</v>
      </c>
      <c r="Q779">
        <v>3</v>
      </c>
      <c r="R779">
        <v>1</v>
      </c>
      <c r="S779">
        <v>1</v>
      </c>
      <c r="T779" t="s">
        <v>44</v>
      </c>
      <c r="U779" t="s">
        <v>37</v>
      </c>
      <c r="V779">
        <v>0</v>
      </c>
      <c r="W779">
        <v>6</v>
      </c>
      <c r="X779" t="s">
        <v>36</v>
      </c>
      <c r="Y779" t="s">
        <v>60</v>
      </c>
      <c r="Z779" t="s">
        <v>61</v>
      </c>
      <c r="AA779" s="2">
        <v>45495</v>
      </c>
      <c r="AB779" t="b">
        <v>0</v>
      </c>
      <c r="AC779" t="b">
        <v>0</v>
      </c>
      <c r="AD779" t="s">
        <v>62</v>
      </c>
      <c r="AE779" t="s">
        <v>41</v>
      </c>
      <c r="AF779">
        <v>10</v>
      </c>
    </row>
    <row r="780" spans="1:32" x14ac:dyDescent="0.25">
      <c r="A780" t="s">
        <v>1628</v>
      </c>
      <c r="B780">
        <v>778</v>
      </c>
      <c r="C780">
        <v>39</v>
      </c>
      <c r="D780" t="str">
        <f>IF(tbl_Original[[#This Row],[Gender2]]="Female","Female",IF(tbl_Original[[#This Row],[Gender2]]="Male","Male","Other"))</f>
        <v>Female</v>
      </c>
      <c r="E780" t="s">
        <v>29</v>
      </c>
      <c r="F780" t="s">
        <v>30</v>
      </c>
      <c r="G780" t="s">
        <v>55</v>
      </c>
      <c r="H780" t="s">
        <v>45</v>
      </c>
      <c r="I780" t="s">
        <v>44</v>
      </c>
      <c r="J780" t="str">
        <f>PROPER(TRIM(CLEAN(tbl_Original[[#This Row],[Column1]])))</f>
        <v>Myingyan</v>
      </c>
      <c r="K780" t="s">
        <v>1629</v>
      </c>
      <c r="L780" t="s">
        <v>1629</v>
      </c>
      <c r="M780" t="s">
        <v>82</v>
      </c>
      <c r="N780" s="1">
        <v>190.06</v>
      </c>
      <c r="O780">
        <v>9</v>
      </c>
      <c r="P780" t="s">
        <v>48</v>
      </c>
      <c r="Q780">
        <v>5</v>
      </c>
      <c r="R780">
        <v>1</v>
      </c>
      <c r="S780">
        <v>1</v>
      </c>
      <c r="T780" t="s">
        <v>36</v>
      </c>
      <c r="U780" t="s">
        <v>37</v>
      </c>
      <c r="V780">
        <v>1</v>
      </c>
      <c r="W780">
        <v>2</v>
      </c>
      <c r="X780" t="s">
        <v>59</v>
      </c>
      <c r="Y780" t="s">
        <v>60</v>
      </c>
      <c r="Z780" t="s">
        <v>66</v>
      </c>
      <c r="AA780" s="2">
        <v>45325</v>
      </c>
      <c r="AB780" t="b">
        <v>1</v>
      </c>
      <c r="AC780" t="b">
        <v>1</v>
      </c>
      <c r="AD780" t="s">
        <v>74</v>
      </c>
      <c r="AE780" t="s">
        <v>53</v>
      </c>
      <c r="AF780">
        <v>12</v>
      </c>
    </row>
    <row r="781" spans="1:32" x14ac:dyDescent="0.25">
      <c r="A781" t="s">
        <v>1630</v>
      </c>
      <c r="B781">
        <v>779</v>
      </c>
      <c r="C781">
        <v>38</v>
      </c>
      <c r="D781" t="str">
        <f>IF(tbl_Original[[#This Row],[Gender2]]="Female","Female",IF(tbl_Original[[#This Row],[Gender2]]="Male","Male","Other"))</f>
        <v>Female</v>
      </c>
      <c r="E781" t="s">
        <v>29</v>
      </c>
      <c r="F781" t="s">
        <v>30</v>
      </c>
      <c r="G781" t="s">
        <v>55</v>
      </c>
      <c r="H781" t="s">
        <v>45</v>
      </c>
      <c r="I781" t="s">
        <v>30</v>
      </c>
      <c r="J781" t="str">
        <f>PROPER(TRIM(CLEAN(tbl_Original[[#This Row],[Column1]])))</f>
        <v>Qingqu</v>
      </c>
      <c r="K781" t="s">
        <v>1631</v>
      </c>
      <c r="L781" t="s">
        <v>1631</v>
      </c>
      <c r="M781" t="s">
        <v>158</v>
      </c>
      <c r="N781" s="1">
        <v>485.76</v>
      </c>
      <c r="O781">
        <v>10</v>
      </c>
      <c r="P781" t="s">
        <v>48</v>
      </c>
      <c r="Q781">
        <v>3</v>
      </c>
      <c r="R781">
        <v>4</v>
      </c>
      <c r="S781">
        <v>0</v>
      </c>
      <c r="T781" t="s">
        <v>49</v>
      </c>
      <c r="U781" t="s">
        <v>37</v>
      </c>
      <c r="V781">
        <v>0</v>
      </c>
      <c r="W781">
        <v>4</v>
      </c>
      <c r="X781" t="s">
        <v>44</v>
      </c>
      <c r="Y781" t="s">
        <v>79</v>
      </c>
      <c r="Z781" t="s">
        <v>61</v>
      </c>
      <c r="AA781" s="2">
        <v>45446</v>
      </c>
      <c r="AB781" t="b">
        <v>1</v>
      </c>
      <c r="AC781" t="b">
        <v>1</v>
      </c>
      <c r="AD781" t="s">
        <v>52</v>
      </c>
      <c r="AE781" t="s">
        <v>41</v>
      </c>
      <c r="AF781">
        <v>4</v>
      </c>
    </row>
    <row r="782" spans="1:32" x14ac:dyDescent="0.25">
      <c r="A782" t="s">
        <v>1632</v>
      </c>
      <c r="B782">
        <v>780</v>
      </c>
      <c r="C782">
        <v>27</v>
      </c>
      <c r="D782" t="str">
        <f>IF(tbl_Original[[#This Row],[Gender2]]="Female","Female",IF(tbl_Original[[#This Row],[Gender2]]="Male","Male","Other"))</f>
        <v>Female</v>
      </c>
      <c r="E782" t="s">
        <v>29</v>
      </c>
      <c r="F782" t="s">
        <v>44</v>
      </c>
      <c r="G782" t="s">
        <v>55</v>
      </c>
      <c r="H782" t="s">
        <v>32</v>
      </c>
      <c r="I782" t="s">
        <v>44</v>
      </c>
      <c r="J782" t="str">
        <f>PROPER(TRIM(CLEAN(tbl_Original[[#This Row],[Column1]])))</f>
        <v>Poste De Flacq</v>
      </c>
      <c r="K782" t="s">
        <v>1633</v>
      </c>
      <c r="L782" t="s">
        <v>1633</v>
      </c>
      <c r="M782" t="s">
        <v>82</v>
      </c>
      <c r="N782" s="1">
        <v>242.57</v>
      </c>
      <c r="O782">
        <v>7</v>
      </c>
      <c r="P782" t="s">
        <v>48</v>
      </c>
      <c r="Q782">
        <v>1</v>
      </c>
      <c r="R782">
        <v>1</v>
      </c>
      <c r="S782">
        <v>1</v>
      </c>
      <c r="T782" t="s">
        <v>59</v>
      </c>
      <c r="U782" t="s">
        <v>50</v>
      </c>
      <c r="V782">
        <v>0</v>
      </c>
      <c r="W782">
        <v>10</v>
      </c>
      <c r="X782" t="s">
        <v>59</v>
      </c>
      <c r="Y782" t="s">
        <v>60</v>
      </c>
      <c r="Z782" t="s">
        <v>51</v>
      </c>
      <c r="AA782" s="2">
        <v>45570</v>
      </c>
      <c r="AB782" t="b">
        <v>1</v>
      </c>
      <c r="AC782" t="b">
        <v>0</v>
      </c>
      <c r="AD782" t="s">
        <v>52</v>
      </c>
      <c r="AE782" t="s">
        <v>41</v>
      </c>
      <c r="AF782">
        <v>1</v>
      </c>
    </row>
    <row r="783" spans="1:32" x14ac:dyDescent="0.25">
      <c r="A783" t="s">
        <v>1634</v>
      </c>
      <c r="B783">
        <v>781</v>
      </c>
      <c r="C783">
        <v>35</v>
      </c>
      <c r="D783" t="str">
        <f>IF(tbl_Original[[#This Row],[Gender2]]="Female","Female",IF(tbl_Original[[#This Row],[Gender2]]="Male","Male","Other"))</f>
        <v>Male</v>
      </c>
      <c r="E783" t="s">
        <v>43</v>
      </c>
      <c r="F783" t="s">
        <v>30</v>
      </c>
      <c r="G783" t="s">
        <v>69</v>
      </c>
      <c r="H783" t="s">
        <v>45</v>
      </c>
      <c r="I783" t="s">
        <v>44</v>
      </c>
      <c r="J783" t="str">
        <f>PROPER(TRIM(CLEAN(tbl_Original[[#This Row],[Column1]])))</f>
        <v>Ah</v>
      </c>
      <c r="K783" t="s">
        <v>2230</v>
      </c>
      <c r="L783" t="s">
        <v>1635</v>
      </c>
      <c r="M783" t="s">
        <v>135</v>
      </c>
      <c r="N783" s="1">
        <v>303.13</v>
      </c>
      <c r="O783">
        <v>2</v>
      </c>
      <c r="P783" t="s">
        <v>78</v>
      </c>
      <c r="Q783">
        <v>1</v>
      </c>
      <c r="R783">
        <v>1</v>
      </c>
      <c r="S783">
        <v>1</v>
      </c>
      <c r="T783" t="s">
        <v>44</v>
      </c>
      <c r="U783" t="s">
        <v>50</v>
      </c>
      <c r="V783">
        <v>0</v>
      </c>
      <c r="W783">
        <v>7</v>
      </c>
      <c r="X783" t="s">
        <v>49</v>
      </c>
      <c r="Y783" t="s">
        <v>79</v>
      </c>
      <c r="Z783" t="s">
        <v>61</v>
      </c>
      <c r="AA783" s="2">
        <v>45295</v>
      </c>
      <c r="AB783" t="b">
        <v>0</v>
      </c>
      <c r="AC783" t="b">
        <v>1</v>
      </c>
      <c r="AD783" t="s">
        <v>40</v>
      </c>
      <c r="AE783" t="s">
        <v>53</v>
      </c>
      <c r="AF783">
        <v>10</v>
      </c>
    </row>
    <row r="784" spans="1:32" x14ac:dyDescent="0.25">
      <c r="A784" t="s">
        <v>1636</v>
      </c>
      <c r="B784">
        <v>782</v>
      </c>
      <c r="C784">
        <v>43</v>
      </c>
      <c r="D784" t="str">
        <f>IF(tbl_Original[[#This Row],[Gender2]]="Female","Female",IF(tbl_Original[[#This Row],[Gender2]]="Male","Male","Other"))</f>
        <v>Female</v>
      </c>
      <c r="E784" t="s">
        <v>29</v>
      </c>
      <c r="F784" t="s">
        <v>30</v>
      </c>
      <c r="G784" t="s">
        <v>69</v>
      </c>
      <c r="H784" t="s">
        <v>56</v>
      </c>
      <c r="I784" t="s">
        <v>30</v>
      </c>
      <c r="J784" t="str">
        <f>PROPER(TRIM(CLEAN(tbl_Original[[#This Row],[Column1]])))</f>
        <v>Phu Loc</v>
      </c>
      <c r="K784" t="s">
        <v>1637</v>
      </c>
      <c r="L784" t="s">
        <v>1637</v>
      </c>
      <c r="M784" t="s">
        <v>126</v>
      </c>
      <c r="N784" s="1">
        <v>136.1</v>
      </c>
      <c r="O784">
        <v>5</v>
      </c>
      <c r="P784" t="s">
        <v>48</v>
      </c>
      <c r="Q784">
        <v>3</v>
      </c>
      <c r="R784">
        <v>5</v>
      </c>
      <c r="S784">
        <v>2</v>
      </c>
      <c r="T784" t="s">
        <v>59</v>
      </c>
      <c r="U784" t="s">
        <v>85</v>
      </c>
      <c r="V784">
        <v>0</v>
      </c>
      <c r="W784">
        <v>2</v>
      </c>
      <c r="X784" t="s">
        <v>44</v>
      </c>
      <c r="Y784" t="s">
        <v>38</v>
      </c>
      <c r="Z784" t="s">
        <v>61</v>
      </c>
      <c r="AA784" s="2">
        <v>45349</v>
      </c>
      <c r="AB784" t="b">
        <v>0</v>
      </c>
      <c r="AC784" t="b">
        <v>1</v>
      </c>
      <c r="AD784" t="s">
        <v>74</v>
      </c>
      <c r="AE784" t="s">
        <v>67</v>
      </c>
      <c r="AF784">
        <v>14</v>
      </c>
    </row>
    <row r="785" spans="1:32" x14ac:dyDescent="0.25">
      <c r="A785" t="s">
        <v>1638</v>
      </c>
      <c r="B785">
        <v>783</v>
      </c>
      <c r="C785">
        <v>40</v>
      </c>
      <c r="D785" t="str">
        <f>IF(tbl_Original[[#This Row],[Gender2]]="Female","Female",IF(tbl_Original[[#This Row],[Gender2]]="Male","Male","Other"))</f>
        <v>Other</v>
      </c>
      <c r="E785" t="s">
        <v>88</v>
      </c>
      <c r="F785" t="s">
        <v>44</v>
      </c>
      <c r="G785" t="s">
        <v>55</v>
      </c>
      <c r="H785" t="s">
        <v>32</v>
      </c>
      <c r="I785" t="s">
        <v>30</v>
      </c>
      <c r="J785" t="str">
        <f>PROPER(TRIM(CLEAN(tbl_Original[[#This Row],[Column1]])))</f>
        <v>Jembangan</v>
      </c>
      <c r="K785" t="s">
        <v>1639</v>
      </c>
      <c r="L785" t="s">
        <v>1639</v>
      </c>
      <c r="M785" t="s">
        <v>117</v>
      </c>
      <c r="N785" s="1">
        <v>249.02</v>
      </c>
      <c r="O785">
        <v>11</v>
      </c>
      <c r="P785" t="s">
        <v>35</v>
      </c>
      <c r="Q785">
        <v>3</v>
      </c>
      <c r="R785">
        <v>2</v>
      </c>
      <c r="S785">
        <v>0.3</v>
      </c>
      <c r="T785" t="s">
        <v>49</v>
      </c>
      <c r="U785" t="s">
        <v>50</v>
      </c>
      <c r="V785">
        <v>1</v>
      </c>
      <c r="W785">
        <v>1</v>
      </c>
      <c r="X785" t="s">
        <v>49</v>
      </c>
      <c r="Y785" t="s">
        <v>60</v>
      </c>
      <c r="Z785" t="s">
        <v>51</v>
      </c>
      <c r="AA785" s="2">
        <v>45566</v>
      </c>
      <c r="AB785" t="b">
        <v>1</v>
      </c>
      <c r="AC785" t="b">
        <v>1</v>
      </c>
      <c r="AD785" t="s">
        <v>74</v>
      </c>
      <c r="AE785" t="s">
        <v>67</v>
      </c>
      <c r="AF785">
        <v>14</v>
      </c>
    </row>
    <row r="786" spans="1:32" x14ac:dyDescent="0.25">
      <c r="A786" t="s">
        <v>1640</v>
      </c>
      <c r="B786">
        <v>784</v>
      </c>
      <c r="C786">
        <v>19</v>
      </c>
      <c r="D786" t="str">
        <f>IF(tbl_Original[[#This Row],[Gender2]]="Female","Female",IF(tbl_Original[[#This Row],[Gender2]]="Male","Male","Other"))</f>
        <v>Male</v>
      </c>
      <c r="E786" t="s">
        <v>43</v>
      </c>
      <c r="F786" t="s">
        <v>30</v>
      </c>
      <c r="G786" t="s">
        <v>76</v>
      </c>
      <c r="H786" t="s">
        <v>45</v>
      </c>
      <c r="I786" t="s">
        <v>30</v>
      </c>
      <c r="J786" t="str">
        <f>PROPER(TRIM(CLEAN(tbl_Original[[#This Row],[Column1]])))</f>
        <v>Harhorin</v>
      </c>
      <c r="K786" t="s">
        <v>1641</v>
      </c>
      <c r="L786" t="s">
        <v>1641</v>
      </c>
      <c r="M786" t="s">
        <v>58</v>
      </c>
      <c r="N786" s="1">
        <v>466.74</v>
      </c>
      <c r="O786">
        <v>7</v>
      </c>
      <c r="P786" t="s">
        <v>48</v>
      </c>
      <c r="Q786">
        <v>3</v>
      </c>
      <c r="R786">
        <v>4</v>
      </c>
      <c r="S786">
        <v>0.2</v>
      </c>
      <c r="T786" t="s">
        <v>49</v>
      </c>
      <c r="U786" t="s">
        <v>50</v>
      </c>
      <c r="V786">
        <v>2</v>
      </c>
      <c r="W786">
        <v>3</v>
      </c>
      <c r="X786" t="s">
        <v>44</v>
      </c>
      <c r="Y786" t="s">
        <v>38</v>
      </c>
      <c r="Z786" t="s">
        <v>61</v>
      </c>
      <c r="AA786" s="2">
        <v>45637</v>
      </c>
      <c r="AB786" t="b">
        <v>1</v>
      </c>
      <c r="AC786" t="b">
        <v>1</v>
      </c>
      <c r="AD786" t="s">
        <v>40</v>
      </c>
      <c r="AE786" t="s">
        <v>67</v>
      </c>
      <c r="AF786">
        <v>5</v>
      </c>
    </row>
    <row r="787" spans="1:32" x14ac:dyDescent="0.25">
      <c r="A787" t="s">
        <v>1642</v>
      </c>
      <c r="B787">
        <v>785</v>
      </c>
      <c r="C787">
        <v>46</v>
      </c>
      <c r="D787" t="str">
        <f>IF(tbl_Original[[#This Row],[Gender2]]="Female","Female",IF(tbl_Original[[#This Row],[Gender2]]="Male","Male","Other"))</f>
        <v>Other</v>
      </c>
      <c r="E787" t="s">
        <v>274</v>
      </c>
      <c r="F787" t="s">
        <v>44</v>
      </c>
      <c r="G787" t="s">
        <v>31</v>
      </c>
      <c r="H787" t="s">
        <v>45</v>
      </c>
      <c r="I787" t="s">
        <v>44</v>
      </c>
      <c r="J787" t="str">
        <f>PROPER(TRIM(CLEAN(tbl_Original[[#This Row],[Column1]])))</f>
        <v>Meijiang</v>
      </c>
      <c r="K787" t="s">
        <v>1643</v>
      </c>
      <c r="L787" t="s">
        <v>1643</v>
      </c>
      <c r="M787" t="s">
        <v>101</v>
      </c>
      <c r="N787" s="1">
        <v>229.3</v>
      </c>
      <c r="O787">
        <v>6</v>
      </c>
      <c r="P787" t="s">
        <v>48</v>
      </c>
      <c r="Q787">
        <v>4</v>
      </c>
      <c r="R787">
        <v>5</v>
      </c>
      <c r="S787">
        <v>2</v>
      </c>
      <c r="T787" t="s">
        <v>36</v>
      </c>
      <c r="U787" t="s">
        <v>37</v>
      </c>
      <c r="V787">
        <v>0</v>
      </c>
      <c r="W787">
        <v>6</v>
      </c>
      <c r="X787" t="s">
        <v>36</v>
      </c>
      <c r="Y787" t="s">
        <v>60</v>
      </c>
      <c r="Z787" t="s">
        <v>66</v>
      </c>
      <c r="AA787" s="2">
        <v>45621</v>
      </c>
      <c r="AB787" t="b">
        <v>0</v>
      </c>
      <c r="AC787" t="b">
        <v>0</v>
      </c>
      <c r="AD787" t="s">
        <v>74</v>
      </c>
      <c r="AE787" t="s">
        <v>67</v>
      </c>
      <c r="AF787">
        <v>6</v>
      </c>
    </row>
    <row r="788" spans="1:32" x14ac:dyDescent="0.25">
      <c r="A788" t="s">
        <v>1644</v>
      </c>
      <c r="B788">
        <v>786</v>
      </c>
      <c r="C788">
        <v>30</v>
      </c>
      <c r="D788" t="str">
        <f>IF(tbl_Original[[#This Row],[Gender2]]="Female","Female",IF(tbl_Original[[#This Row],[Gender2]]="Male","Male","Other"))</f>
        <v>Female</v>
      </c>
      <c r="E788" t="s">
        <v>29</v>
      </c>
      <c r="F788" t="s">
        <v>44</v>
      </c>
      <c r="G788" t="s">
        <v>55</v>
      </c>
      <c r="H788" t="s">
        <v>45</v>
      </c>
      <c r="I788" t="s">
        <v>44</v>
      </c>
      <c r="J788" t="str">
        <f>PROPER(TRIM(CLEAN(tbl_Original[[#This Row],[Column1]])))</f>
        <v>Lagub</v>
      </c>
      <c r="K788" t="s">
        <v>2248</v>
      </c>
      <c r="L788" t="s">
        <v>1645</v>
      </c>
      <c r="M788" t="s">
        <v>114</v>
      </c>
      <c r="N788" s="1">
        <v>450.52</v>
      </c>
      <c r="O788">
        <v>8</v>
      </c>
      <c r="P788" t="s">
        <v>78</v>
      </c>
      <c r="Q788">
        <v>2</v>
      </c>
      <c r="R788">
        <v>2</v>
      </c>
      <c r="S788">
        <v>0.2</v>
      </c>
      <c r="T788" t="s">
        <v>44</v>
      </c>
      <c r="U788" t="s">
        <v>37</v>
      </c>
      <c r="V788">
        <v>0</v>
      </c>
      <c r="W788">
        <v>6</v>
      </c>
      <c r="X788" t="s">
        <v>59</v>
      </c>
      <c r="Y788" t="s">
        <v>79</v>
      </c>
      <c r="Z788" t="s">
        <v>51</v>
      </c>
      <c r="AA788" s="2">
        <v>45304</v>
      </c>
      <c r="AB788" t="b">
        <v>1</v>
      </c>
      <c r="AC788" t="b">
        <v>1</v>
      </c>
      <c r="AD788" t="s">
        <v>40</v>
      </c>
      <c r="AE788" t="s">
        <v>41</v>
      </c>
      <c r="AF788">
        <v>8</v>
      </c>
    </row>
    <row r="789" spans="1:32" x14ac:dyDescent="0.25">
      <c r="A789" t="s">
        <v>1646</v>
      </c>
      <c r="B789">
        <v>787</v>
      </c>
      <c r="C789">
        <v>35</v>
      </c>
      <c r="D789" t="str">
        <f>IF(tbl_Original[[#This Row],[Gender2]]="Female","Female",IF(tbl_Original[[#This Row],[Gender2]]="Male","Male","Other"))</f>
        <v>Male</v>
      </c>
      <c r="E789" t="s">
        <v>43</v>
      </c>
      <c r="F789" t="s">
        <v>44</v>
      </c>
      <c r="G789" t="s">
        <v>76</v>
      </c>
      <c r="H789" t="s">
        <v>32</v>
      </c>
      <c r="I789" t="s">
        <v>30</v>
      </c>
      <c r="J789" t="str">
        <f>PROPER(TRIM(CLEAN(tbl_Original[[#This Row],[Column1]])))</f>
        <v>Bangbayang</v>
      </c>
      <c r="K789" t="s">
        <v>1647</v>
      </c>
      <c r="L789" t="s">
        <v>1647</v>
      </c>
      <c r="M789" t="s">
        <v>158</v>
      </c>
      <c r="N789" s="1">
        <v>246.44</v>
      </c>
      <c r="O789">
        <v>4</v>
      </c>
      <c r="P789" t="s">
        <v>35</v>
      </c>
      <c r="Q789">
        <v>3</v>
      </c>
      <c r="R789">
        <v>1</v>
      </c>
      <c r="S789">
        <v>1</v>
      </c>
      <c r="T789" t="s">
        <v>49</v>
      </c>
      <c r="U789" t="s">
        <v>37</v>
      </c>
      <c r="V789">
        <v>0</v>
      </c>
      <c r="W789">
        <v>3</v>
      </c>
      <c r="X789" t="s">
        <v>49</v>
      </c>
      <c r="Y789" t="s">
        <v>60</v>
      </c>
      <c r="Z789" t="s">
        <v>61</v>
      </c>
      <c r="AA789" s="2">
        <v>45552</v>
      </c>
      <c r="AB789" t="b">
        <v>0</v>
      </c>
      <c r="AC789" t="b">
        <v>1</v>
      </c>
      <c r="AD789" t="s">
        <v>52</v>
      </c>
      <c r="AE789" t="s">
        <v>41</v>
      </c>
      <c r="AF789">
        <v>5</v>
      </c>
    </row>
    <row r="790" spans="1:32" x14ac:dyDescent="0.25">
      <c r="A790" t="s">
        <v>1648</v>
      </c>
      <c r="B790">
        <v>788</v>
      </c>
      <c r="C790">
        <v>34</v>
      </c>
      <c r="D790" t="str">
        <f>IF(tbl_Original[[#This Row],[Gender2]]="Female","Female",IF(tbl_Original[[#This Row],[Gender2]]="Male","Male","Other"))</f>
        <v>Male</v>
      </c>
      <c r="E790" t="s">
        <v>43</v>
      </c>
      <c r="F790" t="s">
        <v>44</v>
      </c>
      <c r="G790" t="s">
        <v>69</v>
      </c>
      <c r="H790" t="s">
        <v>45</v>
      </c>
      <c r="I790" t="s">
        <v>30</v>
      </c>
      <c r="J790" t="str">
        <f>PROPER(TRIM(CLEAN(tbl_Original[[#This Row],[Column1]])))</f>
        <v>Stboice</v>
      </c>
      <c r="K790" t="s">
        <v>2249</v>
      </c>
      <c r="L790" t="s">
        <v>1649</v>
      </c>
      <c r="M790" t="s">
        <v>65</v>
      </c>
      <c r="N790" s="1">
        <v>93.52</v>
      </c>
      <c r="O790">
        <v>2</v>
      </c>
      <c r="P790" t="s">
        <v>78</v>
      </c>
      <c r="Q790">
        <v>1</v>
      </c>
      <c r="R790">
        <v>5</v>
      </c>
      <c r="S790">
        <v>1</v>
      </c>
      <c r="T790" t="s">
        <v>36</v>
      </c>
      <c r="U790" t="s">
        <v>37</v>
      </c>
      <c r="V790">
        <v>1</v>
      </c>
      <c r="W790">
        <v>2</v>
      </c>
      <c r="X790" t="s">
        <v>44</v>
      </c>
      <c r="Y790" t="s">
        <v>79</v>
      </c>
      <c r="Z790" t="s">
        <v>51</v>
      </c>
      <c r="AA790" s="2">
        <v>45516</v>
      </c>
      <c r="AB790" t="b">
        <v>0</v>
      </c>
      <c r="AC790" t="b">
        <v>1</v>
      </c>
      <c r="AD790" t="s">
        <v>74</v>
      </c>
      <c r="AE790" t="s">
        <v>41</v>
      </c>
      <c r="AF790">
        <v>12</v>
      </c>
    </row>
    <row r="791" spans="1:32" x14ac:dyDescent="0.25">
      <c r="A791" t="s">
        <v>1650</v>
      </c>
      <c r="B791">
        <v>789</v>
      </c>
      <c r="C791">
        <v>28</v>
      </c>
      <c r="D791" t="str">
        <f>IF(tbl_Original[[#This Row],[Gender2]]="Female","Female",IF(tbl_Original[[#This Row],[Gender2]]="Male","Male","Other"))</f>
        <v>Female</v>
      </c>
      <c r="E791" t="s">
        <v>29</v>
      </c>
      <c r="F791" t="s">
        <v>30</v>
      </c>
      <c r="G791" t="s">
        <v>31</v>
      </c>
      <c r="H791" t="s">
        <v>45</v>
      </c>
      <c r="I791" t="s">
        <v>44</v>
      </c>
      <c r="J791" t="str">
        <f>PROPER(TRIM(CLEAN(tbl_Original[[#This Row],[Column1]])))</f>
        <v>Banturkrajan</v>
      </c>
      <c r="K791" t="s">
        <v>1651</v>
      </c>
      <c r="L791" t="s">
        <v>1651</v>
      </c>
      <c r="M791" t="s">
        <v>158</v>
      </c>
      <c r="N791" s="1">
        <v>137.75</v>
      </c>
      <c r="O791">
        <v>6</v>
      </c>
      <c r="P791" t="s">
        <v>78</v>
      </c>
      <c r="Q791">
        <v>3</v>
      </c>
      <c r="R791">
        <v>3</v>
      </c>
      <c r="S791">
        <v>2</v>
      </c>
      <c r="T791" t="s">
        <v>44</v>
      </c>
      <c r="U791" t="s">
        <v>85</v>
      </c>
      <c r="V791">
        <v>0</v>
      </c>
      <c r="W791">
        <v>1</v>
      </c>
      <c r="X791" t="s">
        <v>49</v>
      </c>
      <c r="Y791" t="s">
        <v>60</v>
      </c>
      <c r="Z791" t="s">
        <v>86</v>
      </c>
      <c r="AA791" s="2">
        <v>45544</v>
      </c>
      <c r="AB791" t="b">
        <v>0</v>
      </c>
      <c r="AC791" t="b">
        <v>1</v>
      </c>
      <c r="AD791" t="s">
        <v>40</v>
      </c>
      <c r="AE791" t="s">
        <v>41</v>
      </c>
      <c r="AF791">
        <v>4</v>
      </c>
    </row>
    <row r="792" spans="1:32" x14ac:dyDescent="0.25">
      <c r="A792" t="s">
        <v>1652</v>
      </c>
      <c r="B792">
        <v>790</v>
      </c>
      <c r="C792">
        <v>44</v>
      </c>
      <c r="D792" t="str">
        <f>IF(tbl_Original[[#This Row],[Gender2]]="Female","Female",IF(tbl_Original[[#This Row],[Gender2]]="Male","Male","Other"))</f>
        <v>Female</v>
      </c>
      <c r="E792" t="s">
        <v>29</v>
      </c>
      <c r="F792" t="s">
        <v>30</v>
      </c>
      <c r="G792" t="s">
        <v>31</v>
      </c>
      <c r="H792" t="s">
        <v>56</v>
      </c>
      <c r="I792" t="s">
        <v>30</v>
      </c>
      <c r="J792" t="str">
        <f>PROPER(TRIM(CLEAN(tbl_Original[[#This Row],[Column1]])))</f>
        <v>So Torcato</v>
      </c>
      <c r="K792" t="s">
        <v>2250</v>
      </c>
      <c r="L792" t="s">
        <v>1653</v>
      </c>
      <c r="M792" t="s">
        <v>65</v>
      </c>
      <c r="N792" s="1">
        <v>78.64</v>
      </c>
      <c r="O792">
        <v>5</v>
      </c>
      <c r="P792" t="s">
        <v>35</v>
      </c>
      <c r="Q792">
        <v>3</v>
      </c>
      <c r="R792">
        <v>4</v>
      </c>
      <c r="S792">
        <v>2</v>
      </c>
      <c r="T792" t="s">
        <v>44</v>
      </c>
      <c r="U792" t="s">
        <v>37</v>
      </c>
      <c r="V792">
        <v>0</v>
      </c>
      <c r="W792">
        <v>3</v>
      </c>
      <c r="X792" t="s">
        <v>44</v>
      </c>
      <c r="Y792" t="s">
        <v>38</v>
      </c>
      <c r="Z792" t="s">
        <v>51</v>
      </c>
      <c r="AA792" s="2">
        <v>45438</v>
      </c>
      <c r="AB792" t="b">
        <v>1</v>
      </c>
      <c r="AC792" t="b">
        <v>0</v>
      </c>
      <c r="AD792" t="s">
        <v>74</v>
      </c>
      <c r="AE792" t="s">
        <v>53</v>
      </c>
      <c r="AF792">
        <v>12</v>
      </c>
    </row>
    <row r="793" spans="1:32" x14ac:dyDescent="0.25">
      <c r="A793" t="s">
        <v>1654</v>
      </c>
      <c r="B793">
        <v>791</v>
      </c>
      <c r="C793">
        <v>25</v>
      </c>
      <c r="D793" t="str">
        <f>IF(tbl_Original[[#This Row],[Gender2]]="Female","Female",IF(tbl_Original[[#This Row],[Gender2]]="Male","Male","Other"))</f>
        <v>Male</v>
      </c>
      <c r="E793" t="s">
        <v>43</v>
      </c>
      <c r="F793" t="s">
        <v>44</v>
      </c>
      <c r="G793" t="s">
        <v>76</v>
      </c>
      <c r="H793" t="s">
        <v>56</v>
      </c>
      <c r="I793" t="s">
        <v>30</v>
      </c>
      <c r="J793" t="str">
        <f>PROPER(TRIM(CLEAN(tbl_Original[[#This Row],[Column1]])))</f>
        <v>Kapan</v>
      </c>
      <c r="K793" t="s">
        <v>1655</v>
      </c>
      <c r="L793" t="s">
        <v>1655</v>
      </c>
      <c r="M793" t="s">
        <v>120</v>
      </c>
      <c r="N793" s="1">
        <v>214.82</v>
      </c>
      <c r="O793">
        <v>9</v>
      </c>
      <c r="P793" t="s">
        <v>35</v>
      </c>
      <c r="Q793">
        <v>5</v>
      </c>
      <c r="R793">
        <v>4</v>
      </c>
      <c r="S793">
        <v>0.3</v>
      </c>
      <c r="T793" t="s">
        <v>36</v>
      </c>
      <c r="U793" t="s">
        <v>85</v>
      </c>
      <c r="V793">
        <v>1</v>
      </c>
      <c r="W793">
        <v>9</v>
      </c>
      <c r="X793" t="s">
        <v>49</v>
      </c>
      <c r="Y793" t="s">
        <v>38</v>
      </c>
      <c r="Z793" t="s">
        <v>66</v>
      </c>
      <c r="AA793" s="2">
        <v>45605</v>
      </c>
      <c r="AB793" t="b">
        <v>1</v>
      </c>
      <c r="AC793" t="b">
        <v>0</v>
      </c>
      <c r="AD793" t="s">
        <v>74</v>
      </c>
      <c r="AE793" t="s">
        <v>41</v>
      </c>
      <c r="AF793">
        <v>11</v>
      </c>
    </row>
    <row r="794" spans="1:32" x14ac:dyDescent="0.25">
      <c r="A794" t="s">
        <v>1656</v>
      </c>
      <c r="B794">
        <v>792</v>
      </c>
      <c r="C794">
        <v>45</v>
      </c>
      <c r="D794" t="str">
        <f>IF(tbl_Original[[#This Row],[Gender2]]="Female","Female",IF(tbl_Original[[#This Row],[Gender2]]="Male","Male","Other"))</f>
        <v>Male</v>
      </c>
      <c r="E794" t="s">
        <v>43</v>
      </c>
      <c r="F794" t="s">
        <v>30</v>
      </c>
      <c r="G794" t="s">
        <v>31</v>
      </c>
      <c r="H794" t="s">
        <v>32</v>
      </c>
      <c r="I794" t="s">
        <v>44</v>
      </c>
      <c r="J794" t="str">
        <f>PROPER(TRIM(CLEAN(tbl_Original[[#This Row],[Column1]])))</f>
        <v>Vfn Giang</v>
      </c>
      <c r="K794" t="s">
        <v>2251</v>
      </c>
      <c r="L794" t="s">
        <v>1657</v>
      </c>
      <c r="M794" t="s">
        <v>93</v>
      </c>
      <c r="N794" s="1">
        <v>57.39</v>
      </c>
      <c r="O794">
        <v>3</v>
      </c>
      <c r="P794" t="s">
        <v>35</v>
      </c>
      <c r="Q794">
        <v>2</v>
      </c>
      <c r="R794">
        <v>5</v>
      </c>
      <c r="S794">
        <v>0.25</v>
      </c>
      <c r="T794" t="s">
        <v>36</v>
      </c>
      <c r="U794" t="s">
        <v>37</v>
      </c>
      <c r="V794">
        <v>0</v>
      </c>
      <c r="W794">
        <v>10</v>
      </c>
      <c r="X794" t="s">
        <v>49</v>
      </c>
      <c r="Y794" t="s">
        <v>79</v>
      </c>
      <c r="Z794" t="s">
        <v>39</v>
      </c>
      <c r="AA794" s="2">
        <v>45492</v>
      </c>
      <c r="AB794" t="b">
        <v>0</v>
      </c>
      <c r="AC794" t="b">
        <v>0</v>
      </c>
      <c r="AD794" t="s">
        <v>62</v>
      </c>
      <c r="AE794" t="s">
        <v>53</v>
      </c>
      <c r="AF794">
        <v>3</v>
      </c>
    </row>
    <row r="795" spans="1:32" x14ac:dyDescent="0.25">
      <c r="A795" t="s">
        <v>1658</v>
      </c>
      <c r="B795">
        <v>793</v>
      </c>
      <c r="C795">
        <v>47</v>
      </c>
      <c r="D795" t="str">
        <f>IF(tbl_Original[[#This Row],[Gender2]]="Female","Female",IF(tbl_Original[[#This Row],[Gender2]]="Male","Male","Other"))</f>
        <v>Female</v>
      </c>
      <c r="E795" t="s">
        <v>29</v>
      </c>
      <c r="F795" t="s">
        <v>44</v>
      </c>
      <c r="G795" t="s">
        <v>55</v>
      </c>
      <c r="H795" t="s">
        <v>45</v>
      </c>
      <c r="I795" t="s">
        <v>30</v>
      </c>
      <c r="J795" t="str">
        <f>PROPER(TRIM(CLEAN(tbl_Original[[#This Row],[Column1]])))</f>
        <v>Oslo</v>
      </c>
      <c r="K795" t="s">
        <v>311</v>
      </c>
      <c r="L795" t="s">
        <v>311</v>
      </c>
      <c r="M795" t="s">
        <v>188</v>
      </c>
      <c r="N795" s="1">
        <v>363.91</v>
      </c>
      <c r="O795">
        <v>10</v>
      </c>
      <c r="P795" t="s">
        <v>78</v>
      </c>
      <c r="Q795">
        <v>1</v>
      </c>
      <c r="R795">
        <v>1</v>
      </c>
      <c r="S795">
        <v>0.3</v>
      </c>
      <c r="T795" t="s">
        <v>49</v>
      </c>
      <c r="U795" t="s">
        <v>85</v>
      </c>
      <c r="V795">
        <v>0</v>
      </c>
      <c r="W795">
        <v>2</v>
      </c>
      <c r="X795" t="s">
        <v>59</v>
      </c>
      <c r="Y795" t="s">
        <v>60</v>
      </c>
      <c r="Z795" t="s">
        <v>86</v>
      </c>
      <c r="AA795" s="2">
        <v>45298</v>
      </c>
      <c r="AB795" t="b">
        <v>1</v>
      </c>
      <c r="AC795" t="b">
        <v>1</v>
      </c>
      <c r="AD795" t="s">
        <v>74</v>
      </c>
      <c r="AE795" t="s">
        <v>53</v>
      </c>
      <c r="AF795">
        <v>9</v>
      </c>
    </row>
    <row r="796" spans="1:32" x14ac:dyDescent="0.25">
      <c r="A796" t="s">
        <v>1659</v>
      </c>
      <c r="B796">
        <v>794</v>
      </c>
      <c r="C796">
        <v>39</v>
      </c>
      <c r="D796" t="str">
        <f>IF(tbl_Original[[#This Row],[Gender2]]="Female","Female",IF(tbl_Original[[#This Row],[Gender2]]="Male","Male","Other"))</f>
        <v>Male</v>
      </c>
      <c r="E796" t="s">
        <v>43</v>
      </c>
      <c r="F796" t="s">
        <v>30</v>
      </c>
      <c r="G796" t="s">
        <v>55</v>
      </c>
      <c r="H796" t="s">
        <v>45</v>
      </c>
      <c r="I796" t="s">
        <v>30</v>
      </c>
      <c r="J796" t="str">
        <f>PROPER(TRIM(CLEAN(tbl_Original[[#This Row],[Column1]])))</f>
        <v>Tanushimarumachi-Toyoki</v>
      </c>
      <c r="K796" t="s">
        <v>1660</v>
      </c>
      <c r="L796" t="s">
        <v>1660</v>
      </c>
      <c r="M796" t="s">
        <v>194</v>
      </c>
      <c r="N796" s="1">
        <v>304.79000000000002</v>
      </c>
      <c r="O796">
        <v>12</v>
      </c>
      <c r="P796" t="s">
        <v>48</v>
      </c>
      <c r="Q796">
        <v>2</v>
      </c>
      <c r="R796">
        <v>4</v>
      </c>
      <c r="S796">
        <v>2</v>
      </c>
      <c r="T796" t="s">
        <v>59</v>
      </c>
      <c r="U796" t="s">
        <v>37</v>
      </c>
      <c r="V796">
        <v>1</v>
      </c>
      <c r="W796">
        <v>9</v>
      </c>
      <c r="X796" t="s">
        <v>44</v>
      </c>
      <c r="Y796" t="s">
        <v>79</v>
      </c>
      <c r="Z796" t="s">
        <v>66</v>
      </c>
      <c r="AA796" s="2">
        <v>45298</v>
      </c>
      <c r="AB796" t="b">
        <v>1</v>
      </c>
      <c r="AC796" t="b">
        <v>1</v>
      </c>
      <c r="AD796" t="s">
        <v>52</v>
      </c>
      <c r="AE796" t="s">
        <v>53</v>
      </c>
      <c r="AF796">
        <v>10</v>
      </c>
    </row>
    <row r="797" spans="1:32" x14ac:dyDescent="0.25">
      <c r="A797" t="s">
        <v>1661</v>
      </c>
      <c r="B797">
        <v>795</v>
      </c>
      <c r="C797">
        <v>32</v>
      </c>
      <c r="D797" t="str">
        <f>IF(tbl_Original[[#This Row],[Gender2]]="Female","Female",IF(tbl_Original[[#This Row],[Gender2]]="Male","Male","Other"))</f>
        <v>Male</v>
      </c>
      <c r="E797" t="s">
        <v>43</v>
      </c>
      <c r="F797" t="s">
        <v>44</v>
      </c>
      <c r="G797" t="s">
        <v>76</v>
      </c>
      <c r="H797" t="s">
        <v>45</v>
      </c>
      <c r="I797" t="s">
        <v>30</v>
      </c>
      <c r="J797" t="str">
        <f>PROPER(TRIM(CLEAN(tbl_Original[[#This Row],[Column1]])))</f>
        <v>Kazo</v>
      </c>
      <c r="K797" t="s">
        <v>1662</v>
      </c>
      <c r="L797" t="s">
        <v>1662</v>
      </c>
      <c r="M797" t="s">
        <v>246</v>
      </c>
      <c r="N797" s="1">
        <v>363.98</v>
      </c>
      <c r="O797">
        <v>4</v>
      </c>
      <c r="P797" t="s">
        <v>78</v>
      </c>
      <c r="Q797">
        <v>4</v>
      </c>
      <c r="R797">
        <v>4</v>
      </c>
      <c r="S797">
        <v>1</v>
      </c>
      <c r="T797" t="s">
        <v>36</v>
      </c>
      <c r="U797" t="s">
        <v>37</v>
      </c>
      <c r="V797">
        <v>2</v>
      </c>
      <c r="W797">
        <v>7</v>
      </c>
      <c r="X797" t="s">
        <v>36</v>
      </c>
      <c r="Y797" t="s">
        <v>38</v>
      </c>
      <c r="Z797" t="s">
        <v>51</v>
      </c>
      <c r="AA797" s="2">
        <v>45439</v>
      </c>
      <c r="AB797" t="b">
        <v>1</v>
      </c>
      <c r="AC797" t="b">
        <v>1</v>
      </c>
      <c r="AD797" t="s">
        <v>74</v>
      </c>
      <c r="AE797" t="s">
        <v>67</v>
      </c>
      <c r="AF797">
        <v>1</v>
      </c>
    </row>
    <row r="798" spans="1:32" x14ac:dyDescent="0.25">
      <c r="A798" t="s">
        <v>1663</v>
      </c>
      <c r="B798">
        <v>796</v>
      </c>
      <c r="C798">
        <v>47</v>
      </c>
      <c r="D798" t="str">
        <f>IF(tbl_Original[[#This Row],[Gender2]]="Female","Female",IF(tbl_Original[[#This Row],[Gender2]]="Male","Male","Other"))</f>
        <v>Male</v>
      </c>
      <c r="E798" t="s">
        <v>43</v>
      </c>
      <c r="F798" t="s">
        <v>30</v>
      </c>
      <c r="G798" t="s">
        <v>69</v>
      </c>
      <c r="H798" t="s">
        <v>32</v>
      </c>
      <c r="I798" t="s">
        <v>44</v>
      </c>
      <c r="J798" t="str">
        <f>PROPER(TRIM(CLEAN(tbl_Original[[#This Row],[Column1]])))</f>
        <v>Rawa Mazowiecka</v>
      </c>
      <c r="K798" t="s">
        <v>1664</v>
      </c>
      <c r="L798" t="s">
        <v>1664</v>
      </c>
      <c r="M798" t="s">
        <v>82</v>
      </c>
      <c r="N798" s="1">
        <v>249.6</v>
      </c>
      <c r="O798">
        <v>7</v>
      </c>
      <c r="P798" t="s">
        <v>35</v>
      </c>
      <c r="Q798">
        <v>4</v>
      </c>
      <c r="R798">
        <v>1</v>
      </c>
      <c r="S798">
        <v>1</v>
      </c>
      <c r="T798" t="s">
        <v>59</v>
      </c>
      <c r="U798" t="s">
        <v>37</v>
      </c>
      <c r="V798">
        <v>2</v>
      </c>
      <c r="W798">
        <v>7</v>
      </c>
      <c r="X798" t="s">
        <v>44</v>
      </c>
      <c r="Y798" t="s">
        <v>60</v>
      </c>
      <c r="Z798" t="s">
        <v>61</v>
      </c>
      <c r="AA798" s="2">
        <v>45423</v>
      </c>
      <c r="AB798" t="b">
        <v>1</v>
      </c>
      <c r="AC798" t="b">
        <v>0</v>
      </c>
      <c r="AD798" t="s">
        <v>52</v>
      </c>
      <c r="AE798" t="s">
        <v>53</v>
      </c>
      <c r="AF798">
        <v>11</v>
      </c>
    </row>
    <row r="799" spans="1:32" x14ac:dyDescent="0.25">
      <c r="A799" t="s">
        <v>1665</v>
      </c>
      <c r="B799">
        <v>797</v>
      </c>
      <c r="C799">
        <v>19</v>
      </c>
      <c r="D799" t="str">
        <f>IF(tbl_Original[[#This Row],[Gender2]]="Female","Female",IF(tbl_Original[[#This Row],[Gender2]]="Male","Male","Other"))</f>
        <v>Male</v>
      </c>
      <c r="E799" t="s">
        <v>43</v>
      </c>
      <c r="F799" t="s">
        <v>44</v>
      </c>
      <c r="G799" t="s">
        <v>31</v>
      </c>
      <c r="H799" t="s">
        <v>32</v>
      </c>
      <c r="I799" t="s">
        <v>30</v>
      </c>
      <c r="J799" t="str">
        <f>PROPER(TRIM(CLEAN(tbl_Original[[#This Row],[Column1]])))</f>
        <v>Wnsan</v>
      </c>
      <c r="K799" t="s">
        <v>2252</v>
      </c>
      <c r="L799" t="s">
        <v>1666</v>
      </c>
      <c r="M799" t="s">
        <v>117</v>
      </c>
      <c r="N799" s="1">
        <v>345.04</v>
      </c>
      <c r="O799">
        <v>12</v>
      </c>
      <c r="P799" t="s">
        <v>48</v>
      </c>
      <c r="Q799">
        <v>1</v>
      </c>
      <c r="R799">
        <v>5</v>
      </c>
      <c r="S799">
        <v>1</v>
      </c>
      <c r="T799" t="s">
        <v>59</v>
      </c>
      <c r="U799" t="s">
        <v>37</v>
      </c>
      <c r="V799">
        <v>0</v>
      </c>
      <c r="W799">
        <v>8</v>
      </c>
      <c r="X799" t="s">
        <v>49</v>
      </c>
      <c r="Y799" t="s">
        <v>38</v>
      </c>
      <c r="Z799" t="s">
        <v>39</v>
      </c>
      <c r="AA799" s="2">
        <v>45581</v>
      </c>
      <c r="AB799" t="b">
        <v>1</v>
      </c>
      <c r="AC799" t="b">
        <v>1</v>
      </c>
      <c r="AD799" t="s">
        <v>74</v>
      </c>
      <c r="AE799" t="s">
        <v>67</v>
      </c>
      <c r="AF799">
        <v>13</v>
      </c>
    </row>
    <row r="800" spans="1:32" x14ac:dyDescent="0.25">
      <c r="A800" t="s">
        <v>1667</v>
      </c>
      <c r="B800">
        <v>798</v>
      </c>
      <c r="C800">
        <v>48</v>
      </c>
      <c r="D800" t="str">
        <f>IF(tbl_Original[[#This Row],[Gender2]]="Female","Female",IF(tbl_Original[[#This Row],[Gender2]]="Male","Male","Other"))</f>
        <v>Female</v>
      </c>
      <c r="E800" t="s">
        <v>29</v>
      </c>
      <c r="F800" t="s">
        <v>30</v>
      </c>
      <c r="G800" t="s">
        <v>55</v>
      </c>
      <c r="H800" t="s">
        <v>45</v>
      </c>
      <c r="I800" t="s">
        <v>44</v>
      </c>
      <c r="J800" t="str">
        <f>PROPER(TRIM(CLEAN(tbl_Original[[#This Row],[Column1]])))</f>
        <v>Villavicencio</v>
      </c>
      <c r="K800" t="s">
        <v>1668</v>
      </c>
      <c r="L800" t="s">
        <v>1668</v>
      </c>
      <c r="M800" t="s">
        <v>135</v>
      </c>
      <c r="N800" s="1">
        <v>59.15</v>
      </c>
      <c r="O800">
        <v>3</v>
      </c>
      <c r="P800" t="s">
        <v>48</v>
      </c>
      <c r="Q800">
        <v>4</v>
      </c>
      <c r="R800">
        <v>2</v>
      </c>
      <c r="S800">
        <v>1</v>
      </c>
      <c r="T800" t="s">
        <v>36</v>
      </c>
      <c r="U800" t="s">
        <v>50</v>
      </c>
      <c r="V800">
        <v>0</v>
      </c>
      <c r="W800">
        <v>1</v>
      </c>
      <c r="X800" t="s">
        <v>44</v>
      </c>
      <c r="Y800" t="s">
        <v>79</v>
      </c>
      <c r="Z800" t="s">
        <v>61</v>
      </c>
      <c r="AA800" s="2">
        <v>45401</v>
      </c>
      <c r="AB800" t="b">
        <v>0</v>
      </c>
      <c r="AC800" t="b">
        <v>0</v>
      </c>
      <c r="AD800" t="s">
        <v>40</v>
      </c>
      <c r="AE800" t="s">
        <v>53</v>
      </c>
      <c r="AF800">
        <v>8</v>
      </c>
    </row>
    <row r="801" spans="1:32" x14ac:dyDescent="0.25">
      <c r="A801" t="s">
        <v>1669</v>
      </c>
      <c r="B801">
        <v>799</v>
      </c>
      <c r="C801">
        <v>27</v>
      </c>
      <c r="D801" t="str">
        <f>IF(tbl_Original[[#This Row],[Gender2]]="Female","Female",IF(tbl_Original[[#This Row],[Gender2]]="Male","Male","Other"))</f>
        <v>Male</v>
      </c>
      <c r="E801" t="s">
        <v>43</v>
      </c>
      <c r="F801" t="s">
        <v>44</v>
      </c>
      <c r="G801" t="s">
        <v>55</v>
      </c>
      <c r="H801" t="s">
        <v>56</v>
      </c>
      <c r="I801" t="s">
        <v>44</v>
      </c>
      <c r="J801" t="str">
        <f>PROPER(TRIM(CLEAN(tbl_Original[[#This Row],[Column1]])))</f>
        <v>Berlin</v>
      </c>
      <c r="K801" t="s">
        <v>1670</v>
      </c>
      <c r="L801" t="s">
        <v>1670</v>
      </c>
      <c r="M801" t="s">
        <v>65</v>
      </c>
      <c r="N801" s="1">
        <v>461.81</v>
      </c>
      <c r="O801">
        <v>12</v>
      </c>
      <c r="P801" t="s">
        <v>35</v>
      </c>
      <c r="Q801">
        <v>4</v>
      </c>
      <c r="R801">
        <v>3</v>
      </c>
      <c r="S801">
        <v>0</v>
      </c>
      <c r="T801" t="s">
        <v>49</v>
      </c>
      <c r="U801" t="s">
        <v>85</v>
      </c>
      <c r="V801">
        <v>0</v>
      </c>
      <c r="W801">
        <v>8</v>
      </c>
      <c r="X801" t="s">
        <v>59</v>
      </c>
      <c r="Y801" t="s">
        <v>79</v>
      </c>
      <c r="Z801" t="s">
        <v>66</v>
      </c>
      <c r="AA801" s="2">
        <v>45450</v>
      </c>
      <c r="AB801" t="b">
        <v>1</v>
      </c>
      <c r="AC801" t="b">
        <v>0</v>
      </c>
      <c r="AD801" t="s">
        <v>52</v>
      </c>
      <c r="AE801" t="s">
        <v>41</v>
      </c>
      <c r="AF801">
        <v>8</v>
      </c>
    </row>
    <row r="802" spans="1:32" x14ac:dyDescent="0.25">
      <c r="A802" t="s">
        <v>1671</v>
      </c>
      <c r="B802">
        <v>800</v>
      </c>
      <c r="C802">
        <v>31</v>
      </c>
      <c r="D802" t="str">
        <f>IF(tbl_Original[[#This Row],[Gender2]]="Female","Female",IF(tbl_Original[[#This Row],[Gender2]]="Male","Male","Other"))</f>
        <v>Female</v>
      </c>
      <c r="E802" t="s">
        <v>29</v>
      </c>
      <c r="F802" t="s">
        <v>44</v>
      </c>
      <c r="G802" t="s">
        <v>76</v>
      </c>
      <c r="H802" t="s">
        <v>32</v>
      </c>
      <c r="I802" t="s">
        <v>44</v>
      </c>
      <c r="J802" t="str">
        <f>PROPER(TRIM(CLEAN(tbl_Original[[#This Row],[Column1]])))</f>
        <v>Wailang</v>
      </c>
      <c r="K802" t="s">
        <v>1672</v>
      </c>
      <c r="L802" t="s">
        <v>1672</v>
      </c>
      <c r="M802" t="s">
        <v>104</v>
      </c>
      <c r="N802" s="1">
        <v>280.88</v>
      </c>
      <c r="O802">
        <v>4</v>
      </c>
      <c r="P802" t="s">
        <v>35</v>
      </c>
      <c r="Q802">
        <v>3</v>
      </c>
      <c r="R802">
        <v>4</v>
      </c>
      <c r="S802">
        <v>1</v>
      </c>
      <c r="T802" t="s">
        <v>44</v>
      </c>
      <c r="U802" t="s">
        <v>50</v>
      </c>
      <c r="V802">
        <v>0</v>
      </c>
      <c r="W802">
        <v>2</v>
      </c>
      <c r="X802" t="s">
        <v>44</v>
      </c>
      <c r="Y802" t="s">
        <v>60</v>
      </c>
      <c r="Z802" t="s">
        <v>39</v>
      </c>
      <c r="AA802" s="2">
        <v>45417</v>
      </c>
      <c r="AB802" t="b">
        <v>1</v>
      </c>
      <c r="AC802" t="b">
        <v>1</v>
      </c>
      <c r="AD802" t="s">
        <v>74</v>
      </c>
      <c r="AE802" t="s">
        <v>41</v>
      </c>
      <c r="AF802">
        <v>2</v>
      </c>
    </row>
    <row r="803" spans="1:32" x14ac:dyDescent="0.25">
      <c r="A803" t="s">
        <v>1673</v>
      </c>
      <c r="B803">
        <v>801</v>
      </c>
      <c r="C803">
        <v>44</v>
      </c>
      <c r="D803" t="str">
        <f>IF(tbl_Original[[#This Row],[Gender2]]="Female","Female",IF(tbl_Original[[#This Row],[Gender2]]="Male","Male","Other"))</f>
        <v>Male</v>
      </c>
      <c r="E803" t="s">
        <v>43</v>
      </c>
      <c r="F803" t="s">
        <v>30</v>
      </c>
      <c r="G803" t="s">
        <v>31</v>
      </c>
      <c r="H803" t="s">
        <v>56</v>
      </c>
      <c r="I803" t="s">
        <v>30</v>
      </c>
      <c r="J803" t="str">
        <f>PROPER(TRIM(CLEAN(tbl_Original[[#This Row],[Column1]])))</f>
        <v>Fangshan</v>
      </c>
      <c r="K803" t="s">
        <v>1674</v>
      </c>
      <c r="L803" t="s">
        <v>1674</v>
      </c>
      <c r="M803" t="s">
        <v>98</v>
      </c>
      <c r="N803" s="1">
        <v>283.7</v>
      </c>
      <c r="O803">
        <v>8</v>
      </c>
      <c r="P803" t="s">
        <v>35</v>
      </c>
      <c r="Q803">
        <v>2</v>
      </c>
      <c r="R803">
        <v>5</v>
      </c>
      <c r="S803">
        <v>1</v>
      </c>
      <c r="T803" t="s">
        <v>49</v>
      </c>
      <c r="U803" t="s">
        <v>50</v>
      </c>
      <c r="V803">
        <v>1</v>
      </c>
      <c r="W803">
        <v>3</v>
      </c>
      <c r="X803" t="s">
        <v>59</v>
      </c>
      <c r="Y803" t="s">
        <v>60</v>
      </c>
      <c r="Z803" t="s">
        <v>86</v>
      </c>
      <c r="AA803" s="2">
        <v>45351</v>
      </c>
      <c r="AB803" t="b">
        <v>0</v>
      </c>
      <c r="AC803" t="b">
        <v>0</v>
      </c>
      <c r="AD803" t="s">
        <v>62</v>
      </c>
      <c r="AE803" t="s">
        <v>67</v>
      </c>
      <c r="AF803">
        <v>8</v>
      </c>
    </row>
    <row r="804" spans="1:32" x14ac:dyDescent="0.25">
      <c r="A804" t="s">
        <v>1675</v>
      </c>
      <c r="B804">
        <v>802</v>
      </c>
      <c r="C804">
        <v>24</v>
      </c>
      <c r="D804" t="str">
        <f>IF(tbl_Original[[#This Row],[Gender2]]="Female","Female",IF(tbl_Original[[#This Row],[Gender2]]="Male","Male","Other"))</f>
        <v>Female</v>
      </c>
      <c r="E804" t="s">
        <v>29</v>
      </c>
      <c r="F804" t="s">
        <v>44</v>
      </c>
      <c r="G804" t="s">
        <v>69</v>
      </c>
      <c r="H804" t="s">
        <v>45</v>
      </c>
      <c r="I804" t="s">
        <v>30</v>
      </c>
      <c r="J804" t="str">
        <f>PROPER(TRIM(CLEAN(tbl_Original[[#This Row],[Column1]])))</f>
        <v>Tallahassee</v>
      </c>
      <c r="K804" t="s">
        <v>1676</v>
      </c>
      <c r="L804" t="s">
        <v>1676</v>
      </c>
      <c r="M804" t="s">
        <v>98</v>
      </c>
      <c r="N804" s="1">
        <v>411.95</v>
      </c>
      <c r="O804">
        <v>10</v>
      </c>
      <c r="P804" t="s">
        <v>48</v>
      </c>
      <c r="Q804">
        <v>5</v>
      </c>
      <c r="R804">
        <v>3</v>
      </c>
      <c r="S804">
        <v>1</v>
      </c>
      <c r="T804" t="s">
        <v>36</v>
      </c>
      <c r="U804" t="s">
        <v>50</v>
      </c>
      <c r="V804">
        <v>0</v>
      </c>
      <c r="W804">
        <v>4</v>
      </c>
      <c r="X804" t="s">
        <v>36</v>
      </c>
      <c r="Y804" t="s">
        <v>60</v>
      </c>
      <c r="Z804" t="s">
        <v>51</v>
      </c>
      <c r="AA804" s="2">
        <v>45644</v>
      </c>
      <c r="AB804" t="b">
        <v>1</v>
      </c>
      <c r="AC804" t="b">
        <v>1</v>
      </c>
      <c r="AD804" t="s">
        <v>62</v>
      </c>
      <c r="AE804" t="s">
        <v>53</v>
      </c>
      <c r="AF804">
        <v>5</v>
      </c>
    </row>
    <row r="805" spans="1:32" x14ac:dyDescent="0.25">
      <c r="A805" t="s">
        <v>1677</v>
      </c>
      <c r="B805">
        <v>803</v>
      </c>
      <c r="C805">
        <v>32</v>
      </c>
      <c r="D805" t="str">
        <f>IF(tbl_Original[[#This Row],[Gender2]]="Female","Female",IF(tbl_Original[[#This Row],[Gender2]]="Male","Male","Other"))</f>
        <v>Female</v>
      </c>
      <c r="E805" t="s">
        <v>29</v>
      </c>
      <c r="F805" t="s">
        <v>30</v>
      </c>
      <c r="G805" t="s">
        <v>69</v>
      </c>
      <c r="H805" t="s">
        <v>56</v>
      </c>
      <c r="I805" t="s">
        <v>30</v>
      </c>
      <c r="J805" t="str">
        <f>PROPER(TRIM(CLEAN(tbl_Original[[#This Row],[Column1]])))</f>
        <v>Anchorage</v>
      </c>
      <c r="K805" t="s">
        <v>1678</v>
      </c>
      <c r="L805" t="s">
        <v>1678</v>
      </c>
      <c r="M805" t="s">
        <v>34</v>
      </c>
      <c r="N805" s="1">
        <v>476.11</v>
      </c>
      <c r="O805">
        <v>5</v>
      </c>
      <c r="P805" t="s">
        <v>48</v>
      </c>
      <c r="Q805">
        <v>1</v>
      </c>
      <c r="R805">
        <v>4</v>
      </c>
      <c r="S805">
        <v>1</v>
      </c>
      <c r="T805" t="s">
        <v>36</v>
      </c>
      <c r="U805" t="s">
        <v>85</v>
      </c>
      <c r="V805">
        <v>2</v>
      </c>
      <c r="W805">
        <v>10</v>
      </c>
      <c r="X805" t="s">
        <v>44</v>
      </c>
      <c r="Y805" t="s">
        <v>79</v>
      </c>
      <c r="Z805" t="s">
        <v>61</v>
      </c>
      <c r="AA805" s="2">
        <v>45594</v>
      </c>
      <c r="AB805" t="b">
        <v>1</v>
      </c>
      <c r="AC805" t="b">
        <v>0</v>
      </c>
      <c r="AD805" t="s">
        <v>52</v>
      </c>
      <c r="AE805" t="s">
        <v>53</v>
      </c>
      <c r="AF805">
        <v>1</v>
      </c>
    </row>
    <row r="806" spans="1:32" x14ac:dyDescent="0.25">
      <c r="A806" t="s">
        <v>1679</v>
      </c>
      <c r="B806">
        <v>804</v>
      </c>
      <c r="C806">
        <v>28</v>
      </c>
      <c r="D806" t="str">
        <f>IF(tbl_Original[[#This Row],[Gender2]]="Female","Female",IF(tbl_Original[[#This Row],[Gender2]]="Male","Male","Other"))</f>
        <v>Female</v>
      </c>
      <c r="E806" t="s">
        <v>29</v>
      </c>
      <c r="F806" t="s">
        <v>30</v>
      </c>
      <c r="G806" t="s">
        <v>31</v>
      </c>
      <c r="H806" t="s">
        <v>56</v>
      </c>
      <c r="I806" t="s">
        <v>44</v>
      </c>
      <c r="J806" t="str">
        <f>PROPER(TRIM(CLEAN(tbl_Original[[#This Row],[Column1]])))</f>
        <v>Mulhouse</v>
      </c>
      <c r="K806" t="s">
        <v>1680</v>
      </c>
      <c r="L806" t="s">
        <v>1680</v>
      </c>
      <c r="M806" t="s">
        <v>34</v>
      </c>
      <c r="N806" s="1">
        <v>399.24</v>
      </c>
      <c r="O806">
        <v>7</v>
      </c>
      <c r="P806" t="s">
        <v>48</v>
      </c>
      <c r="Q806">
        <v>4</v>
      </c>
      <c r="R806">
        <v>2</v>
      </c>
      <c r="S806">
        <v>1</v>
      </c>
      <c r="T806" t="s">
        <v>49</v>
      </c>
      <c r="U806" t="s">
        <v>85</v>
      </c>
      <c r="V806">
        <v>1</v>
      </c>
      <c r="W806">
        <v>2</v>
      </c>
      <c r="X806" t="s">
        <v>49</v>
      </c>
      <c r="Y806" t="s">
        <v>60</v>
      </c>
      <c r="Z806" t="s">
        <v>61</v>
      </c>
      <c r="AA806" s="2">
        <v>45464</v>
      </c>
      <c r="AB806" t="b">
        <v>0</v>
      </c>
      <c r="AC806" t="b">
        <v>0</v>
      </c>
      <c r="AD806" t="s">
        <v>40</v>
      </c>
      <c r="AE806" t="s">
        <v>53</v>
      </c>
      <c r="AF806">
        <v>10</v>
      </c>
    </row>
    <row r="807" spans="1:32" x14ac:dyDescent="0.25">
      <c r="A807" t="s">
        <v>1681</v>
      </c>
      <c r="B807">
        <v>805</v>
      </c>
      <c r="C807">
        <v>26</v>
      </c>
      <c r="D807" t="str">
        <f>IF(tbl_Original[[#This Row],[Gender2]]="Female","Female",IF(tbl_Original[[#This Row],[Gender2]]="Male","Male","Other"))</f>
        <v>Male</v>
      </c>
      <c r="E807" t="s">
        <v>43</v>
      </c>
      <c r="F807" t="s">
        <v>30</v>
      </c>
      <c r="G807" t="s">
        <v>76</v>
      </c>
      <c r="H807" t="s">
        <v>56</v>
      </c>
      <c r="I807" t="s">
        <v>30</v>
      </c>
      <c r="J807" t="str">
        <f>PROPER(TRIM(CLEAN(tbl_Original[[#This Row],[Column1]])))</f>
        <v>Tangkilsari</v>
      </c>
      <c r="K807" t="s">
        <v>1682</v>
      </c>
      <c r="L807" t="s">
        <v>1682</v>
      </c>
      <c r="M807" t="s">
        <v>246</v>
      </c>
      <c r="N807" s="1">
        <v>90.79</v>
      </c>
      <c r="O807">
        <v>12</v>
      </c>
      <c r="P807" t="s">
        <v>48</v>
      </c>
      <c r="Q807">
        <v>4</v>
      </c>
      <c r="R807">
        <v>1</v>
      </c>
      <c r="S807">
        <v>2</v>
      </c>
      <c r="T807" t="s">
        <v>49</v>
      </c>
      <c r="U807" t="s">
        <v>37</v>
      </c>
      <c r="V807">
        <v>0</v>
      </c>
      <c r="W807">
        <v>2</v>
      </c>
      <c r="X807" t="s">
        <v>49</v>
      </c>
      <c r="Y807" t="s">
        <v>38</v>
      </c>
      <c r="Z807" t="s">
        <v>66</v>
      </c>
      <c r="AA807" s="2">
        <v>45551</v>
      </c>
      <c r="AB807" t="b">
        <v>0</v>
      </c>
      <c r="AC807" t="b">
        <v>0</v>
      </c>
      <c r="AD807" t="s">
        <v>74</v>
      </c>
      <c r="AE807" t="s">
        <v>41</v>
      </c>
      <c r="AF807">
        <v>6</v>
      </c>
    </row>
    <row r="808" spans="1:32" x14ac:dyDescent="0.25">
      <c r="A808" t="s">
        <v>1683</v>
      </c>
      <c r="B808">
        <v>806</v>
      </c>
      <c r="C808">
        <v>38</v>
      </c>
      <c r="D808" t="str">
        <f>IF(tbl_Original[[#This Row],[Gender2]]="Female","Female",IF(tbl_Original[[#This Row],[Gender2]]="Male","Male","Other"))</f>
        <v>Female</v>
      </c>
      <c r="E808" t="s">
        <v>29</v>
      </c>
      <c r="F808" t="s">
        <v>30</v>
      </c>
      <c r="G808" t="s">
        <v>31</v>
      </c>
      <c r="H808" t="s">
        <v>56</v>
      </c>
      <c r="I808" t="s">
        <v>30</v>
      </c>
      <c r="J808" t="str">
        <f>PROPER(TRIM(CLEAN(tbl_Original[[#This Row],[Column1]])))</f>
        <v>San Carlos</v>
      </c>
      <c r="K808" t="s">
        <v>1684</v>
      </c>
      <c r="L808" t="s">
        <v>1684</v>
      </c>
      <c r="M808" t="s">
        <v>101</v>
      </c>
      <c r="N808" s="1">
        <v>229.56</v>
      </c>
      <c r="O808">
        <v>9</v>
      </c>
      <c r="P808" t="s">
        <v>78</v>
      </c>
      <c r="Q808">
        <v>1</v>
      </c>
      <c r="R808">
        <v>2</v>
      </c>
      <c r="S808">
        <v>1</v>
      </c>
      <c r="T808" t="s">
        <v>36</v>
      </c>
      <c r="U808" t="s">
        <v>37</v>
      </c>
      <c r="V808">
        <v>0</v>
      </c>
      <c r="W808">
        <v>9</v>
      </c>
      <c r="X808" t="s">
        <v>59</v>
      </c>
      <c r="Y808" t="s">
        <v>38</v>
      </c>
      <c r="Z808" t="s">
        <v>51</v>
      </c>
      <c r="AA808" s="2">
        <v>45305</v>
      </c>
      <c r="AB808" t="b">
        <v>1</v>
      </c>
      <c r="AC808" t="b">
        <v>1</v>
      </c>
      <c r="AD808" t="s">
        <v>40</v>
      </c>
      <c r="AE808" t="s">
        <v>41</v>
      </c>
      <c r="AF808">
        <v>11</v>
      </c>
    </row>
    <row r="809" spans="1:32" x14ac:dyDescent="0.25">
      <c r="A809" t="s">
        <v>1685</v>
      </c>
      <c r="B809">
        <v>807</v>
      </c>
      <c r="C809">
        <v>28</v>
      </c>
      <c r="D809" t="str">
        <f>IF(tbl_Original[[#This Row],[Gender2]]="Female","Female",IF(tbl_Original[[#This Row],[Gender2]]="Male","Male","Other"))</f>
        <v>Female</v>
      </c>
      <c r="E809" t="s">
        <v>29</v>
      </c>
      <c r="F809" t="s">
        <v>30</v>
      </c>
      <c r="G809" t="s">
        <v>76</v>
      </c>
      <c r="H809" t="s">
        <v>45</v>
      </c>
      <c r="I809" t="s">
        <v>30</v>
      </c>
      <c r="J809" t="str">
        <f>PROPER(TRIM(CLEAN(tbl_Original[[#This Row],[Column1]])))</f>
        <v>Queluz</v>
      </c>
      <c r="K809" t="s">
        <v>1686</v>
      </c>
      <c r="L809" t="s">
        <v>1686</v>
      </c>
      <c r="M809" t="s">
        <v>90</v>
      </c>
      <c r="N809" s="1">
        <v>160.47</v>
      </c>
      <c r="O809">
        <v>7</v>
      </c>
      <c r="P809" t="s">
        <v>35</v>
      </c>
      <c r="Q809">
        <v>1</v>
      </c>
      <c r="R809">
        <v>5</v>
      </c>
      <c r="S809">
        <v>0</v>
      </c>
      <c r="T809" t="s">
        <v>36</v>
      </c>
      <c r="U809" t="s">
        <v>50</v>
      </c>
      <c r="V809">
        <v>0</v>
      </c>
      <c r="W809">
        <v>3</v>
      </c>
      <c r="X809" t="s">
        <v>36</v>
      </c>
      <c r="Y809" t="s">
        <v>60</v>
      </c>
      <c r="Z809" t="s">
        <v>61</v>
      </c>
      <c r="AA809" s="2">
        <v>45368</v>
      </c>
      <c r="AB809" t="b">
        <v>1</v>
      </c>
      <c r="AC809" t="b">
        <v>0</v>
      </c>
      <c r="AD809" t="s">
        <v>52</v>
      </c>
      <c r="AE809" t="s">
        <v>41</v>
      </c>
      <c r="AF809">
        <v>6</v>
      </c>
    </row>
    <row r="810" spans="1:32" x14ac:dyDescent="0.25">
      <c r="A810" t="s">
        <v>1687</v>
      </c>
      <c r="B810">
        <v>808</v>
      </c>
      <c r="C810">
        <v>30</v>
      </c>
      <c r="D810" t="str">
        <f>IF(tbl_Original[[#This Row],[Gender2]]="Female","Female",IF(tbl_Original[[#This Row],[Gender2]]="Male","Male","Other"))</f>
        <v>Other</v>
      </c>
      <c r="E810" t="s">
        <v>352</v>
      </c>
      <c r="F810" t="s">
        <v>44</v>
      </c>
      <c r="G810" t="s">
        <v>31</v>
      </c>
      <c r="H810" t="s">
        <v>45</v>
      </c>
      <c r="I810" t="s">
        <v>44</v>
      </c>
      <c r="J810" t="str">
        <f>PROPER(TRIM(CLEAN(tbl_Original[[#This Row],[Column1]])))</f>
        <v>Srkisalo</v>
      </c>
      <c r="K810" t="s">
        <v>2253</v>
      </c>
      <c r="L810" t="s">
        <v>1688</v>
      </c>
      <c r="M810" t="s">
        <v>120</v>
      </c>
      <c r="N810" s="1">
        <v>104.74</v>
      </c>
      <c r="O810">
        <v>6</v>
      </c>
      <c r="P810" t="s">
        <v>78</v>
      </c>
      <c r="Q810">
        <v>2</v>
      </c>
      <c r="R810">
        <v>4</v>
      </c>
      <c r="S810">
        <v>2</v>
      </c>
      <c r="T810" t="s">
        <v>36</v>
      </c>
      <c r="U810" t="s">
        <v>85</v>
      </c>
      <c r="V810">
        <v>0</v>
      </c>
      <c r="W810">
        <v>4</v>
      </c>
      <c r="X810" t="s">
        <v>59</v>
      </c>
      <c r="Y810" t="s">
        <v>60</v>
      </c>
      <c r="Z810" t="s">
        <v>51</v>
      </c>
      <c r="AA810" s="2">
        <v>45557</v>
      </c>
      <c r="AB810" t="b">
        <v>0</v>
      </c>
      <c r="AC810" t="b">
        <v>0</v>
      </c>
      <c r="AD810" t="s">
        <v>62</v>
      </c>
      <c r="AE810" t="s">
        <v>41</v>
      </c>
      <c r="AF810">
        <v>1</v>
      </c>
    </row>
    <row r="811" spans="1:32" x14ac:dyDescent="0.25">
      <c r="A811" t="s">
        <v>1689</v>
      </c>
      <c r="B811">
        <v>809</v>
      </c>
      <c r="C811">
        <v>37</v>
      </c>
      <c r="D811" t="str">
        <f>IF(tbl_Original[[#This Row],[Gender2]]="Female","Female",IF(tbl_Original[[#This Row],[Gender2]]="Male","Male","Other"))</f>
        <v>Female</v>
      </c>
      <c r="E811" t="s">
        <v>29</v>
      </c>
      <c r="F811" t="s">
        <v>44</v>
      </c>
      <c r="G811" t="s">
        <v>69</v>
      </c>
      <c r="H811" t="s">
        <v>56</v>
      </c>
      <c r="I811" t="s">
        <v>30</v>
      </c>
      <c r="J811" t="str">
        <f>PROPER(TRIM(CLEAN(tbl_Original[[#This Row],[Column1]])))</f>
        <v>Vitoria-Gasteiz</v>
      </c>
      <c r="K811" t="s">
        <v>1690</v>
      </c>
      <c r="L811" t="s">
        <v>1690</v>
      </c>
      <c r="M811" t="s">
        <v>47</v>
      </c>
      <c r="N811" s="1">
        <v>399.95</v>
      </c>
      <c r="O811">
        <v>10</v>
      </c>
      <c r="P811" t="s">
        <v>48</v>
      </c>
      <c r="Q811">
        <v>2</v>
      </c>
      <c r="R811">
        <v>1</v>
      </c>
      <c r="S811">
        <v>0</v>
      </c>
      <c r="T811" t="s">
        <v>59</v>
      </c>
      <c r="U811" t="s">
        <v>50</v>
      </c>
      <c r="V811">
        <v>1</v>
      </c>
      <c r="W811">
        <v>2</v>
      </c>
      <c r="X811" t="s">
        <v>44</v>
      </c>
      <c r="Y811" t="s">
        <v>60</v>
      </c>
      <c r="Z811" t="s">
        <v>86</v>
      </c>
      <c r="AA811" s="2">
        <v>45358</v>
      </c>
      <c r="AB811" t="b">
        <v>1</v>
      </c>
      <c r="AC811" t="b">
        <v>0</v>
      </c>
      <c r="AD811" t="s">
        <v>40</v>
      </c>
      <c r="AE811" t="s">
        <v>67</v>
      </c>
      <c r="AF811">
        <v>10</v>
      </c>
    </row>
    <row r="812" spans="1:32" x14ac:dyDescent="0.25">
      <c r="A812" t="s">
        <v>1691</v>
      </c>
      <c r="B812">
        <v>810</v>
      </c>
      <c r="C812">
        <v>47</v>
      </c>
      <c r="D812" t="str">
        <f>IF(tbl_Original[[#This Row],[Gender2]]="Female","Female",IF(tbl_Original[[#This Row],[Gender2]]="Male","Male","Other"))</f>
        <v>Female</v>
      </c>
      <c r="E812" t="s">
        <v>29</v>
      </c>
      <c r="F812" t="s">
        <v>44</v>
      </c>
      <c r="G812" t="s">
        <v>76</v>
      </c>
      <c r="H812" t="s">
        <v>32</v>
      </c>
      <c r="I812" t="s">
        <v>30</v>
      </c>
      <c r="J812" t="str">
        <f>PROPER(TRIM(CLEAN(tbl_Original[[#This Row],[Column1]])))</f>
        <v>Coro</v>
      </c>
      <c r="K812" t="s">
        <v>1692</v>
      </c>
      <c r="L812" t="s">
        <v>1692</v>
      </c>
      <c r="M812" t="s">
        <v>123</v>
      </c>
      <c r="N812" s="1">
        <v>337.33</v>
      </c>
      <c r="O812">
        <v>8</v>
      </c>
      <c r="P812" t="s">
        <v>48</v>
      </c>
      <c r="Q812">
        <v>1</v>
      </c>
      <c r="R812">
        <v>4</v>
      </c>
      <c r="S812">
        <v>1</v>
      </c>
      <c r="T812" t="s">
        <v>36</v>
      </c>
      <c r="U812" t="s">
        <v>37</v>
      </c>
      <c r="V812">
        <v>0</v>
      </c>
      <c r="W812">
        <v>5</v>
      </c>
      <c r="X812" t="s">
        <v>49</v>
      </c>
      <c r="Y812" t="s">
        <v>79</v>
      </c>
      <c r="Z812" t="s">
        <v>61</v>
      </c>
      <c r="AA812" s="2">
        <v>45621</v>
      </c>
      <c r="AB812" t="b">
        <v>0</v>
      </c>
      <c r="AC812" t="b">
        <v>0</v>
      </c>
      <c r="AD812" t="s">
        <v>74</v>
      </c>
      <c r="AE812" t="s">
        <v>67</v>
      </c>
      <c r="AF812">
        <v>10</v>
      </c>
    </row>
    <row r="813" spans="1:32" x14ac:dyDescent="0.25">
      <c r="A813" t="s">
        <v>1693</v>
      </c>
      <c r="B813">
        <v>811</v>
      </c>
      <c r="C813">
        <v>41</v>
      </c>
      <c r="D813" t="str">
        <f>IF(tbl_Original[[#This Row],[Gender2]]="Female","Female",IF(tbl_Original[[#This Row],[Gender2]]="Male","Male","Other"))</f>
        <v>Female</v>
      </c>
      <c r="E813" t="s">
        <v>29</v>
      </c>
      <c r="F813" t="s">
        <v>44</v>
      </c>
      <c r="G813" t="s">
        <v>69</v>
      </c>
      <c r="H813" t="s">
        <v>56</v>
      </c>
      <c r="I813" t="s">
        <v>30</v>
      </c>
      <c r="J813" t="str">
        <f>PROPER(TRIM(CLEAN(tbl_Original[[#This Row],[Column1]])))</f>
        <v>Purwa</v>
      </c>
      <c r="K813" t="s">
        <v>1694</v>
      </c>
      <c r="L813" t="s">
        <v>1694</v>
      </c>
      <c r="M813" t="s">
        <v>246</v>
      </c>
      <c r="N813" s="1">
        <v>204.83</v>
      </c>
      <c r="O813">
        <v>6</v>
      </c>
      <c r="P813" t="s">
        <v>48</v>
      </c>
      <c r="Q813">
        <v>5</v>
      </c>
      <c r="R813">
        <v>1</v>
      </c>
      <c r="S813">
        <v>0</v>
      </c>
      <c r="T813" t="s">
        <v>44</v>
      </c>
      <c r="U813" t="s">
        <v>85</v>
      </c>
      <c r="V813">
        <v>1</v>
      </c>
      <c r="W813">
        <v>5</v>
      </c>
      <c r="X813" t="s">
        <v>49</v>
      </c>
      <c r="Y813" t="s">
        <v>60</v>
      </c>
      <c r="Z813" t="s">
        <v>61</v>
      </c>
      <c r="AA813" s="2">
        <v>45404</v>
      </c>
      <c r="AB813" t="b">
        <v>1</v>
      </c>
      <c r="AC813" t="b">
        <v>0</v>
      </c>
      <c r="AD813" t="s">
        <v>52</v>
      </c>
      <c r="AE813" t="s">
        <v>53</v>
      </c>
      <c r="AF813">
        <v>5</v>
      </c>
    </row>
    <row r="814" spans="1:32" x14ac:dyDescent="0.25">
      <c r="A814" t="s">
        <v>1695</v>
      </c>
      <c r="B814">
        <v>812</v>
      </c>
      <c r="C814">
        <v>22</v>
      </c>
      <c r="D814" t="str">
        <f>IF(tbl_Original[[#This Row],[Gender2]]="Female","Female",IF(tbl_Original[[#This Row],[Gender2]]="Male","Male","Other"))</f>
        <v>Female</v>
      </c>
      <c r="E814" t="s">
        <v>29</v>
      </c>
      <c r="F814" t="s">
        <v>30</v>
      </c>
      <c r="G814" t="s">
        <v>69</v>
      </c>
      <c r="H814" t="s">
        <v>56</v>
      </c>
      <c r="I814" t="s">
        <v>44</v>
      </c>
      <c r="J814" t="str">
        <f>PROPER(TRIM(CLEAN(tbl_Original[[#This Row],[Column1]])))</f>
        <v>Gvle</v>
      </c>
      <c r="K814" t="s">
        <v>2254</v>
      </c>
      <c r="L814" t="s">
        <v>1696</v>
      </c>
      <c r="M814" t="s">
        <v>114</v>
      </c>
      <c r="N814" s="1">
        <v>193.94</v>
      </c>
      <c r="O814">
        <v>11</v>
      </c>
      <c r="P814" t="s">
        <v>35</v>
      </c>
      <c r="Q814">
        <v>4</v>
      </c>
      <c r="R814">
        <v>1</v>
      </c>
      <c r="S814">
        <v>0</v>
      </c>
      <c r="T814" t="s">
        <v>36</v>
      </c>
      <c r="U814" t="s">
        <v>50</v>
      </c>
      <c r="V814">
        <v>0</v>
      </c>
      <c r="W814">
        <v>3</v>
      </c>
      <c r="X814" t="s">
        <v>44</v>
      </c>
      <c r="Y814" t="s">
        <v>79</v>
      </c>
      <c r="Z814" t="s">
        <v>66</v>
      </c>
      <c r="AA814" s="2">
        <v>45513</v>
      </c>
      <c r="AB814" t="b">
        <v>0</v>
      </c>
      <c r="AC814" t="b">
        <v>0</v>
      </c>
      <c r="AD814" t="s">
        <v>52</v>
      </c>
      <c r="AE814" t="s">
        <v>53</v>
      </c>
      <c r="AF814">
        <v>9</v>
      </c>
    </row>
    <row r="815" spans="1:32" x14ac:dyDescent="0.25">
      <c r="A815" t="s">
        <v>1697</v>
      </c>
      <c r="B815">
        <v>813</v>
      </c>
      <c r="C815">
        <v>46</v>
      </c>
      <c r="D815" t="str">
        <f>IF(tbl_Original[[#This Row],[Gender2]]="Female","Female",IF(tbl_Original[[#This Row],[Gender2]]="Male","Male","Other"))</f>
        <v>Male</v>
      </c>
      <c r="E815" t="s">
        <v>43</v>
      </c>
      <c r="F815" t="s">
        <v>44</v>
      </c>
      <c r="G815" t="s">
        <v>31</v>
      </c>
      <c r="H815" t="s">
        <v>56</v>
      </c>
      <c r="I815" t="s">
        <v>30</v>
      </c>
      <c r="J815" t="str">
        <f>PROPER(TRIM(CLEAN(tbl_Original[[#This Row],[Column1]])))</f>
        <v>Embu Guaأ§U</v>
      </c>
      <c r="K815" t="s">
        <v>1698</v>
      </c>
      <c r="L815" t="s">
        <v>1698</v>
      </c>
      <c r="M815" t="s">
        <v>93</v>
      </c>
      <c r="N815" s="1">
        <v>460.37</v>
      </c>
      <c r="O815">
        <v>10</v>
      </c>
      <c r="P815" t="s">
        <v>78</v>
      </c>
      <c r="Q815">
        <v>5</v>
      </c>
      <c r="R815">
        <v>4</v>
      </c>
      <c r="S815">
        <v>2</v>
      </c>
      <c r="T815" t="s">
        <v>59</v>
      </c>
      <c r="U815" t="s">
        <v>85</v>
      </c>
      <c r="V815">
        <v>2</v>
      </c>
      <c r="W815">
        <v>7</v>
      </c>
      <c r="X815" t="s">
        <v>44</v>
      </c>
      <c r="Y815" t="s">
        <v>79</v>
      </c>
      <c r="Z815" t="s">
        <v>39</v>
      </c>
      <c r="AA815" s="2">
        <v>45486</v>
      </c>
      <c r="AB815" t="b">
        <v>1</v>
      </c>
      <c r="AC815" t="b">
        <v>1</v>
      </c>
      <c r="AD815" t="s">
        <v>52</v>
      </c>
      <c r="AE815" t="s">
        <v>67</v>
      </c>
      <c r="AF815">
        <v>12</v>
      </c>
    </row>
    <row r="816" spans="1:32" x14ac:dyDescent="0.25">
      <c r="A816" t="s">
        <v>1699</v>
      </c>
      <c r="B816">
        <v>814</v>
      </c>
      <c r="C816">
        <v>34</v>
      </c>
      <c r="D816" t="str">
        <f>IF(tbl_Original[[#This Row],[Gender2]]="Female","Female",IF(tbl_Original[[#This Row],[Gender2]]="Male","Male","Other"))</f>
        <v>Other</v>
      </c>
      <c r="E816" t="s">
        <v>190</v>
      </c>
      <c r="F816" t="s">
        <v>30</v>
      </c>
      <c r="G816" t="s">
        <v>55</v>
      </c>
      <c r="H816" t="s">
        <v>32</v>
      </c>
      <c r="I816" t="s">
        <v>30</v>
      </c>
      <c r="J816" t="str">
        <f>PROPER(TRIM(CLEAN(tbl_Original[[#This Row],[Column1]])))</f>
        <v>Colima</v>
      </c>
      <c r="K816" t="s">
        <v>637</v>
      </c>
      <c r="L816" t="s">
        <v>637</v>
      </c>
      <c r="M816" t="s">
        <v>135</v>
      </c>
      <c r="N816" s="1">
        <v>297.29000000000002</v>
      </c>
      <c r="O816">
        <v>9</v>
      </c>
      <c r="P816" t="s">
        <v>78</v>
      </c>
      <c r="Q816">
        <v>5</v>
      </c>
      <c r="R816">
        <v>4</v>
      </c>
      <c r="S816">
        <v>2</v>
      </c>
      <c r="T816" t="s">
        <v>36</v>
      </c>
      <c r="U816" t="s">
        <v>50</v>
      </c>
      <c r="V816">
        <v>0</v>
      </c>
      <c r="W816">
        <v>9</v>
      </c>
      <c r="X816" t="s">
        <v>59</v>
      </c>
      <c r="Y816" t="s">
        <v>60</v>
      </c>
      <c r="Z816" t="s">
        <v>86</v>
      </c>
      <c r="AA816" s="2">
        <v>45292</v>
      </c>
      <c r="AB816" t="b">
        <v>1</v>
      </c>
      <c r="AC816" t="b">
        <v>1</v>
      </c>
      <c r="AD816" t="s">
        <v>40</v>
      </c>
      <c r="AE816" t="s">
        <v>53</v>
      </c>
      <c r="AF816">
        <v>3</v>
      </c>
    </row>
    <row r="817" spans="1:32" x14ac:dyDescent="0.25">
      <c r="A817" t="s">
        <v>1700</v>
      </c>
      <c r="B817">
        <v>815</v>
      </c>
      <c r="C817">
        <v>31</v>
      </c>
      <c r="D817" t="str">
        <f>IF(tbl_Original[[#This Row],[Gender2]]="Female","Female",IF(tbl_Original[[#This Row],[Gender2]]="Male","Male","Other"))</f>
        <v>Male</v>
      </c>
      <c r="E817" t="s">
        <v>43</v>
      </c>
      <c r="F817" t="s">
        <v>30</v>
      </c>
      <c r="G817" t="s">
        <v>55</v>
      </c>
      <c r="H817" t="s">
        <v>32</v>
      </c>
      <c r="I817" t="s">
        <v>30</v>
      </c>
      <c r="J817" t="str">
        <f>PROPER(TRIM(CLEAN(tbl_Original[[#This Row],[Column1]])))</f>
        <v>Fubin</v>
      </c>
      <c r="K817" t="s">
        <v>1701</v>
      </c>
      <c r="L817" t="s">
        <v>1701</v>
      </c>
      <c r="M817" t="s">
        <v>82</v>
      </c>
      <c r="N817" s="1">
        <v>389.47</v>
      </c>
      <c r="O817">
        <v>4</v>
      </c>
      <c r="P817" t="s">
        <v>48</v>
      </c>
      <c r="Q817">
        <v>5</v>
      </c>
      <c r="R817">
        <v>3</v>
      </c>
      <c r="S817">
        <v>2</v>
      </c>
      <c r="T817" t="s">
        <v>59</v>
      </c>
      <c r="U817" t="s">
        <v>50</v>
      </c>
      <c r="V817">
        <v>1</v>
      </c>
      <c r="W817">
        <v>9</v>
      </c>
      <c r="X817" t="s">
        <v>44</v>
      </c>
      <c r="Y817" t="s">
        <v>79</v>
      </c>
      <c r="Z817" t="s">
        <v>39</v>
      </c>
      <c r="AA817" s="2">
        <v>45333</v>
      </c>
      <c r="AB817" t="b">
        <v>1</v>
      </c>
      <c r="AC817" t="b">
        <v>1</v>
      </c>
      <c r="AD817" t="s">
        <v>52</v>
      </c>
      <c r="AE817" t="s">
        <v>53</v>
      </c>
      <c r="AF817">
        <v>6</v>
      </c>
    </row>
    <row r="818" spans="1:32" x14ac:dyDescent="0.25">
      <c r="A818" t="s">
        <v>1702</v>
      </c>
      <c r="B818">
        <v>816</v>
      </c>
      <c r="C818">
        <v>38</v>
      </c>
      <c r="D818" t="str">
        <f>IF(tbl_Original[[#This Row],[Gender2]]="Female","Female",IF(tbl_Original[[#This Row],[Gender2]]="Male","Male","Other"))</f>
        <v>Male</v>
      </c>
      <c r="E818" t="s">
        <v>43</v>
      </c>
      <c r="F818" t="s">
        <v>44</v>
      </c>
      <c r="G818" t="s">
        <v>55</v>
      </c>
      <c r="H818" t="s">
        <v>56</v>
      </c>
      <c r="I818" t="s">
        <v>44</v>
      </c>
      <c r="J818" t="str">
        <f>PROPER(TRIM(CLEAN(tbl_Original[[#This Row],[Column1]])))</f>
        <v>Talshand</v>
      </c>
      <c r="K818" t="s">
        <v>1703</v>
      </c>
      <c r="L818" t="s">
        <v>1703</v>
      </c>
      <c r="M818" t="s">
        <v>65</v>
      </c>
      <c r="N818" s="1">
        <v>370.05</v>
      </c>
      <c r="O818">
        <v>11</v>
      </c>
      <c r="P818" t="s">
        <v>35</v>
      </c>
      <c r="Q818">
        <v>5</v>
      </c>
      <c r="R818">
        <v>3</v>
      </c>
      <c r="S818">
        <v>0</v>
      </c>
      <c r="T818" t="s">
        <v>49</v>
      </c>
      <c r="U818" t="s">
        <v>85</v>
      </c>
      <c r="V818">
        <v>1</v>
      </c>
      <c r="W818">
        <v>10</v>
      </c>
      <c r="X818" t="s">
        <v>44</v>
      </c>
      <c r="Y818" t="s">
        <v>60</v>
      </c>
      <c r="Z818" t="s">
        <v>86</v>
      </c>
      <c r="AA818" s="2">
        <v>45595</v>
      </c>
      <c r="AB818" t="b">
        <v>1</v>
      </c>
      <c r="AC818" t="b">
        <v>1</v>
      </c>
      <c r="AD818" t="s">
        <v>62</v>
      </c>
      <c r="AE818" t="s">
        <v>41</v>
      </c>
      <c r="AF818">
        <v>10</v>
      </c>
    </row>
    <row r="819" spans="1:32" x14ac:dyDescent="0.25">
      <c r="A819" t="s">
        <v>1704</v>
      </c>
      <c r="B819">
        <v>817</v>
      </c>
      <c r="C819">
        <v>45</v>
      </c>
      <c r="D819" t="str">
        <f>IF(tbl_Original[[#This Row],[Gender2]]="Female","Female",IF(tbl_Original[[#This Row],[Gender2]]="Male","Male","Other"))</f>
        <v>Male</v>
      </c>
      <c r="E819" t="s">
        <v>43</v>
      </c>
      <c r="F819" t="s">
        <v>44</v>
      </c>
      <c r="G819" t="s">
        <v>55</v>
      </c>
      <c r="H819" t="s">
        <v>56</v>
      </c>
      <c r="I819" t="s">
        <v>30</v>
      </c>
      <c r="J819" t="str">
        <f>PROPER(TRIM(CLEAN(tbl_Original[[#This Row],[Column1]])))</f>
        <v>Palampal</v>
      </c>
      <c r="K819" t="s">
        <v>1705</v>
      </c>
      <c r="L819" t="s">
        <v>1705</v>
      </c>
      <c r="M819" t="s">
        <v>246</v>
      </c>
      <c r="N819" s="1">
        <v>462.24</v>
      </c>
      <c r="O819">
        <v>2</v>
      </c>
      <c r="P819" t="s">
        <v>35</v>
      </c>
      <c r="Q819">
        <v>4</v>
      </c>
      <c r="R819">
        <v>5</v>
      </c>
      <c r="S819">
        <v>0</v>
      </c>
      <c r="T819" t="s">
        <v>59</v>
      </c>
      <c r="U819" t="s">
        <v>50</v>
      </c>
      <c r="V819">
        <v>2</v>
      </c>
      <c r="W819">
        <v>1</v>
      </c>
      <c r="X819" t="s">
        <v>36</v>
      </c>
      <c r="Y819" t="s">
        <v>60</v>
      </c>
      <c r="Z819" t="s">
        <v>66</v>
      </c>
      <c r="AA819" s="2">
        <v>45370</v>
      </c>
      <c r="AB819" t="b">
        <v>1</v>
      </c>
      <c r="AC819" t="b">
        <v>1</v>
      </c>
      <c r="AD819" t="s">
        <v>52</v>
      </c>
      <c r="AE819" t="s">
        <v>67</v>
      </c>
      <c r="AF819">
        <v>13</v>
      </c>
    </row>
    <row r="820" spans="1:32" x14ac:dyDescent="0.25">
      <c r="A820" t="s">
        <v>1706</v>
      </c>
      <c r="B820">
        <v>818</v>
      </c>
      <c r="C820">
        <v>30</v>
      </c>
      <c r="D820" t="str">
        <f>IF(tbl_Original[[#This Row],[Gender2]]="Female","Female",IF(tbl_Original[[#This Row],[Gender2]]="Male","Male","Other"))</f>
        <v>Female</v>
      </c>
      <c r="E820" t="s">
        <v>29</v>
      </c>
      <c r="F820" t="s">
        <v>44</v>
      </c>
      <c r="G820" t="s">
        <v>31</v>
      </c>
      <c r="H820" t="s">
        <v>45</v>
      </c>
      <c r="I820" t="s">
        <v>44</v>
      </c>
      <c r="J820" t="str">
        <f>PROPER(TRIM(CLEAN(tbl_Original[[#This Row],[Column1]])))</f>
        <v>Kamأ،Rai</v>
      </c>
      <c r="K820" t="s">
        <v>1707</v>
      </c>
      <c r="L820" t="s">
        <v>1707</v>
      </c>
      <c r="M820" t="s">
        <v>47</v>
      </c>
      <c r="N820" s="1">
        <v>472.53</v>
      </c>
      <c r="O820">
        <v>11</v>
      </c>
      <c r="P820" t="s">
        <v>78</v>
      </c>
      <c r="Q820">
        <v>4</v>
      </c>
      <c r="R820">
        <v>1</v>
      </c>
      <c r="S820">
        <v>1</v>
      </c>
      <c r="T820" t="s">
        <v>49</v>
      </c>
      <c r="U820" t="s">
        <v>37</v>
      </c>
      <c r="V820">
        <v>2</v>
      </c>
      <c r="W820">
        <v>7</v>
      </c>
      <c r="X820" t="s">
        <v>49</v>
      </c>
      <c r="Y820" t="s">
        <v>60</v>
      </c>
      <c r="Z820" t="s">
        <v>61</v>
      </c>
      <c r="AA820" s="2">
        <v>45412</v>
      </c>
      <c r="AB820" t="b">
        <v>0</v>
      </c>
      <c r="AC820" t="b">
        <v>0</v>
      </c>
      <c r="AD820" t="s">
        <v>52</v>
      </c>
      <c r="AE820" t="s">
        <v>67</v>
      </c>
      <c r="AF820">
        <v>4</v>
      </c>
    </row>
    <row r="821" spans="1:32" x14ac:dyDescent="0.25">
      <c r="A821" t="s">
        <v>1708</v>
      </c>
      <c r="B821">
        <v>819</v>
      </c>
      <c r="C821">
        <v>45</v>
      </c>
      <c r="D821" t="str">
        <f>IF(tbl_Original[[#This Row],[Gender2]]="Female","Female",IF(tbl_Original[[#This Row],[Gender2]]="Male","Male","Other"))</f>
        <v>Female</v>
      </c>
      <c r="E821" t="s">
        <v>29</v>
      </c>
      <c r="F821" t="s">
        <v>30</v>
      </c>
      <c r="G821" t="s">
        <v>31</v>
      </c>
      <c r="H821" t="s">
        <v>45</v>
      </c>
      <c r="I821" t="s">
        <v>30</v>
      </c>
      <c r="J821" t="str">
        <f>PROPER(TRIM(CLEAN(tbl_Original[[#This Row],[Column1]])))</f>
        <v>Ettelbruck</v>
      </c>
      <c r="K821" t="s">
        <v>1709</v>
      </c>
      <c r="L821" t="s">
        <v>1709</v>
      </c>
      <c r="M821" t="s">
        <v>65</v>
      </c>
      <c r="N821" s="1">
        <v>407.29</v>
      </c>
      <c r="O821">
        <v>3</v>
      </c>
      <c r="P821" t="s">
        <v>48</v>
      </c>
      <c r="Q821">
        <v>5</v>
      </c>
      <c r="R821">
        <v>5</v>
      </c>
      <c r="S821">
        <v>0</v>
      </c>
      <c r="T821" t="s">
        <v>59</v>
      </c>
      <c r="U821" t="s">
        <v>50</v>
      </c>
      <c r="V821">
        <v>0</v>
      </c>
      <c r="W821">
        <v>5</v>
      </c>
      <c r="X821" t="s">
        <v>59</v>
      </c>
      <c r="Y821" t="s">
        <v>38</v>
      </c>
      <c r="Z821" t="s">
        <v>66</v>
      </c>
      <c r="AA821" s="2">
        <v>45621</v>
      </c>
      <c r="AB821" t="b">
        <v>0</v>
      </c>
      <c r="AC821" t="b">
        <v>0</v>
      </c>
      <c r="AD821" t="s">
        <v>74</v>
      </c>
      <c r="AE821" t="s">
        <v>67</v>
      </c>
      <c r="AF821">
        <v>3</v>
      </c>
    </row>
    <row r="822" spans="1:32" x14ac:dyDescent="0.25">
      <c r="A822" t="s">
        <v>1710</v>
      </c>
      <c r="B822">
        <v>820</v>
      </c>
      <c r="C822">
        <v>18</v>
      </c>
      <c r="D822" t="str">
        <f>IF(tbl_Original[[#This Row],[Gender2]]="Female","Female",IF(tbl_Original[[#This Row],[Gender2]]="Male","Male","Other"))</f>
        <v>Male</v>
      </c>
      <c r="E822" t="s">
        <v>43</v>
      </c>
      <c r="F822" t="s">
        <v>44</v>
      </c>
      <c r="G822" t="s">
        <v>31</v>
      </c>
      <c r="H822" t="s">
        <v>32</v>
      </c>
      <c r="I822" t="s">
        <v>44</v>
      </c>
      <c r="J822" t="str">
        <f>PROPER(TRIM(CLEAN(tbl_Original[[#This Row],[Column1]])))</f>
        <v>Cawayan</v>
      </c>
      <c r="K822" t="s">
        <v>1711</v>
      </c>
      <c r="L822" t="s">
        <v>1711</v>
      </c>
      <c r="M822" t="s">
        <v>93</v>
      </c>
      <c r="N822" s="1">
        <v>135.65</v>
      </c>
      <c r="O822">
        <v>8</v>
      </c>
      <c r="P822" t="s">
        <v>78</v>
      </c>
      <c r="Q822">
        <v>4</v>
      </c>
      <c r="R822">
        <v>1</v>
      </c>
      <c r="S822">
        <v>1</v>
      </c>
      <c r="T822" t="s">
        <v>59</v>
      </c>
      <c r="U822" t="s">
        <v>85</v>
      </c>
      <c r="V822">
        <v>0</v>
      </c>
      <c r="W822">
        <v>9</v>
      </c>
      <c r="X822" t="s">
        <v>36</v>
      </c>
      <c r="Y822" t="s">
        <v>79</v>
      </c>
      <c r="Z822" t="s">
        <v>66</v>
      </c>
      <c r="AA822" s="2">
        <v>45338</v>
      </c>
      <c r="AB822" t="b">
        <v>0</v>
      </c>
      <c r="AC822" t="b">
        <v>0</v>
      </c>
      <c r="AD822" t="s">
        <v>62</v>
      </c>
      <c r="AE822" t="s">
        <v>53</v>
      </c>
      <c r="AF822">
        <v>14</v>
      </c>
    </row>
    <row r="823" spans="1:32" x14ac:dyDescent="0.25">
      <c r="A823" t="s">
        <v>1712</v>
      </c>
      <c r="B823">
        <v>821</v>
      </c>
      <c r="C823">
        <v>36</v>
      </c>
      <c r="D823" t="str">
        <f>IF(tbl_Original[[#This Row],[Gender2]]="Female","Female",IF(tbl_Original[[#This Row],[Gender2]]="Male","Male","Other"))</f>
        <v>Male</v>
      </c>
      <c r="E823" t="s">
        <v>43</v>
      </c>
      <c r="F823" t="s">
        <v>44</v>
      </c>
      <c r="G823" t="s">
        <v>55</v>
      </c>
      <c r="H823" t="s">
        <v>32</v>
      </c>
      <c r="I823" t="s">
        <v>30</v>
      </c>
      <c r="J823" t="str">
        <f>PROPER(TRIM(CLEAN(tbl_Original[[#This Row],[Column1]])))</f>
        <v>Don Carlos</v>
      </c>
      <c r="K823" t="s">
        <v>1713</v>
      </c>
      <c r="L823" t="s">
        <v>1713</v>
      </c>
      <c r="M823" t="s">
        <v>101</v>
      </c>
      <c r="N823" s="1">
        <v>352.35</v>
      </c>
      <c r="O823">
        <v>4</v>
      </c>
      <c r="P823" t="s">
        <v>78</v>
      </c>
      <c r="Q823">
        <v>2</v>
      </c>
      <c r="R823">
        <v>2</v>
      </c>
      <c r="S823">
        <v>0</v>
      </c>
      <c r="T823" t="s">
        <v>59</v>
      </c>
      <c r="U823" t="s">
        <v>85</v>
      </c>
      <c r="V823">
        <v>1</v>
      </c>
      <c r="W823">
        <v>1</v>
      </c>
      <c r="X823" t="s">
        <v>59</v>
      </c>
      <c r="Y823" t="s">
        <v>60</v>
      </c>
      <c r="Z823" t="s">
        <v>39</v>
      </c>
      <c r="AA823" s="2">
        <v>45463</v>
      </c>
      <c r="AB823" t="b">
        <v>0</v>
      </c>
      <c r="AC823" t="b">
        <v>0</v>
      </c>
      <c r="AD823" t="s">
        <v>74</v>
      </c>
      <c r="AE823" t="s">
        <v>67</v>
      </c>
      <c r="AF823">
        <v>14</v>
      </c>
    </row>
    <row r="824" spans="1:32" x14ac:dyDescent="0.25">
      <c r="A824" t="s">
        <v>1714</v>
      </c>
      <c r="B824">
        <v>822</v>
      </c>
      <c r="C824">
        <v>25</v>
      </c>
      <c r="D824" t="str">
        <f>IF(tbl_Original[[#This Row],[Gender2]]="Female","Female",IF(tbl_Original[[#This Row],[Gender2]]="Male","Male","Other"))</f>
        <v>Female</v>
      </c>
      <c r="E824" t="s">
        <v>29</v>
      </c>
      <c r="F824" t="s">
        <v>44</v>
      </c>
      <c r="G824" t="s">
        <v>55</v>
      </c>
      <c r="H824" t="s">
        <v>45</v>
      </c>
      <c r="I824" t="s">
        <v>44</v>
      </c>
      <c r="J824" t="str">
        <f>PROPER(TRIM(CLEAN(tbl_Original[[#This Row],[Column1]])))</f>
        <v>Seleu</v>
      </c>
      <c r="K824" t="s">
        <v>2164</v>
      </c>
      <c r="L824" t="s">
        <v>520</v>
      </c>
      <c r="M824" t="s">
        <v>82</v>
      </c>
      <c r="N824" s="1">
        <v>441.73</v>
      </c>
      <c r="O824">
        <v>12</v>
      </c>
      <c r="P824" t="s">
        <v>78</v>
      </c>
      <c r="Q824">
        <v>1</v>
      </c>
      <c r="R824">
        <v>4</v>
      </c>
      <c r="S824">
        <v>2</v>
      </c>
      <c r="T824" t="s">
        <v>59</v>
      </c>
      <c r="U824" t="s">
        <v>37</v>
      </c>
      <c r="V824">
        <v>0</v>
      </c>
      <c r="W824">
        <v>8</v>
      </c>
      <c r="X824" t="s">
        <v>49</v>
      </c>
      <c r="Y824" t="s">
        <v>60</v>
      </c>
      <c r="Z824" t="s">
        <v>39</v>
      </c>
      <c r="AA824" s="2">
        <v>45326</v>
      </c>
      <c r="AB824" t="b">
        <v>1</v>
      </c>
      <c r="AC824" t="b">
        <v>0</v>
      </c>
      <c r="AD824" t="s">
        <v>74</v>
      </c>
      <c r="AE824" t="s">
        <v>53</v>
      </c>
      <c r="AF824">
        <v>8</v>
      </c>
    </row>
    <row r="825" spans="1:32" x14ac:dyDescent="0.25">
      <c r="A825" t="s">
        <v>1715</v>
      </c>
      <c r="B825">
        <v>823</v>
      </c>
      <c r="C825">
        <v>21</v>
      </c>
      <c r="D825" t="str">
        <f>IF(tbl_Original[[#This Row],[Gender2]]="Female","Female",IF(tbl_Original[[#This Row],[Gender2]]="Male","Male","Other"))</f>
        <v>Female</v>
      </c>
      <c r="E825" t="s">
        <v>29</v>
      </c>
      <c r="F825" t="s">
        <v>44</v>
      </c>
      <c r="G825" t="s">
        <v>76</v>
      </c>
      <c r="H825" t="s">
        <v>45</v>
      </c>
      <c r="I825" t="s">
        <v>30</v>
      </c>
      <c r="J825" t="str">
        <f>PROPER(TRIM(CLEAN(tbl_Original[[#This Row],[Column1]])))</f>
        <v>Cervantes</v>
      </c>
      <c r="K825" t="s">
        <v>1716</v>
      </c>
      <c r="L825" t="s">
        <v>1716</v>
      </c>
      <c r="M825" t="s">
        <v>98</v>
      </c>
      <c r="N825" s="1">
        <v>105.95</v>
      </c>
      <c r="O825">
        <v>12</v>
      </c>
      <c r="P825" t="s">
        <v>35</v>
      </c>
      <c r="Q825">
        <v>1</v>
      </c>
      <c r="R825">
        <v>4</v>
      </c>
      <c r="S825">
        <v>2</v>
      </c>
      <c r="T825" t="s">
        <v>59</v>
      </c>
      <c r="U825" t="s">
        <v>85</v>
      </c>
      <c r="V825">
        <v>1</v>
      </c>
      <c r="W825">
        <v>7</v>
      </c>
      <c r="X825" t="s">
        <v>49</v>
      </c>
      <c r="Y825" t="s">
        <v>79</v>
      </c>
      <c r="Z825" t="s">
        <v>86</v>
      </c>
      <c r="AA825" s="2">
        <v>45508</v>
      </c>
      <c r="AB825" t="b">
        <v>0</v>
      </c>
      <c r="AC825" t="b">
        <v>0</v>
      </c>
      <c r="AD825" t="s">
        <v>62</v>
      </c>
      <c r="AE825" t="s">
        <v>53</v>
      </c>
      <c r="AF825">
        <v>11</v>
      </c>
    </row>
    <row r="826" spans="1:32" x14ac:dyDescent="0.25">
      <c r="A826" t="s">
        <v>1717</v>
      </c>
      <c r="B826">
        <v>824</v>
      </c>
      <c r="C826">
        <v>26</v>
      </c>
      <c r="D826" t="str">
        <f>IF(tbl_Original[[#This Row],[Gender2]]="Female","Female",IF(tbl_Original[[#This Row],[Gender2]]="Male","Male","Other"))</f>
        <v>Male</v>
      </c>
      <c r="E826" t="s">
        <v>43</v>
      </c>
      <c r="F826" t="s">
        <v>44</v>
      </c>
      <c r="G826" t="s">
        <v>55</v>
      </c>
      <c r="H826" t="s">
        <v>56</v>
      </c>
      <c r="I826" t="s">
        <v>44</v>
      </c>
      <c r="J826" t="str">
        <f>PROPER(TRIM(CLEAN(tbl_Original[[#This Row],[Column1]])))</f>
        <v>Ebebiyin</v>
      </c>
      <c r="K826" t="s">
        <v>1718</v>
      </c>
      <c r="L826" t="s">
        <v>1718</v>
      </c>
      <c r="M826" t="s">
        <v>158</v>
      </c>
      <c r="N826" s="1">
        <v>351.54</v>
      </c>
      <c r="O826">
        <v>11</v>
      </c>
      <c r="P826" t="s">
        <v>35</v>
      </c>
      <c r="Q826">
        <v>1</v>
      </c>
      <c r="R826">
        <v>3</v>
      </c>
      <c r="S826">
        <v>2</v>
      </c>
      <c r="T826" t="s">
        <v>36</v>
      </c>
      <c r="U826" t="s">
        <v>37</v>
      </c>
      <c r="V826">
        <v>0</v>
      </c>
      <c r="W826">
        <v>8</v>
      </c>
      <c r="X826" t="s">
        <v>36</v>
      </c>
      <c r="Y826" t="s">
        <v>38</v>
      </c>
      <c r="Z826" t="s">
        <v>51</v>
      </c>
      <c r="AA826" s="2">
        <v>45372</v>
      </c>
      <c r="AB826" t="b">
        <v>1</v>
      </c>
      <c r="AC826" t="b">
        <v>0</v>
      </c>
      <c r="AD826" t="s">
        <v>74</v>
      </c>
      <c r="AE826" t="s">
        <v>67</v>
      </c>
      <c r="AF826">
        <v>12</v>
      </c>
    </row>
    <row r="827" spans="1:32" x14ac:dyDescent="0.25">
      <c r="A827" t="s">
        <v>1719</v>
      </c>
      <c r="B827">
        <v>825</v>
      </c>
      <c r="C827">
        <v>40</v>
      </c>
      <c r="D827" t="str">
        <f>IF(tbl_Original[[#This Row],[Gender2]]="Female","Female",IF(tbl_Original[[#This Row],[Gender2]]="Male","Male","Other"))</f>
        <v>Male</v>
      </c>
      <c r="E827" t="s">
        <v>43</v>
      </c>
      <c r="F827" t="s">
        <v>44</v>
      </c>
      <c r="G827" t="s">
        <v>76</v>
      </c>
      <c r="H827" t="s">
        <v>32</v>
      </c>
      <c r="I827" t="s">
        <v>44</v>
      </c>
      <c r="J827" t="str">
        <f>PROPER(TRIM(CLEAN(tbl_Original[[#This Row],[Column1]])))</f>
        <v>Chuquitira</v>
      </c>
      <c r="K827" t="s">
        <v>1720</v>
      </c>
      <c r="L827" t="s">
        <v>1720</v>
      </c>
      <c r="M827" t="s">
        <v>65</v>
      </c>
      <c r="N827" s="1">
        <v>321.26</v>
      </c>
      <c r="O827">
        <v>12</v>
      </c>
      <c r="P827" t="s">
        <v>78</v>
      </c>
      <c r="Q827">
        <v>4</v>
      </c>
      <c r="R827">
        <v>1</v>
      </c>
      <c r="S827">
        <v>0</v>
      </c>
      <c r="T827" t="s">
        <v>36</v>
      </c>
      <c r="U827" t="s">
        <v>85</v>
      </c>
      <c r="V827">
        <v>0</v>
      </c>
      <c r="W827">
        <v>6</v>
      </c>
      <c r="X827" t="s">
        <v>36</v>
      </c>
      <c r="Y827" t="s">
        <v>79</v>
      </c>
      <c r="Z827" t="s">
        <v>61</v>
      </c>
      <c r="AA827" s="2">
        <v>45456</v>
      </c>
      <c r="AB827" t="b">
        <v>0</v>
      </c>
      <c r="AC827" t="b">
        <v>0</v>
      </c>
      <c r="AD827" t="s">
        <v>40</v>
      </c>
      <c r="AE827" t="s">
        <v>53</v>
      </c>
      <c r="AF827">
        <v>14</v>
      </c>
    </row>
    <row r="828" spans="1:32" x14ac:dyDescent="0.25">
      <c r="A828" t="s">
        <v>1721</v>
      </c>
      <c r="B828">
        <v>826</v>
      </c>
      <c r="C828">
        <v>47</v>
      </c>
      <c r="D828" t="str">
        <f>IF(tbl_Original[[#This Row],[Gender2]]="Female","Female",IF(tbl_Original[[#This Row],[Gender2]]="Male","Male","Other"))</f>
        <v>Female</v>
      </c>
      <c r="E828" t="s">
        <v>29</v>
      </c>
      <c r="F828" t="s">
        <v>44</v>
      </c>
      <c r="G828" t="s">
        <v>76</v>
      </c>
      <c r="H828" t="s">
        <v>45</v>
      </c>
      <c r="I828" t="s">
        <v>30</v>
      </c>
      <c r="J828" t="str">
        <f>PROPER(TRIM(CLEAN(tbl_Original[[#This Row],[Column1]])))</f>
        <v>Proletarsk</v>
      </c>
      <c r="K828" t="s">
        <v>1722</v>
      </c>
      <c r="L828" t="s">
        <v>1722</v>
      </c>
      <c r="M828" t="s">
        <v>101</v>
      </c>
      <c r="N828" s="1">
        <v>421.5</v>
      </c>
      <c r="O828">
        <v>11</v>
      </c>
      <c r="P828" t="s">
        <v>78</v>
      </c>
      <c r="Q828">
        <v>5</v>
      </c>
      <c r="R828">
        <v>1</v>
      </c>
      <c r="S828">
        <v>2</v>
      </c>
      <c r="T828" t="s">
        <v>59</v>
      </c>
      <c r="U828" t="s">
        <v>37</v>
      </c>
      <c r="V828">
        <v>0</v>
      </c>
      <c r="W828">
        <v>8</v>
      </c>
      <c r="X828" t="s">
        <v>36</v>
      </c>
      <c r="Y828" t="s">
        <v>79</v>
      </c>
      <c r="Z828" t="s">
        <v>51</v>
      </c>
      <c r="AA828" s="2">
        <v>45386</v>
      </c>
      <c r="AB828" t="b">
        <v>1</v>
      </c>
      <c r="AC828" t="b">
        <v>1</v>
      </c>
      <c r="AD828" t="s">
        <v>40</v>
      </c>
      <c r="AE828" t="s">
        <v>67</v>
      </c>
      <c r="AF828">
        <v>3</v>
      </c>
    </row>
    <row r="829" spans="1:32" x14ac:dyDescent="0.25">
      <c r="A829" t="s">
        <v>1723</v>
      </c>
      <c r="B829">
        <v>827</v>
      </c>
      <c r="C829">
        <v>27</v>
      </c>
      <c r="D829" t="str">
        <f>IF(tbl_Original[[#This Row],[Gender2]]="Female","Female",IF(tbl_Original[[#This Row],[Gender2]]="Male","Male","Other"))</f>
        <v>Other</v>
      </c>
      <c r="E829" t="s">
        <v>88</v>
      </c>
      <c r="F829" t="s">
        <v>44</v>
      </c>
      <c r="G829" t="s">
        <v>69</v>
      </c>
      <c r="H829" t="s">
        <v>45</v>
      </c>
      <c r="I829" t="s">
        <v>30</v>
      </c>
      <c r="J829" t="str">
        <f>PROPER(TRIM(CLEAN(tbl_Original[[#This Row],[Column1]])))</f>
        <v>Naghalin</v>
      </c>
      <c r="K829" t="s">
        <v>1724</v>
      </c>
      <c r="L829" t="s">
        <v>1724</v>
      </c>
      <c r="M829" t="s">
        <v>47</v>
      </c>
      <c r="N829" s="1">
        <v>253.29</v>
      </c>
      <c r="O829">
        <v>6</v>
      </c>
      <c r="P829" t="s">
        <v>35</v>
      </c>
      <c r="Q829">
        <v>3</v>
      </c>
      <c r="R829">
        <v>2</v>
      </c>
      <c r="S829">
        <v>2</v>
      </c>
      <c r="T829" t="s">
        <v>36</v>
      </c>
      <c r="U829" t="s">
        <v>37</v>
      </c>
      <c r="V829">
        <v>1</v>
      </c>
      <c r="W829">
        <v>4</v>
      </c>
      <c r="X829" t="s">
        <v>36</v>
      </c>
      <c r="Y829" t="s">
        <v>79</v>
      </c>
      <c r="Z829" t="s">
        <v>51</v>
      </c>
      <c r="AA829" s="2">
        <v>45414</v>
      </c>
      <c r="AB829" t="b">
        <v>1</v>
      </c>
      <c r="AC829" t="b">
        <v>0</v>
      </c>
      <c r="AD829" t="s">
        <v>74</v>
      </c>
      <c r="AE829" t="s">
        <v>53</v>
      </c>
      <c r="AF829">
        <v>8</v>
      </c>
    </row>
    <row r="830" spans="1:32" x14ac:dyDescent="0.25">
      <c r="A830" t="s">
        <v>1725</v>
      </c>
      <c r="B830">
        <v>828</v>
      </c>
      <c r="C830">
        <v>29</v>
      </c>
      <c r="D830" t="str">
        <f>IF(tbl_Original[[#This Row],[Gender2]]="Female","Female",IF(tbl_Original[[#This Row],[Gender2]]="Male","Male","Other"))</f>
        <v>Female</v>
      </c>
      <c r="E830" t="s">
        <v>29</v>
      </c>
      <c r="F830" t="s">
        <v>30</v>
      </c>
      <c r="G830" t="s">
        <v>76</v>
      </c>
      <c r="H830" t="s">
        <v>45</v>
      </c>
      <c r="I830" t="s">
        <v>44</v>
      </c>
      <c r="J830" t="str">
        <f>PROPER(TRIM(CLEAN(tbl_Original[[#This Row],[Column1]])))</f>
        <v>Honolulu</v>
      </c>
      <c r="K830" t="s">
        <v>1726</v>
      </c>
      <c r="L830" t="s">
        <v>1726</v>
      </c>
      <c r="M830" t="s">
        <v>246</v>
      </c>
      <c r="N830" s="1">
        <v>217.62</v>
      </c>
      <c r="O830">
        <v>3</v>
      </c>
      <c r="P830" t="s">
        <v>78</v>
      </c>
      <c r="Q830">
        <v>5</v>
      </c>
      <c r="R830">
        <v>2</v>
      </c>
      <c r="S830">
        <v>1</v>
      </c>
      <c r="T830" t="s">
        <v>44</v>
      </c>
      <c r="U830" t="s">
        <v>85</v>
      </c>
      <c r="V830">
        <v>2</v>
      </c>
      <c r="W830">
        <v>3</v>
      </c>
      <c r="X830" t="s">
        <v>59</v>
      </c>
      <c r="Y830" t="s">
        <v>60</v>
      </c>
      <c r="Z830" t="s">
        <v>51</v>
      </c>
      <c r="AA830" s="2">
        <v>45336</v>
      </c>
      <c r="AB830" t="b">
        <v>0</v>
      </c>
      <c r="AC830" t="b">
        <v>1</v>
      </c>
      <c r="AD830" t="s">
        <v>62</v>
      </c>
      <c r="AE830" t="s">
        <v>41</v>
      </c>
      <c r="AF830">
        <v>5</v>
      </c>
    </row>
    <row r="831" spans="1:32" x14ac:dyDescent="0.25">
      <c r="A831" t="s">
        <v>1727</v>
      </c>
      <c r="B831">
        <v>829</v>
      </c>
      <c r="C831">
        <v>21</v>
      </c>
      <c r="D831" t="str">
        <f>IF(tbl_Original[[#This Row],[Gender2]]="Female","Female",IF(tbl_Original[[#This Row],[Gender2]]="Male","Male","Other"))</f>
        <v>Male</v>
      </c>
      <c r="E831" t="s">
        <v>43</v>
      </c>
      <c r="F831" t="s">
        <v>30</v>
      </c>
      <c r="G831" t="s">
        <v>55</v>
      </c>
      <c r="H831" t="s">
        <v>32</v>
      </c>
      <c r="I831" t="s">
        <v>44</v>
      </c>
      <c r="J831" t="str">
        <f>PROPER(TRIM(CLEAN(tbl_Original[[#This Row],[Column1]])))</f>
        <v>Dhalie</v>
      </c>
      <c r="K831" t="s">
        <v>1728</v>
      </c>
      <c r="L831" t="s">
        <v>1728</v>
      </c>
      <c r="M831" t="s">
        <v>82</v>
      </c>
      <c r="N831" s="1">
        <v>226.04</v>
      </c>
      <c r="O831">
        <v>11</v>
      </c>
      <c r="P831" t="s">
        <v>78</v>
      </c>
      <c r="Q831">
        <v>4</v>
      </c>
      <c r="R831">
        <v>1</v>
      </c>
      <c r="S831">
        <v>1</v>
      </c>
      <c r="T831" t="s">
        <v>36</v>
      </c>
      <c r="U831" t="s">
        <v>85</v>
      </c>
      <c r="V831">
        <v>0</v>
      </c>
      <c r="W831">
        <v>9</v>
      </c>
      <c r="X831" t="s">
        <v>49</v>
      </c>
      <c r="Y831" t="s">
        <v>79</v>
      </c>
      <c r="Z831" t="s">
        <v>51</v>
      </c>
      <c r="AA831" s="2">
        <v>45426</v>
      </c>
      <c r="AB831" t="b">
        <v>1</v>
      </c>
      <c r="AC831" t="b">
        <v>0</v>
      </c>
      <c r="AD831" t="s">
        <v>52</v>
      </c>
      <c r="AE831" t="s">
        <v>67</v>
      </c>
      <c r="AF831">
        <v>12</v>
      </c>
    </row>
    <row r="832" spans="1:32" x14ac:dyDescent="0.25">
      <c r="A832" t="s">
        <v>1729</v>
      </c>
      <c r="B832">
        <v>830</v>
      </c>
      <c r="C832">
        <v>41</v>
      </c>
      <c r="D832" t="str">
        <f>IF(tbl_Original[[#This Row],[Gender2]]="Female","Female",IF(tbl_Original[[#This Row],[Gender2]]="Male","Male","Other"))</f>
        <v>Other</v>
      </c>
      <c r="E832" t="s">
        <v>148</v>
      </c>
      <c r="F832" t="s">
        <v>44</v>
      </c>
      <c r="G832" t="s">
        <v>55</v>
      </c>
      <c r="H832" t="s">
        <v>32</v>
      </c>
      <c r="I832" t="s">
        <v>44</v>
      </c>
      <c r="J832" t="str">
        <f>PROPER(TRIM(CLEAN(tbl_Original[[#This Row],[Column1]])))</f>
        <v>Giesteira</v>
      </c>
      <c r="K832" t="s">
        <v>1730</v>
      </c>
      <c r="L832" t="s">
        <v>1730</v>
      </c>
      <c r="M832" t="s">
        <v>114</v>
      </c>
      <c r="N832" s="1">
        <v>52.79</v>
      </c>
      <c r="O832">
        <v>4</v>
      </c>
      <c r="P832" t="s">
        <v>78</v>
      </c>
      <c r="Q832">
        <v>2</v>
      </c>
      <c r="R832">
        <v>2</v>
      </c>
      <c r="S832">
        <v>0</v>
      </c>
      <c r="T832" t="s">
        <v>59</v>
      </c>
      <c r="U832" t="s">
        <v>50</v>
      </c>
      <c r="V832">
        <v>1</v>
      </c>
      <c r="W832">
        <v>7</v>
      </c>
      <c r="X832" t="s">
        <v>36</v>
      </c>
      <c r="Y832" t="s">
        <v>38</v>
      </c>
      <c r="Z832" t="s">
        <v>61</v>
      </c>
      <c r="AA832" s="2">
        <v>45328</v>
      </c>
      <c r="AB832" t="b">
        <v>1</v>
      </c>
      <c r="AC832" t="b">
        <v>1</v>
      </c>
      <c r="AD832" t="s">
        <v>62</v>
      </c>
      <c r="AE832" t="s">
        <v>67</v>
      </c>
      <c r="AF832">
        <v>4</v>
      </c>
    </row>
    <row r="833" spans="1:32" x14ac:dyDescent="0.25">
      <c r="A833" t="s">
        <v>1731</v>
      </c>
      <c r="B833">
        <v>831</v>
      </c>
      <c r="C833">
        <v>43</v>
      </c>
      <c r="D833" t="str">
        <f>IF(tbl_Original[[#This Row],[Gender2]]="Female","Female",IF(tbl_Original[[#This Row],[Gender2]]="Male","Male","Other"))</f>
        <v>Male</v>
      </c>
      <c r="E833" t="s">
        <v>43</v>
      </c>
      <c r="F833" t="s">
        <v>30</v>
      </c>
      <c r="G833" t="s">
        <v>69</v>
      </c>
      <c r="H833" t="s">
        <v>45</v>
      </c>
      <c r="I833" t="s">
        <v>44</v>
      </c>
      <c r="J833" t="str">
        <f>PROPER(TRIM(CLEAN(tbl_Original[[#This Row],[Column1]])))</f>
        <v>Khilok</v>
      </c>
      <c r="K833" t="s">
        <v>1732</v>
      </c>
      <c r="L833" t="s">
        <v>1732</v>
      </c>
      <c r="M833" t="s">
        <v>246</v>
      </c>
      <c r="N833" s="1">
        <v>385.08</v>
      </c>
      <c r="O833">
        <v>7</v>
      </c>
      <c r="P833" t="s">
        <v>48</v>
      </c>
      <c r="Q833">
        <v>2</v>
      </c>
      <c r="R833">
        <v>4</v>
      </c>
      <c r="S833">
        <v>1</v>
      </c>
      <c r="T833" t="s">
        <v>44</v>
      </c>
      <c r="U833" t="s">
        <v>37</v>
      </c>
      <c r="V833">
        <v>1</v>
      </c>
      <c r="W833">
        <v>1</v>
      </c>
      <c r="X833" t="s">
        <v>59</v>
      </c>
      <c r="Y833" t="s">
        <v>38</v>
      </c>
      <c r="Z833" t="s">
        <v>61</v>
      </c>
      <c r="AA833" s="2">
        <v>45608</v>
      </c>
      <c r="AB833" t="b">
        <v>0</v>
      </c>
      <c r="AC833" t="b">
        <v>1</v>
      </c>
      <c r="AD833" t="s">
        <v>62</v>
      </c>
      <c r="AE833" t="s">
        <v>41</v>
      </c>
      <c r="AF833">
        <v>1</v>
      </c>
    </row>
    <row r="834" spans="1:32" x14ac:dyDescent="0.25">
      <c r="A834" t="s">
        <v>1733</v>
      </c>
      <c r="B834">
        <v>832</v>
      </c>
      <c r="C834">
        <v>33</v>
      </c>
      <c r="D834" t="str">
        <f>IF(tbl_Original[[#This Row],[Gender2]]="Female","Female",IF(tbl_Original[[#This Row],[Gender2]]="Male","Male","Other"))</f>
        <v>Male</v>
      </c>
      <c r="E834" t="s">
        <v>43</v>
      </c>
      <c r="F834" t="s">
        <v>44</v>
      </c>
      <c r="G834" t="s">
        <v>69</v>
      </c>
      <c r="H834" t="s">
        <v>56</v>
      </c>
      <c r="I834" t="s">
        <v>30</v>
      </c>
      <c r="J834" t="str">
        <f>PROPER(TRIM(CLEAN(tbl_Original[[#This Row],[Column1]])))</f>
        <v>Cimara</v>
      </c>
      <c r="K834" t="s">
        <v>918</v>
      </c>
      <c r="L834" t="s">
        <v>918</v>
      </c>
      <c r="M834" t="s">
        <v>107</v>
      </c>
      <c r="N834" s="1">
        <v>181.1</v>
      </c>
      <c r="O834">
        <v>2</v>
      </c>
      <c r="P834" t="s">
        <v>78</v>
      </c>
      <c r="Q834">
        <v>2</v>
      </c>
      <c r="R834">
        <v>5</v>
      </c>
      <c r="S834">
        <v>2</v>
      </c>
      <c r="T834" t="s">
        <v>59</v>
      </c>
      <c r="U834" t="s">
        <v>50</v>
      </c>
      <c r="V834">
        <v>2</v>
      </c>
      <c r="W834">
        <v>7</v>
      </c>
      <c r="X834" t="s">
        <v>59</v>
      </c>
      <c r="Y834" t="s">
        <v>38</v>
      </c>
      <c r="Z834" t="s">
        <v>39</v>
      </c>
      <c r="AA834" s="2">
        <v>45652</v>
      </c>
      <c r="AB834" t="b">
        <v>0</v>
      </c>
      <c r="AC834" t="b">
        <v>0</v>
      </c>
      <c r="AD834" t="s">
        <v>62</v>
      </c>
      <c r="AE834" t="s">
        <v>41</v>
      </c>
      <c r="AF834">
        <v>5</v>
      </c>
    </row>
    <row r="835" spans="1:32" x14ac:dyDescent="0.25">
      <c r="A835" t="s">
        <v>1734</v>
      </c>
      <c r="B835">
        <v>833</v>
      </c>
      <c r="C835">
        <v>23</v>
      </c>
      <c r="D835" t="str">
        <f>IF(tbl_Original[[#This Row],[Gender2]]="Female","Female",IF(tbl_Original[[#This Row],[Gender2]]="Male","Male","Other"))</f>
        <v>Female</v>
      </c>
      <c r="E835" t="s">
        <v>29</v>
      </c>
      <c r="F835" t="s">
        <v>30</v>
      </c>
      <c r="G835" t="s">
        <v>55</v>
      </c>
      <c r="H835" t="s">
        <v>56</v>
      </c>
      <c r="I835" t="s">
        <v>30</v>
      </c>
      <c r="J835" t="str">
        <f>PROPER(TRIM(CLEAN(tbl_Original[[#This Row],[Column1]])))</f>
        <v>Vereshchagino</v>
      </c>
      <c r="K835" t="s">
        <v>1735</v>
      </c>
      <c r="L835" t="s">
        <v>1735</v>
      </c>
      <c r="M835" t="s">
        <v>58</v>
      </c>
      <c r="N835" s="1">
        <v>246.41</v>
      </c>
      <c r="O835">
        <v>7</v>
      </c>
      <c r="P835" t="s">
        <v>48</v>
      </c>
      <c r="Q835">
        <v>2</v>
      </c>
      <c r="R835">
        <v>4</v>
      </c>
      <c r="S835">
        <v>0</v>
      </c>
      <c r="T835" t="s">
        <v>36</v>
      </c>
      <c r="U835" t="s">
        <v>37</v>
      </c>
      <c r="V835">
        <v>2</v>
      </c>
      <c r="W835">
        <v>8</v>
      </c>
      <c r="X835" t="s">
        <v>59</v>
      </c>
      <c r="Y835" t="s">
        <v>60</v>
      </c>
      <c r="Z835" t="s">
        <v>86</v>
      </c>
      <c r="AA835" s="2">
        <v>45566</v>
      </c>
      <c r="AB835" t="b">
        <v>1</v>
      </c>
      <c r="AC835" t="b">
        <v>0</v>
      </c>
      <c r="AD835" t="s">
        <v>40</v>
      </c>
      <c r="AE835" t="s">
        <v>53</v>
      </c>
      <c r="AF835">
        <v>11</v>
      </c>
    </row>
    <row r="836" spans="1:32" x14ac:dyDescent="0.25">
      <c r="A836" t="s">
        <v>1736</v>
      </c>
      <c r="B836">
        <v>834</v>
      </c>
      <c r="C836">
        <v>37</v>
      </c>
      <c r="D836" t="str">
        <f>IF(tbl_Original[[#This Row],[Gender2]]="Female","Female",IF(tbl_Original[[#This Row],[Gender2]]="Male","Male","Other"))</f>
        <v>Female</v>
      </c>
      <c r="E836" t="s">
        <v>29</v>
      </c>
      <c r="F836" t="s">
        <v>30</v>
      </c>
      <c r="G836" t="s">
        <v>76</v>
      </c>
      <c r="H836" t="s">
        <v>32</v>
      </c>
      <c r="I836" t="s">
        <v>44</v>
      </c>
      <c r="J836" t="str">
        <f>PROPER(TRIM(CLEAN(tbl_Original[[#This Row],[Column1]])))</f>
        <v>Binagadi</v>
      </c>
      <c r="K836" t="s">
        <v>1737</v>
      </c>
      <c r="L836" t="s">
        <v>1737</v>
      </c>
      <c r="M836" t="s">
        <v>123</v>
      </c>
      <c r="N836" s="1">
        <v>140.87</v>
      </c>
      <c r="O836">
        <v>8</v>
      </c>
      <c r="P836" t="s">
        <v>48</v>
      </c>
      <c r="Q836">
        <v>3</v>
      </c>
      <c r="R836">
        <v>3</v>
      </c>
      <c r="S836">
        <v>2</v>
      </c>
      <c r="T836" t="s">
        <v>59</v>
      </c>
      <c r="U836" t="s">
        <v>50</v>
      </c>
      <c r="V836">
        <v>2</v>
      </c>
      <c r="W836">
        <v>7</v>
      </c>
      <c r="X836" t="s">
        <v>49</v>
      </c>
      <c r="Y836" t="s">
        <v>38</v>
      </c>
      <c r="Z836" t="s">
        <v>66</v>
      </c>
      <c r="AA836" s="2">
        <v>45354</v>
      </c>
      <c r="AB836" t="b">
        <v>1</v>
      </c>
      <c r="AC836" t="b">
        <v>0</v>
      </c>
      <c r="AD836" t="s">
        <v>62</v>
      </c>
      <c r="AE836" t="s">
        <v>41</v>
      </c>
      <c r="AF836">
        <v>9</v>
      </c>
    </row>
    <row r="837" spans="1:32" x14ac:dyDescent="0.25">
      <c r="A837" t="s">
        <v>1738</v>
      </c>
      <c r="B837">
        <v>835</v>
      </c>
      <c r="C837">
        <v>34</v>
      </c>
      <c r="D837" t="str">
        <f>IF(tbl_Original[[#This Row],[Gender2]]="Female","Female",IF(tbl_Original[[#This Row],[Gender2]]="Male","Male","Other"))</f>
        <v>Female</v>
      </c>
      <c r="E837" t="s">
        <v>29</v>
      </c>
      <c r="F837" t="s">
        <v>44</v>
      </c>
      <c r="G837" t="s">
        <v>55</v>
      </c>
      <c r="H837" t="s">
        <v>56</v>
      </c>
      <c r="I837" t="s">
        <v>44</v>
      </c>
      <c r="J837" t="str">
        <f>PROPER(TRIM(CLEAN(tbl_Original[[#This Row],[Column1]])))</f>
        <v>Tsuen Wan</v>
      </c>
      <c r="K837" t="s">
        <v>1739</v>
      </c>
      <c r="L837" t="s">
        <v>1739</v>
      </c>
      <c r="M837" t="s">
        <v>120</v>
      </c>
      <c r="N837" s="1">
        <v>151.25</v>
      </c>
      <c r="O837">
        <v>2</v>
      </c>
      <c r="P837" t="s">
        <v>48</v>
      </c>
      <c r="Q837">
        <v>2</v>
      </c>
      <c r="R837">
        <v>5</v>
      </c>
      <c r="S837">
        <v>0</v>
      </c>
      <c r="T837" t="s">
        <v>49</v>
      </c>
      <c r="U837" t="s">
        <v>37</v>
      </c>
      <c r="V837">
        <v>1</v>
      </c>
      <c r="W837">
        <v>8</v>
      </c>
      <c r="X837" t="s">
        <v>49</v>
      </c>
      <c r="Y837" t="s">
        <v>38</v>
      </c>
      <c r="Z837" t="s">
        <v>61</v>
      </c>
      <c r="AA837" s="2">
        <v>45402</v>
      </c>
      <c r="AB837" t="b">
        <v>1</v>
      </c>
      <c r="AC837" t="b">
        <v>0</v>
      </c>
      <c r="AD837" t="s">
        <v>74</v>
      </c>
      <c r="AE837" t="s">
        <v>41</v>
      </c>
      <c r="AF837">
        <v>10</v>
      </c>
    </row>
    <row r="838" spans="1:32" x14ac:dyDescent="0.25">
      <c r="A838" t="s">
        <v>1740</v>
      </c>
      <c r="B838">
        <v>836</v>
      </c>
      <c r="C838">
        <v>27</v>
      </c>
      <c r="D838" t="str">
        <f>IF(tbl_Original[[#This Row],[Gender2]]="Female","Female",IF(tbl_Original[[#This Row],[Gender2]]="Male","Male","Other"))</f>
        <v>Male</v>
      </c>
      <c r="E838" t="s">
        <v>43</v>
      </c>
      <c r="F838" t="s">
        <v>44</v>
      </c>
      <c r="G838" t="s">
        <v>76</v>
      </c>
      <c r="H838" t="s">
        <v>56</v>
      </c>
      <c r="I838" t="s">
        <v>30</v>
      </c>
      <c r="J838" t="str">
        <f>PROPER(TRIM(CLEAN(tbl_Original[[#This Row],[Column1]])))</f>
        <v>Banjar Batanpoh</v>
      </c>
      <c r="K838" t="s">
        <v>1741</v>
      </c>
      <c r="L838" t="s">
        <v>1741</v>
      </c>
      <c r="M838" t="s">
        <v>107</v>
      </c>
      <c r="N838" s="1">
        <v>171.52</v>
      </c>
      <c r="O838">
        <v>3</v>
      </c>
      <c r="P838" t="s">
        <v>35</v>
      </c>
      <c r="Q838">
        <v>5</v>
      </c>
      <c r="R838">
        <v>5</v>
      </c>
      <c r="S838">
        <v>2</v>
      </c>
      <c r="T838" t="s">
        <v>49</v>
      </c>
      <c r="U838" t="s">
        <v>85</v>
      </c>
      <c r="V838">
        <v>1</v>
      </c>
      <c r="W838">
        <v>9</v>
      </c>
      <c r="X838" t="s">
        <v>49</v>
      </c>
      <c r="Y838" t="s">
        <v>60</v>
      </c>
      <c r="Z838" t="s">
        <v>86</v>
      </c>
      <c r="AA838" s="2">
        <v>45525</v>
      </c>
      <c r="AB838" t="b">
        <v>1</v>
      </c>
      <c r="AC838" t="b">
        <v>1</v>
      </c>
      <c r="AD838" t="s">
        <v>74</v>
      </c>
      <c r="AE838" t="s">
        <v>53</v>
      </c>
      <c r="AF838">
        <v>12</v>
      </c>
    </row>
    <row r="839" spans="1:32" x14ac:dyDescent="0.25">
      <c r="A839" t="s">
        <v>1742</v>
      </c>
      <c r="B839">
        <v>837</v>
      </c>
      <c r="C839">
        <v>40</v>
      </c>
      <c r="D839" t="str">
        <f>IF(tbl_Original[[#This Row],[Gender2]]="Female","Female",IF(tbl_Original[[#This Row],[Gender2]]="Male","Male","Other"))</f>
        <v>Male</v>
      </c>
      <c r="E839" t="s">
        <v>43</v>
      </c>
      <c r="F839" t="s">
        <v>30</v>
      </c>
      <c r="G839" t="s">
        <v>69</v>
      </c>
      <c r="H839" t="s">
        <v>56</v>
      </c>
      <c r="I839" t="s">
        <v>44</v>
      </c>
      <c r="J839" t="str">
        <f>PROPER(TRIM(CLEAN(tbl_Original[[#This Row],[Column1]])))</f>
        <v>Yenakiyeve</v>
      </c>
      <c r="K839" t="s">
        <v>1743</v>
      </c>
      <c r="L839" t="s">
        <v>1743</v>
      </c>
      <c r="M839" t="s">
        <v>90</v>
      </c>
      <c r="N839" s="1">
        <v>399.56</v>
      </c>
      <c r="O839">
        <v>10</v>
      </c>
      <c r="P839" t="s">
        <v>78</v>
      </c>
      <c r="Q839">
        <v>4</v>
      </c>
      <c r="R839">
        <v>2</v>
      </c>
      <c r="S839">
        <v>1</v>
      </c>
      <c r="T839" t="s">
        <v>59</v>
      </c>
      <c r="U839" t="s">
        <v>50</v>
      </c>
      <c r="V839">
        <v>0</v>
      </c>
      <c r="W839">
        <v>4</v>
      </c>
      <c r="X839" t="s">
        <v>49</v>
      </c>
      <c r="Y839" t="s">
        <v>79</v>
      </c>
      <c r="Z839" t="s">
        <v>86</v>
      </c>
      <c r="AA839" s="2">
        <v>45586</v>
      </c>
      <c r="AB839" t="b">
        <v>1</v>
      </c>
      <c r="AC839" t="b">
        <v>1</v>
      </c>
      <c r="AD839" t="s">
        <v>40</v>
      </c>
      <c r="AE839" t="s">
        <v>41</v>
      </c>
      <c r="AF839">
        <v>1</v>
      </c>
    </row>
    <row r="840" spans="1:32" x14ac:dyDescent="0.25">
      <c r="A840" t="s">
        <v>1744</v>
      </c>
      <c r="B840">
        <v>838</v>
      </c>
      <c r="C840">
        <v>40</v>
      </c>
      <c r="D840" t="str">
        <f>IF(tbl_Original[[#This Row],[Gender2]]="Female","Female",IF(tbl_Original[[#This Row],[Gender2]]="Male","Male","Other"))</f>
        <v>Female</v>
      </c>
      <c r="E840" t="s">
        <v>29</v>
      </c>
      <c r="F840" t="s">
        <v>30</v>
      </c>
      <c r="G840" t="s">
        <v>69</v>
      </c>
      <c r="H840" t="s">
        <v>56</v>
      </c>
      <c r="I840" t="s">
        <v>30</v>
      </c>
      <c r="J840" t="str">
        <f>PROPER(TRIM(CLEAN(tbl_Original[[#This Row],[Column1]])))</f>
        <v>San Ramon</v>
      </c>
      <c r="K840" t="s">
        <v>1745</v>
      </c>
      <c r="L840" t="s">
        <v>1745</v>
      </c>
      <c r="M840" t="s">
        <v>90</v>
      </c>
      <c r="N840" s="1">
        <v>173.46</v>
      </c>
      <c r="O840">
        <v>4</v>
      </c>
      <c r="P840" t="s">
        <v>35</v>
      </c>
      <c r="Q840">
        <v>5</v>
      </c>
      <c r="R840">
        <v>3</v>
      </c>
      <c r="S840">
        <v>1</v>
      </c>
      <c r="T840" t="s">
        <v>36</v>
      </c>
      <c r="U840" t="s">
        <v>50</v>
      </c>
      <c r="V840">
        <v>0</v>
      </c>
      <c r="W840">
        <v>9</v>
      </c>
      <c r="X840" t="s">
        <v>49</v>
      </c>
      <c r="Y840" t="s">
        <v>60</v>
      </c>
      <c r="Z840" t="s">
        <v>51</v>
      </c>
      <c r="AA840" s="2">
        <v>45393</v>
      </c>
      <c r="AB840" t="b">
        <v>0</v>
      </c>
      <c r="AC840" t="b">
        <v>1</v>
      </c>
      <c r="AD840" t="s">
        <v>52</v>
      </c>
      <c r="AE840" t="s">
        <v>41</v>
      </c>
      <c r="AF840">
        <v>2</v>
      </c>
    </row>
    <row r="841" spans="1:32" x14ac:dyDescent="0.25">
      <c r="A841" t="s">
        <v>1746</v>
      </c>
      <c r="B841">
        <v>839</v>
      </c>
      <c r="C841">
        <v>43</v>
      </c>
      <c r="D841" t="str">
        <f>IF(tbl_Original[[#This Row],[Gender2]]="Female","Female",IF(tbl_Original[[#This Row],[Gender2]]="Male","Male","Other"))</f>
        <v>Male</v>
      </c>
      <c r="E841" t="s">
        <v>43</v>
      </c>
      <c r="F841" t="s">
        <v>44</v>
      </c>
      <c r="G841" t="s">
        <v>69</v>
      </c>
      <c r="H841" t="s">
        <v>32</v>
      </c>
      <c r="I841" t="s">
        <v>44</v>
      </c>
      <c r="J841" t="str">
        <f>PROPER(TRIM(CLEAN(tbl_Original[[#This Row],[Column1]])))</f>
        <v>Sakt</v>
      </c>
      <c r="K841" t="s">
        <v>2255</v>
      </c>
      <c r="L841" t="s">
        <v>1747</v>
      </c>
      <c r="M841" t="s">
        <v>126</v>
      </c>
      <c r="N841" s="1">
        <v>332.14</v>
      </c>
      <c r="O841">
        <v>10</v>
      </c>
      <c r="P841" t="s">
        <v>78</v>
      </c>
      <c r="Q841">
        <v>4</v>
      </c>
      <c r="R841">
        <v>4</v>
      </c>
      <c r="S841">
        <v>0</v>
      </c>
      <c r="T841" t="s">
        <v>59</v>
      </c>
      <c r="U841" t="s">
        <v>37</v>
      </c>
      <c r="V841">
        <v>1</v>
      </c>
      <c r="W841">
        <v>2</v>
      </c>
      <c r="X841" t="s">
        <v>36</v>
      </c>
      <c r="Y841" t="s">
        <v>79</v>
      </c>
      <c r="Z841" t="s">
        <v>51</v>
      </c>
      <c r="AA841" s="2">
        <v>45331</v>
      </c>
      <c r="AB841" t="b">
        <v>1</v>
      </c>
      <c r="AC841" t="b">
        <v>1</v>
      </c>
      <c r="AD841" t="s">
        <v>74</v>
      </c>
      <c r="AE841" t="s">
        <v>41</v>
      </c>
      <c r="AF841">
        <v>13</v>
      </c>
    </row>
    <row r="842" spans="1:32" x14ac:dyDescent="0.25">
      <c r="A842" t="s">
        <v>1748</v>
      </c>
      <c r="B842">
        <v>840</v>
      </c>
      <c r="C842">
        <v>37</v>
      </c>
      <c r="D842" t="str">
        <f>IF(tbl_Original[[#This Row],[Gender2]]="Female","Female",IF(tbl_Original[[#This Row],[Gender2]]="Male","Male","Other"))</f>
        <v>Other</v>
      </c>
      <c r="E842" t="s">
        <v>190</v>
      </c>
      <c r="F842" t="s">
        <v>30</v>
      </c>
      <c r="G842" t="s">
        <v>55</v>
      </c>
      <c r="H842" t="s">
        <v>32</v>
      </c>
      <c r="I842" t="s">
        <v>30</v>
      </c>
      <c r="J842" t="str">
        <f>PROPER(TRIM(CLEAN(tbl_Original[[#This Row],[Column1]])))</f>
        <v>Pantenan</v>
      </c>
      <c r="K842" t="s">
        <v>1749</v>
      </c>
      <c r="L842" t="s">
        <v>1749</v>
      </c>
      <c r="M842" t="s">
        <v>47</v>
      </c>
      <c r="N842" s="1">
        <v>247.05</v>
      </c>
      <c r="O842">
        <v>8</v>
      </c>
      <c r="P842" t="s">
        <v>48</v>
      </c>
      <c r="Q842">
        <v>3</v>
      </c>
      <c r="R842">
        <v>2</v>
      </c>
      <c r="S842">
        <v>1</v>
      </c>
      <c r="T842" t="s">
        <v>59</v>
      </c>
      <c r="U842" t="s">
        <v>37</v>
      </c>
      <c r="V842">
        <v>1</v>
      </c>
      <c r="W842">
        <v>8</v>
      </c>
      <c r="X842" t="s">
        <v>44</v>
      </c>
      <c r="Y842" t="s">
        <v>79</v>
      </c>
      <c r="Z842" t="s">
        <v>86</v>
      </c>
      <c r="AA842" s="2">
        <v>45437</v>
      </c>
      <c r="AB842" t="b">
        <v>0</v>
      </c>
      <c r="AC842" t="b">
        <v>0</v>
      </c>
      <c r="AD842" t="s">
        <v>52</v>
      </c>
      <c r="AE842" t="s">
        <v>53</v>
      </c>
      <c r="AF842">
        <v>2</v>
      </c>
    </row>
    <row r="843" spans="1:32" x14ac:dyDescent="0.25">
      <c r="A843" t="s">
        <v>1750</v>
      </c>
      <c r="B843">
        <v>841</v>
      </c>
      <c r="C843">
        <v>49</v>
      </c>
      <c r="D843" t="str">
        <f>IF(tbl_Original[[#This Row],[Gender2]]="Female","Female",IF(tbl_Original[[#This Row],[Gender2]]="Male","Male","Other"))</f>
        <v>Male</v>
      </c>
      <c r="E843" t="s">
        <v>43</v>
      </c>
      <c r="F843" t="s">
        <v>44</v>
      </c>
      <c r="G843" t="s">
        <v>55</v>
      </c>
      <c r="H843" t="s">
        <v>32</v>
      </c>
      <c r="I843" t="s">
        <v>44</v>
      </c>
      <c r="J843" t="str">
        <f>PROPER(TRIM(CLEAN(tbl_Original[[#This Row],[Column1]])))</f>
        <v>Antrukan</v>
      </c>
      <c r="K843" t="s">
        <v>1751</v>
      </c>
      <c r="L843" t="s">
        <v>1751</v>
      </c>
      <c r="M843" t="s">
        <v>58</v>
      </c>
      <c r="N843" s="1">
        <v>365.88</v>
      </c>
      <c r="O843">
        <v>10</v>
      </c>
      <c r="P843" t="s">
        <v>35</v>
      </c>
      <c r="Q843">
        <v>4</v>
      </c>
      <c r="R843">
        <v>5</v>
      </c>
      <c r="S843">
        <v>1</v>
      </c>
      <c r="T843" t="s">
        <v>36</v>
      </c>
      <c r="U843" t="s">
        <v>37</v>
      </c>
      <c r="V843">
        <v>1</v>
      </c>
      <c r="W843">
        <v>1</v>
      </c>
      <c r="X843" t="s">
        <v>49</v>
      </c>
      <c r="Y843" t="s">
        <v>38</v>
      </c>
      <c r="Z843" t="s">
        <v>51</v>
      </c>
      <c r="AA843" s="2">
        <v>45398</v>
      </c>
      <c r="AB843" t="b">
        <v>0</v>
      </c>
      <c r="AC843" t="b">
        <v>0</v>
      </c>
      <c r="AD843" t="s">
        <v>52</v>
      </c>
      <c r="AE843" t="s">
        <v>67</v>
      </c>
      <c r="AF843">
        <v>9</v>
      </c>
    </row>
    <row r="844" spans="1:32" x14ac:dyDescent="0.25">
      <c r="A844" t="s">
        <v>1752</v>
      </c>
      <c r="B844">
        <v>842</v>
      </c>
      <c r="C844">
        <v>27</v>
      </c>
      <c r="D844" t="str">
        <f>IF(tbl_Original[[#This Row],[Gender2]]="Female","Female",IF(tbl_Original[[#This Row],[Gender2]]="Male","Male","Other"))</f>
        <v>Female</v>
      </c>
      <c r="E844" t="s">
        <v>29</v>
      </c>
      <c r="F844" t="s">
        <v>30</v>
      </c>
      <c r="G844" t="s">
        <v>31</v>
      </c>
      <c r="H844" t="s">
        <v>32</v>
      </c>
      <c r="I844" t="s">
        <v>30</v>
      </c>
      <c r="J844" t="str">
        <f>PROPER(TRIM(CLEAN(tbl_Original[[#This Row],[Column1]])))</f>
        <v>Dhahab</v>
      </c>
      <c r="K844" t="s">
        <v>1753</v>
      </c>
      <c r="L844" t="s">
        <v>1753</v>
      </c>
      <c r="M844" t="s">
        <v>126</v>
      </c>
      <c r="N844" s="1">
        <v>354.92</v>
      </c>
      <c r="O844">
        <v>8</v>
      </c>
      <c r="P844" t="s">
        <v>35</v>
      </c>
      <c r="Q844">
        <v>5</v>
      </c>
      <c r="R844">
        <v>4</v>
      </c>
      <c r="S844">
        <v>0</v>
      </c>
      <c r="T844" t="s">
        <v>36</v>
      </c>
      <c r="U844" t="s">
        <v>37</v>
      </c>
      <c r="V844">
        <v>0</v>
      </c>
      <c r="W844">
        <v>1</v>
      </c>
      <c r="X844" t="s">
        <v>36</v>
      </c>
      <c r="Y844" t="s">
        <v>38</v>
      </c>
      <c r="Z844" t="s">
        <v>61</v>
      </c>
      <c r="AA844" s="2">
        <v>45339</v>
      </c>
      <c r="AB844" t="b">
        <v>1</v>
      </c>
      <c r="AC844" t="b">
        <v>1</v>
      </c>
      <c r="AD844" t="s">
        <v>52</v>
      </c>
      <c r="AE844" t="s">
        <v>67</v>
      </c>
      <c r="AF844">
        <v>13</v>
      </c>
    </row>
    <row r="845" spans="1:32" x14ac:dyDescent="0.25">
      <c r="A845" t="s">
        <v>1754</v>
      </c>
      <c r="B845">
        <v>843</v>
      </c>
      <c r="C845">
        <v>19</v>
      </c>
      <c r="D845" t="str">
        <f>IF(tbl_Original[[#This Row],[Gender2]]="Female","Female",IF(tbl_Original[[#This Row],[Gender2]]="Male","Male","Other"))</f>
        <v>Female</v>
      </c>
      <c r="E845" t="s">
        <v>29</v>
      </c>
      <c r="F845" t="s">
        <v>44</v>
      </c>
      <c r="G845" t="s">
        <v>55</v>
      </c>
      <c r="H845" t="s">
        <v>45</v>
      </c>
      <c r="I845" t="s">
        <v>44</v>
      </c>
      <c r="J845" t="str">
        <f>PROPER(TRIM(CLEAN(tbl_Original[[#This Row],[Column1]])))</f>
        <v>Vetluga</v>
      </c>
      <c r="K845" t="s">
        <v>1755</v>
      </c>
      <c r="L845" t="s">
        <v>1755</v>
      </c>
      <c r="M845" t="s">
        <v>246</v>
      </c>
      <c r="N845" s="1">
        <v>195.46</v>
      </c>
      <c r="O845">
        <v>10</v>
      </c>
      <c r="P845" t="s">
        <v>35</v>
      </c>
      <c r="Q845">
        <v>5</v>
      </c>
      <c r="R845">
        <v>3</v>
      </c>
      <c r="S845">
        <v>2</v>
      </c>
      <c r="T845" t="s">
        <v>36</v>
      </c>
      <c r="U845" t="s">
        <v>50</v>
      </c>
      <c r="V845">
        <v>0</v>
      </c>
      <c r="W845">
        <v>10</v>
      </c>
      <c r="X845" t="s">
        <v>59</v>
      </c>
      <c r="Y845" t="s">
        <v>38</v>
      </c>
      <c r="Z845" t="s">
        <v>66</v>
      </c>
      <c r="AA845" s="2">
        <v>45480</v>
      </c>
      <c r="AB845" t="b">
        <v>1</v>
      </c>
      <c r="AC845" t="b">
        <v>0</v>
      </c>
      <c r="AD845" t="s">
        <v>62</v>
      </c>
      <c r="AE845" t="s">
        <v>53</v>
      </c>
      <c r="AF845">
        <v>9</v>
      </c>
    </row>
    <row r="846" spans="1:32" x14ac:dyDescent="0.25">
      <c r="A846" t="s">
        <v>1756</v>
      </c>
      <c r="B846">
        <v>844</v>
      </c>
      <c r="C846">
        <v>40</v>
      </c>
      <c r="D846" t="str">
        <f>IF(tbl_Original[[#This Row],[Gender2]]="Female","Female",IF(tbl_Original[[#This Row],[Gender2]]="Male","Male","Other"))</f>
        <v>Female</v>
      </c>
      <c r="E846" t="s">
        <v>29</v>
      </c>
      <c r="F846" t="s">
        <v>44</v>
      </c>
      <c r="G846" t="s">
        <v>31</v>
      </c>
      <c r="H846" t="s">
        <v>56</v>
      </c>
      <c r="I846" t="s">
        <v>30</v>
      </c>
      <c r="J846" t="str">
        <f>PROPER(TRIM(CLEAN(tbl_Original[[#This Row],[Column1]])))</f>
        <v>Wolfsberg</v>
      </c>
      <c r="K846" t="s">
        <v>1757</v>
      </c>
      <c r="L846" t="s">
        <v>1757</v>
      </c>
      <c r="M846" t="s">
        <v>82</v>
      </c>
      <c r="N846" s="1">
        <v>474.03</v>
      </c>
      <c r="O846">
        <v>7</v>
      </c>
      <c r="P846" t="s">
        <v>48</v>
      </c>
      <c r="Q846">
        <v>3</v>
      </c>
      <c r="R846">
        <v>1</v>
      </c>
      <c r="S846">
        <v>1</v>
      </c>
      <c r="T846" t="s">
        <v>49</v>
      </c>
      <c r="U846" t="s">
        <v>37</v>
      </c>
      <c r="V846">
        <v>0</v>
      </c>
      <c r="W846">
        <v>6</v>
      </c>
      <c r="X846" t="s">
        <v>44</v>
      </c>
      <c r="Y846" t="s">
        <v>79</v>
      </c>
      <c r="Z846" t="s">
        <v>66</v>
      </c>
      <c r="AA846" s="2">
        <v>45507</v>
      </c>
      <c r="AB846" t="b">
        <v>1</v>
      </c>
      <c r="AC846" t="b">
        <v>1</v>
      </c>
      <c r="AD846" t="s">
        <v>40</v>
      </c>
      <c r="AE846" t="s">
        <v>53</v>
      </c>
      <c r="AF846">
        <v>13</v>
      </c>
    </row>
    <row r="847" spans="1:32" x14ac:dyDescent="0.25">
      <c r="A847" t="s">
        <v>1758</v>
      </c>
      <c r="B847">
        <v>845</v>
      </c>
      <c r="C847">
        <v>27</v>
      </c>
      <c r="D847" t="str">
        <f>IF(tbl_Original[[#This Row],[Gender2]]="Female","Female",IF(tbl_Original[[#This Row],[Gender2]]="Male","Male","Other"))</f>
        <v>Male</v>
      </c>
      <c r="E847" t="s">
        <v>43</v>
      </c>
      <c r="F847" t="s">
        <v>30</v>
      </c>
      <c r="G847" t="s">
        <v>31</v>
      </c>
      <c r="H847" t="s">
        <v>32</v>
      </c>
      <c r="I847" t="s">
        <v>44</v>
      </c>
      <c r="J847" t="str">
        <f>PROPER(TRIM(CLEAN(tbl_Original[[#This Row],[Column1]])))</f>
        <v>San Bautista</v>
      </c>
      <c r="K847" t="s">
        <v>1759</v>
      </c>
      <c r="L847" t="s">
        <v>1759</v>
      </c>
      <c r="M847" t="s">
        <v>101</v>
      </c>
      <c r="N847" s="1">
        <v>106.96</v>
      </c>
      <c r="O847">
        <v>6</v>
      </c>
      <c r="P847" t="s">
        <v>48</v>
      </c>
      <c r="Q847">
        <v>3</v>
      </c>
      <c r="R847">
        <v>1</v>
      </c>
      <c r="S847">
        <v>2</v>
      </c>
      <c r="T847" t="s">
        <v>59</v>
      </c>
      <c r="U847" t="s">
        <v>50</v>
      </c>
      <c r="V847">
        <v>0</v>
      </c>
      <c r="W847">
        <v>7</v>
      </c>
      <c r="X847" t="s">
        <v>49</v>
      </c>
      <c r="Y847" t="s">
        <v>38</v>
      </c>
      <c r="Z847" t="s">
        <v>61</v>
      </c>
      <c r="AA847" s="2">
        <v>45360</v>
      </c>
      <c r="AB847" t="b">
        <v>1</v>
      </c>
      <c r="AC847" t="b">
        <v>1</v>
      </c>
      <c r="AD847" t="s">
        <v>62</v>
      </c>
      <c r="AE847" t="s">
        <v>53</v>
      </c>
      <c r="AF847">
        <v>3</v>
      </c>
    </row>
    <row r="848" spans="1:32" x14ac:dyDescent="0.25">
      <c r="A848" t="s">
        <v>1760</v>
      </c>
      <c r="B848">
        <v>846</v>
      </c>
      <c r="C848">
        <v>29</v>
      </c>
      <c r="D848" t="str">
        <f>IF(tbl_Original[[#This Row],[Gender2]]="Female","Female",IF(tbl_Original[[#This Row],[Gender2]]="Male","Male","Other"))</f>
        <v>Female</v>
      </c>
      <c r="E848" t="s">
        <v>29</v>
      </c>
      <c r="F848" t="s">
        <v>30</v>
      </c>
      <c r="G848" t="s">
        <v>31</v>
      </c>
      <c r="H848" t="s">
        <v>56</v>
      </c>
      <c r="I848" t="s">
        <v>44</v>
      </c>
      <c r="J848" t="str">
        <f>PROPER(TRIM(CLEAN(tbl_Original[[#This Row],[Column1]])))</f>
        <v>Reuleuet</v>
      </c>
      <c r="K848" t="s">
        <v>1761</v>
      </c>
      <c r="L848" t="s">
        <v>1761</v>
      </c>
      <c r="M848" t="s">
        <v>117</v>
      </c>
      <c r="N848" s="1">
        <v>371.84</v>
      </c>
      <c r="O848">
        <v>9</v>
      </c>
      <c r="P848" t="s">
        <v>48</v>
      </c>
      <c r="Q848">
        <v>5</v>
      </c>
      <c r="R848">
        <v>4</v>
      </c>
      <c r="S848">
        <v>0</v>
      </c>
      <c r="T848" t="s">
        <v>36</v>
      </c>
      <c r="U848" t="s">
        <v>50</v>
      </c>
      <c r="V848">
        <v>2</v>
      </c>
      <c r="W848">
        <v>6</v>
      </c>
      <c r="X848" t="s">
        <v>36</v>
      </c>
      <c r="Y848" t="s">
        <v>38</v>
      </c>
      <c r="Z848" t="s">
        <v>66</v>
      </c>
      <c r="AA848" s="2">
        <v>45501</v>
      </c>
      <c r="AB848" t="b">
        <v>0</v>
      </c>
      <c r="AC848" t="b">
        <v>1</v>
      </c>
      <c r="AD848" t="s">
        <v>62</v>
      </c>
      <c r="AE848" t="s">
        <v>53</v>
      </c>
      <c r="AF848">
        <v>2</v>
      </c>
    </row>
    <row r="849" spans="1:32" x14ac:dyDescent="0.25">
      <c r="A849" t="s">
        <v>1762</v>
      </c>
      <c r="B849">
        <v>847</v>
      </c>
      <c r="C849">
        <v>45</v>
      </c>
      <c r="D849" t="str">
        <f>IF(tbl_Original[[#This Row],[Gender2]]="Female","Female",IF(tbl_Original[[#This Row],[Gender2]]="Male","Male","Other"))</f>
        <v>Other</v>
      </c>
      <c r="E849" t="s">
        <v>212</v>
      </c>
      <c r="F849" t="s">
        <v>44</v>
      </c>
      <c r="G849" t="s">
        <v>55</v>
      </c>
      <c r="H849" t="s">
        <v>32</v>
      </c>
      <c r="I849" t="s">
        <v>44</v>
      </c>
      <c r="J849" t="str">
        <f>PROPER(TRIM(CLEAN(tbl_Original[[#This Row],[Column1]])))</f>
        <v>Lonpao Dajah</v>
      </c>
      <c r="K849" t="s">
        <v>1763</v>
      </c>
      <c r="L849" t="s">
        <v>1763</v>
      </c>
      <c r="M849" t="s">
        <v>142</v>
      </c>
      <c r="N849" s="1">
        <v>461.16</v>
      </c>
      <c r="O849">
        <v>8</v>
      </c>
      <c r="P849" t="s">
        <v>35</v>
      </c>
      <c r="Q849">
        <v>1</v>
      </c>
      <c r="R849">
        <v>4</v>
      </c>
      <c r="S849">
        <v>1</v>
      </c>
      <c r="T849" t="s">
        <v>44</v>
      </c>
      <c r="U849" t="s">
        <v>50</v>
      </c>
      <c r="V849">
        <v>0</v>
      </c>
      <c r="W849">
        <v>3</v>
      </c>
      <c r="X849" t="s">
        <v>49</v>
      </c>
      <c r="Y849" t="s">
        <v>60</v>
      </c>
      <c r="Z849" t="s">
        <v>66</v>
      </c>
      <c r="AA849" s="2">
        <v>45351</v>
      </c>
      <c r="AB849" t="b">
        <v>1</v>
      </c>
      <c r="AC849" t="b">
        <v>1</v>
      </c>
      <c r="AD849" t="s">
        <v>74</v>
      </c>
      <c r="AE849" t="s">
        <v>67</v>
      </c>
      <c r="AF849">
        <v>14</v>
      </c>
    </row>
    <row r="850" spans="1:32" x14ac:dyDescent="0.25">
      <c r="A850" t="s">
        <v>1764</v>
      </c>
      <c r="B850">
        <v>848</v>
      </c>
      <c r="C850">
        <v>24</v>
      </c>
      <c r="D850" t="str">
        <f>IF(tbl_Original[[#This Row],[Gender2]]="Female","Female",IF(tbl_Original[[#This Row],[Gender2]]="Male","Male","Other"))</f>
        <v>Female</v>
      </c>
      <c r="E850" t="s">
        <v>29</v>
      </c>
      <c r="F850" t="s">
        <v>44</v>
      </c>
      <c r="G850" t="s">
        <v>55</v>
      </c>
      <c r="H850" t="s">
        <v>45</v>
      </c>
      <c r="I850" t="s">
        <v>30</v>
      </c>
      <c r="J850" t="str">
        <f>PROPER(TRIM(CLEAN(tbl_Original[[#This Row],[Column1]])))</f>
        <v>Nanqiao</v>
      </c>
      <c r="K850" t="s">
        <v>1765</v>
      </c>
      <c r="L850" t="s">
        <v>1765</v>
      </c>
      <c r="M850" t="s">
        <v>82</v>
      </c>
      <c r="N850" s="1">
        <v>497.75</v>
      </c>
      <c r="O850">
        <v>11</v>
      </c>
      <c r="P850" t="s">
        <v>48</v>
      </c>
      <c r="Q850">
        <v>4</v>
      </c>
      <c r="R850">
        <v>1</v>
      </c>
      <c r="S850">
        <v>2</v>
      </c>
      <c r="T850" t="s">
        <v>36</v>
      </c>
      <c r="U850" t="s">
        <v>85</v>
      </c>
      <c r="V850">
        <v>2</v>
      </c>
      <c r="W850">
        <v>1</v>
      </c>
      <c r="X850" t="s">
        <v>49</v>
      </c>
      <c r="Y850" t="s">
        <v>60</v>
      </c>
      <c r="Z850" t="s">
        <v>86</v>
      </c>
      <c r="AA850" s="2">
        <v>45476</v>
      </c>
      <c r="AB850" t="b">
        <v>1</v>
      </c>
      <c r="AC850" t="b">
        <v>0</v>
      </c>
      <c r="AD850" t="s">
        <v>52</v>
      </c>
      <c r="AE850" t="s">
        <v>67</v>
      </c>
      <c r="AF850">
        <v>13</v>
      </c>
    </row>
    <row r="851" spans="1:32" x14ac:dyDescent="0.25">
      <c r="A851" t="s">
        <v>1766</v>
      </c>
      <c r="B851">
        <v>849</v>
      </c>
      <c r="C851">
        <v>45</v>
      </c>
      <c r="D851" t="str">
        <f>IF(tbl_Original[[#This Row],[Gender2]]="Female","Female",IF(tbl_Original[[#This Row],[Gender2]]="Male","Male","Other"))</f>
        <v>Female</v>
      </c>
      <c r="E851" t="s">
        <v>29</v>
      </c>
      <c r="F851" t="s">
        <v>30</v>
      </c>
      <c r="G851" t="s">
        <v>31</v>
      </c>
      <c r="H851" t="s">
        <v>56</v>
      </c>
      <c r="I851" t="s">
        <v>30</v>
      </c>
      <c r="J851" t="str">
        <f>PROPER(TRIM(CLEAN(tbl_Original[[#This Row],[Column1]])))</f>
        <v>San Carlos</v>
      </c>
      <c r="K851" t="s">
        <v>1684</v>
      </c>
      <c r="L851" t="s">
        <v>1684</v>
      </c>
      <c r="M851" t="s">
        <v>104</v>
      </c>
      <c r="N851" s="1">
        <v>492.83</v>
      </c>
      <c r="O851">
        <v>5</v>
      </c>
      <c r="P851" t="s">
        <v>78</v>
      </c>
      <c r="Q851">
        <v>2</v>
      </c>
      <c r="R851">
        <v>1</v>
      </c>
      <c r="S851">
        <v>0</v>
      </c>
      <c r="T851" t="s">
        <v>44</v>
      </c>
      <c r="U851" t="s">
        <v>85</v>
      </c>
      <c r="V851">
        <v>0</v>
      </c>
      <c r="W851">
        <v>4</v>
      </c>
      <c r="X851" t="s">
        <v>44</v>
      </c>
      <c r="Y851" t="s">
        <v>38</v>
      </c>
      <c r="Z851" t="s">
        <v>61</v>
      </c>
      <c r="AA851" s="2">
        <v>45353</v>
      </c>
      <c r="AB851" t="b">
        <v>1</v>
      </c>
      <c r="AC851" t="b">
        <v>0</v>
      </c>
      <c r="AD851" t="s">
        <v>40</v>
      </c>
      <c r="AE851" t="s">
        <v>41</v>
      </c>
      <c r="AF851">
        <v>2</v>
      </c>
    </row>
    <row r="852" spans="1:32" x14ac:dyDescent="0.25">
      <c r="A852" t="s">
        <v>1767</v>
      </c>
      <c r="B852">
        <v>850</v>
      </c>
      <c r="C852">
        <v>39</v>
      </c>
      <c r="D852" t="str">
        <f>IF(tbl_Original[[#This Row],[Gender2]]="Female","Female",IF(tbl_Original[[#This Row],[Gender2]]="Male","Male","Other"))</f>
        <v>Female</v>
      </c>
      <c r="E852" t="s">
        <v>29</v>
      </c>
      <c r="F852" t="s">
        <v>30</v>
      </c>
      <c r="G852" t="s">
        <v>76</v>
      </c>
      <c r="H852" t="s">
        <v>45</v>
      </c>
      <c r="I852" t="s">
        <v>30</v>
      </c>
      <c r="J852" t="str">
        <f>PROPER(TRIM(CLEAN(tbl_Original[[#This Row],[Column1]])))</f>
        <v>Ishikawa</v>
      </c>
      <c r="K852" t="s">
        <v>1768</v>
      </c>
      <c r="L852" t="s">
        <v>1768</v>
      </c>
      <c r="M852" t="s">
        <v>158</v>
      </c>
      <c r="N852" s="1">
        <v>295.54000000000002</v>
      </c>
      <c r="O852">
        <v>8</v>
      </c>
      <c r="P852" t="s">
        <v>78</v>
      </c>
      <c r="Q852">
        <v>3</v>
      </c>
      <c r="R852">
        <v>3</v>
      </c>
      <c r="S852">
        <v>1</v>
      </c>
      <c r="T852" t="s">
        <v>36</v>
      </c>
      <c r="U852" t="s">
        <v>85</v>
      </c>
      <c r="V852">
        <v>2</v>
      </c>
      <c r="W852">
        <v>4</v>
      </c>
      <c r="X852" t="s">
        <v>59</v>
      </c>
      <c r="Y852" t="s">
        <v>38</v>
      </c>
      <c r="Z852" t="s">
        <v>86</v>
      </c>
      <c r="AA852" s="2">
        <v>45500</v>
      </c>
      <c r="AB852" t="b">
        <v>0</v>
      </c>
      <c r="AC852" t="b">
        <v>0</v>
      </c>
      <c r="AD852" t="s">
        <v>74</v>
      </c>
      <c r="AE852" t="s">
        <v>67</v>
      </c>
      <c r="AF852">
        <v>14</v>
      </c>
    </row>
    <row r="853" spans="1:32" x14ac:dyDescent="0.25">
      <c r="A853" t="s">
        <v>1769</v>
      </c>
      <c r="B853">
        <v>851</v>
      </c>
      <c r="C853">
        <v>40</v>
      </c>
      <c r="D853" t="str">
        <f>IF(tbl_Original[[#This Row],[Gender2]]="Female","Female",IF(tbl_Original[[#This Row],[Gender2]]="Male","Male","Other"))</f>
        <v>Male</v>
      </c>
      <c r="E853" t="s">
        <v>43</v>
      </c>
      <c r="F853" t="s">
        <v>44</v>
      </c>
      <c r="G853" t="s">
        <v>69</v>
      </c>
      <c r="H853" t="s">
        <v>45</v>
      </c>
      <c r="I853" t="s">
        <v>44</v>
      </c>
      <c r="J853" t="str">
        <f>PROPER(TRIM(CLEAN(tbl_Original[[#This Row],[Column1]])))</f>
        <v>Oguma</v>
      </c>
      <c r="K853" t="s">
        <v>1770</v>
      </c>
      <c r="L853" t="s">
        <v>1770</v>
      </c>
      <c r="M853" t="s">
        <v>71</v>
      </c>
      <c r="N853" s="1">
        <v>494.81</v>
      </c>
      <c r="O853">
        <v>9</v>
      </c>
      <c r="P853" t="s">
        <v>35</v>
      </c>
      <c r="Q853">
        <v>2</v>
      </c>
      <c r="R853">
        <v>4</v>
      </c>
      <c r="S853">
        <v>1</v>
      </c>
      <c r="T853" t="s">
        <v>49</v>
      </c>
      <c r="U853" t="s">
        <v>85</v>
      </c>
      <c r="V853">
        <v>1</v>
      </c>
      <c r="W853">
        <v>7</v>
      </c>
      <c r="X853" t="s">
        <v>49</v>
      </c>
      <c r="Y853" t="s">
        <v>38</v>
      </c>
      <c r="Z853" t="s">
        <v>51</v>
      </c>
      <c r="AA853" s="2">
        <v>45438</v>
      </c>
      <c r="AB853" t="b">
        <v>1</v>
      </c>
      <c r="AC853" t="b">
        <v>1</v>
      </c>
      <c r="AD853" t="s">
        <v>40</v>
      </c>
      <c r="AE853" t="s">
        <v>53</v>
      </c>
      <c r="AF853">
        <v>6</v>
      </c>
    </row>
    <row r="854" spans="1:32" x14ac:dyDescent="0.25">
      <c r="A854" t="s">
        <v>1771</v>
      </c>
      <c r="B854">
        <v>852</v>
      </c>
      <c r="C854">
        <v>21</v>
      </c>
      <c r="D854" t="str">
        <f>IF(tbl_Original[[#This Row],[Gender2]]="Female","Female",IF(tbl_Original[[#This Row],[Gender2]]="Male","Male","Other"))</f>
        <v>Female</v>
      </c>
      <c r="E854" t="s">
        <v>29</v>
      </c>
      <c r="F854" t="s">
        <v>44</v>
      </c>
      <c r="G854" t="s">
        <v>55</v>
      </c>
      <c r="H854" t="s">
        <v>56</v>
      </c>
      <c r="I854" t="s">
        <v>30</v>
      </c>
      <c r="J854" t="str">
        <f>PROPER(TRIM(CLEAN(tbl_Original[[#This Row],[Column1]])))</f>
        <v>Tany</v>
      </c>
      <c r="K854" t="s">
        <v>2256</v>
      </c>
      <c r="L854" t="s">
        <v>1772</v>
      </c>
      <c r="M854" t="s">
        <v>93</v>
      </c>
      <c r="N854" s="1">
        <v>160.25</v>
      </c>
      <c r="O854">
        <v>7</v>
      </c>
      <c r="P854" t="s">
        <v>78</v>
      </c>
      <c r="Q854">
        <v>2</v>
      </c>
      <c r="R854">
        <v>3</v>
      </c>
      <c r="S854">
        <v>2</v>
      </c>
      <c r="T854" t="s">
        <v>36</v>
      </c>
      <c r="U854" t="s">
        <v>85</v>
      </c>
      <c r="V854">
        <v>2</v>
      </c>
      <c r="W854">
        <v>5</v>
      </c>
      <c r="X854" t="s">
        <v>44</v>
      </c>
      <c r="Y854" t="s">
        <v>79</v>
      </c>
      <c r="Z854" t="s">
        <v>51</v>
      </c>
      <c r="AA854" s="2">
        <v>45355</v>
      </c>
      <c r="AB854" t="b">
        <v>1</v>
      </c>
      <c r="AC854" t="b">
        <v>1</v>
      </c>
      <c r="AD854" t="s">
        <v>40</v>
      </c>
      <c r="AE854" t="s">
        <v>41</v>
      </c>
      <c r="AF854">
        <v>12</v>
      </c>
    </row>
    <row r="855" spans="1:32" x14ac:dyDescent="0.25">
      <c r="A855" t="s">
        <v>1773</v>
      </c>
      <c r="B855">
        <v>853</v>
      </c>
      <c r="C855">
        <v>42</v>
      </c>
      <c r="D855" t="str">
        <f>IF(tbl_Original[[#This Row],[Gender2]]="Female","Female",IF(tbl_Original[[#This Row],[Gender2]]="Male","Male","Other"))</f>
        <v>Female</v>
      </c>
      <c r="E855" t="s">
        <v>29</v>
      </c>
      <c r="F855" t="s">
        <v>30</v>
      </c>
      <c r="G855" t="s">
        <v>31</v>
      </c>
      <c r="H855" t="s">
        <v>56</v>
      </c>
      <c r="I855" t="s">
        <v>44</v>
      </c>
      <c r="J855" t="str">
        <f>PROPER(TRIM(CLEAN(tbl_Original[[#This Row],[Column1]])))</f>
        <v>Aksha</v>
      </c>
      <c r="K855" t="s">
        <v>1774</v>
      </c>
      <c r="L855" t="s">
        <v>1774</v>
      </c>
      <c r="M855" t="s">
        <v>34</v>
      </c>
      <c r="N855" s="1">
        <v>198.36</v>
      </c>
      <c r="O855">
        <v>4</v>
      </c>
      <c r="P855" t="s">
        <v>78</v>
      </c>
      <c r="Q855">
        <v>1</v>
      </c>
      <c r="R855">
        <v>1</v>
      </c>
      <c r="S855">
        <v>2</v>
      </c>
      <c r="T855" t="s">
        <v>36</v>
      </c>
      <c r="U855" t="s">
        <v>37</v>
      </c>
      <c r="V855">
        <v>1</v>
      </c>
      <c r="W855">
        <v>9</v>
      </c>
      <c r="X855" t="s">
        <v>36</v>
      </c>
      <c r="Y855" t="s">
        <v>79</v>
      </c>
      <c r="Z855" t="s">
        <v>86</v>
      </c>
      <c r="AA855" s="2">
        <v>45639</v>
      </c>
      <c r="AB855" t="b">
        <v>0</v>
      </c>
      <c r="AC855" t="b">
        <v>1</v>
      </c>
      <c r="AD855" t="s">
        <v>52</v>
      </c>
      <c r="AE855" t="s">
        <v>53</v>
      </c>
      <c r="AF855">
        <v>4</v>
      </c>
    </row>
    <row r="856" spans="1:32" x14ac:dyDescent="0.25">
      <c r="A856" t="s">
        <v>1775</v>
      </c>
      <c r="B856">
        <v>854</v>
      </c>
      <c r="C856">
        <v>44</v>
      </c>
      <c r="D856" t="str">
        <f>IF(tbl_Original[[#This Row],[Gender2]]="Female","Female",IF(tbl_Original[[#This Row],[Gender2]]="Male","Male","Other"))</f>
        <v>Female</v>
      </c>
      <c r="E856" t="s">
        <v>29</v>
      </c>
      <c r="F856" t="s">
        <v>30</v>
      </c>
      <c r="G856" t="s">
        <v>76</v>
      </c>
      <c r="H856" t="s">
        <v>32</v>
      </c>
      <c r="I856" t="s">
        <v>44</v>
      </c>
      <c r="J856" t="str">
        <f>PROPER(TRIM(CLEAN(tbl_Original[[#This Row],[Column1]])))</f>
        <v>Lahan Sai</v>
      </c>
      <c r="K856" t="s">
        <v>1776</v>
      </c>
      <c r="L856" t="s">
        <v>1776</v>
      </c>
      <c r="M856" t="s">
        <v>71</v>
      </c>
      <c r="N856" s="1">
        <v>82.39</v>
      </c>
      <c r="O856">
        <v>12</v>
      </c>
      <c r="P856" t="s">
        <v>48</v>
      </c>
      <c r="Q856">
        <v>5</v>
      </c>
      <c r="R856">
        <v>1</v>
      </c>
      <c r="S856">
        <v>1</v>
      </c>
      <c r="T856" t="s">
        <v>36</v>
      </c>
      <c r="U856" t="s">
        <v>37</v>
      </c>
      <c r="V856">
        <v>0</v>
      </c>
      <c r="W856">
        <v>8</v>
      </c>
      <c r="X856" t="s">
        <v>36</v>
      </c>
      <c r="Y856" t="s">
        <v>60</v>
      </c>
      <c r="Z856" t="s">
        <v>66</v>
      </c>
      <c r="AA856" s="2">
        <v>45346</v>
      </c>
      <c r="AB856" t="b">
        <v>0</v>
      </c>
      <c r="AC856" t="b">
        <v>0</v>
      </c>
      <c r="AD856" t="s">
        <v>74</v>
      </c>
      <c r="AE856" t="s">
        <v>67</v>
      </c>
      <c r="AF856">
        <v>1</v>
      </c>
    </row>
    <row r="857" spans="1:32" x14ac:dyDescent="0.25">
      <c r="A857" t="s">
        <v>1777</v>
      </c>
      <c r="B857">
        <v>855</v>
      </c>
      <c r="C857">
        <v>46</v>
      </c>
      <c r="D857" t="str">
        <f>IF(tbl_Original[[#This Row],[Gender2]]="Female","Female",IF(tbl_Original[[#This Row],[Gender2]]="Male","Male","Other"))</f>
        <v>Female</v>
      </c>
      <c r="E857" t="s">
        <v>29</v>
      </c>
      <c r="F857" t="s">
        <v>30</v>
      </c>
      <c r="G857" t="s">
        <v>31</v>
      </c>
      <c r="H857" t="s">
        <v>56</v>
      </c>
      <c r="I857" t="s">
        <v>44</v>
      </c>
      <c r="J857" t="str">
        <f>PROPER(TRIM(CLEAN(tbl_Original[[#This Row],[Column1]])))</f>
        <v>Estncia</v>
      </c>
      <c r="K857" t="s">
        <v>2257</v>
      </c>
      <c r="L857" t="s">
        <v>1778</v>
      </c>
      <c r="M857" t="s">
        <v>107</v>
      </c>
      <c r="N857" s="1">
        <v>290.56</v>
      </c>
      <c r="O857">
        <v>3</v>
      </c>
      <c r="P857" t="s">
        <v>48</v>
      </c>
      <c r="Q857">
        <v>5</v>
      </c>
      <c r="R857">
        <v>1</v>
      </c>
      <c r="S857">
        <v>2</v>
      </c>
      <c r="T857" t="s">
        <v>36</v>
      </c>
      <c r="U857" t="s">
        <v>37</v>
      </c>
      <c r="V857">
        <v>1</v>
      </c>
      <c r="W857">
        <v>1</v>
      </c>
      <c r="X857" t="s">
        <v>36</v>
      </c>
      <c r="Y857" t="s">
        <v>79</v>
      </c>
      <c r="Z857" t="s">
        <v>51</v>
      </c>
      <c r="AA857" s="2">
        <v>45363</v>
      </c>
      <c r="AB857" t="b">
        <v>1</v>
      </c>
      <c r="AC857" t="b">
        <v>0</v>
      </c>
      <c r="AD857" t="s">
        <v>52</v>
      </c>
      <c r="AE857" t="s">
        <v>41</v>
      </c>
      <c r="AF857">
        <v>4</v>
      </c>
    </row>
    <row r="858" spans="1:32" x14ac:dyDescent="0.25">
      <c r="A858" t="s">
        <v>1779</v>
      </c>
      <c r="B858">
        <v>856</v>
      </c>
      <c r="C858">
        <v>29</v>
      </c>
      <c r="D858" t="str">
        <f>IF(tbl_Original[[#This Row],[Gender2]]="Female","Female",IF(tbl_Original[[#This Row],[Gender2]]="Male","Male","Other"))</f>
        <v>Male</v>
      </c>
      <c r="E858" t="s">
        <v>43</v>
      </c>
      <c r="F858" t="s">
        <v>44</v>
      </c>
      <c r="G858" t="s">
        <v>76</v>
      </c>
      <c r="H858" t="s">
        <v>56</v>
      </c>
      <c r="I858" t="s">
        <v>44</v>
      </c>
      <c r="J858" t="str">
        <f>PROPER(TRIM(CLEAN(tbl_Original[[#This Row],[Column1]])))</f>
        <v>Las Lomas</v>
      </c>
      <c r="K858" t="s">
        <v>1780</v>
      </c>
      <c r="L858" t="s">
        <v>1780</v>
      </c>
      <c r="M858" t="s">
        <v>101</v>
      </c>
      <c r="N858" s="1">
        <v>206.79</v>
      </c>
      <c r="O858">
        <v>5</v>
      </c>
      <c r="P858" t="s">
        <v>48</v>
      </c>
      <c r="Q858">
        <v>1</v>
      </c>
      <c r="R858">
        <v>3</v>
      </c>
      <c r="S858">
        <v>2</v>
      </c>
      <c r="T858" t="s">
        <v>44</v>
      </c>
      <c r="U858" t="s">
        <v>85</v>
      </c>
      <c r="V858">
        <v>1</v>
      </c>
      <c r="W858">
        <v>2</v>
      </c>
      <c r="X858" t="s">
        <v>59</v>
      </c>
      <c r="Y858" t="s">
        <v>38</v>
      </c>
      <c r="Z858" t="s">
        <v>39</v>
      </c>
      <c r="AA858" s="2">
        <v>45525</v>
      </c>
      <c r="AB858" t="b">
        <v>0</v>
      </c>
      <c r="AC858" t="b">
        <v>0</v>
      </c>
      <c r="AD858" t="s">
        <v>74</v>
      </c>
      <c r="AE858" t="s">
        <v>53</v>
      </c>
      <c r="AF858">
        <v>4</v>
      </c>
    </row>
    <row r="859" spans="1:32" x14ac:dyDescent="0.25">
      <c r="A859" t="s">
        <v>1781</v>
      </c>
      <c r="B859">
        <v>857</v>
      </c>
      <c r="C859">
        <v>19</v>
      </c>
      <c r="D859" t="str">
        <f>IF(tbl_Original[[#This Row],[Gender2]]="Female","Female",IF(tbl_Original[[#This Row],[Gender2]]="Male","Male","Other"))</f>
        <v>Female</v>
      </c>
      <c r="E859" t="s">
        <v>29</v>
      </c>
      <c r="F859" t="s">
        <v>30</v>
      </c>
      <c r="G859" t="s">
        <v>31</v>
      </c>
      <c r="H859" t="s">
        <v>45</v>
      </c>
      <c r="I859" t="s">
        <v>44</v>
      </c>
      <c r="J859" t="str">
        <f>PROPER(TRIM(CLEAN(tbl_Original[[#This Row],[Column1]])))</f>
        <v>Xiamayu</v>
      </c>
      <c r="K859" t="s">
        <v>1782</v>
      </c>
      <c r="L859" t="s">
        <v>1782</v>
      </c>
      <c r="M859" t="s">
        <v>123</v>
      </c>
      <c r="N859" s="1">
        <v>401.43</v>
      </c>
      <c r="O859">
        <v>8</v>
      </c>
      <c r="P859" t="s">
        <v>35</v>
      </c>
      <c r="Q859">
        <v>4</v>
      </c>
      <c r="R859">
        <v>2</v>
      </c>
      <c r="S859">
        <v>0</v>
      </c>
      <c r="T859" t="s">
        <v>36</v>
      </c>
      <c r="U859" t="s">
        <v>50</v>
      </c>
      <c r="V859">
        <v>0</v>
      </c>
      <c r="W859">
        <v>6</v>
      </c>
      <c r="X859" t="s">
        <v>44</v>
      </c>
      <c r="Y859" t="s">
        <v>38</v>
      </c>
      <c r="Z859" t="s">
        <v>66</v>
      </c>
      <c r="AA859" s="2">
        <v>45435</v>
      </c>
      <c r="AB859" t="b">
        <v>1</v>
      </c>
      <c r="AC859" t="b">
        <v>1</v>
      </c>
      <c r="AD859" t="s">
        <v>40</v>
      </c>
      <c r="AE859" t="s">
        <v>41</v>
      </c>
      <c r="AF859">
        <v>5</v>
      </c>
    </row>
    <row r="860" spans="1:32" x14ac:dyDescent="0.25">
      <c r="A860" t="s">
        <v>1783</v>
      </c>
      <c r="B860">
        <v>858</v>
      </c>
      <c r="C860">
        <v>21</v>
      </c>
      <c r="D860" t="str">
        <f>IF(tbl_Original[[#This Row],[Gender2]]="Female","Female",IF(tbl_Original[[#This Row],[Gender2]]="Male","Male","Other"))</f>
        <v>Male</v>
      </c>
      <c r="E860" t="s">
        <v>43</v>
      </c>
      <c r="F860" t="s">
        <v>44</v>
      </c>
      <c r="G860" t="s">
        <v>69</v>
      </c>
      <c r="H860" t="s">
        <v>56</v>
      </c>
      <c r="I860" t="s">
        <v>44</v>
      </c>
      <c r="J860" t="str">
        <f>PROPER(TRIM(CLEAN(tbl_Original[[#This Row],[Column1]])))</f>
        <v>Iapari</v>
      </c>
      <c r="K860" t="s">
        <v>2258</v>
      </c>
      <c r="L860" t="s">
        <v>1784</v>
      </c>
      <c r="M860" t="s">
        <v>90</v>
      </c>
      <c r="N860" s="1">
        <v>188.17</v>
      </c>
      <c r="O860">
        <v>9</v>
      </c>
      <c r="P860" t="s">
        <v>78</v>
      </c>
      <c r="Q860">
        <v>5</v>
      </c>
      <c r="R860">
        <v>5</v>
      </c>
      <c r="S860">
        <v>0</v>
      </c>
      <c r="T860" t="s">
        <v>49</v>
      </c>
      <c r="U860" t="s">
        <v>50</v>
      </c>
      <c r="V860">
        <v>1</v>
      </c>
      <c r="W860">
        <v>5</v>
      </c>
      <c r="X860" t="s">
        <v>59</v>
      </c>
      <c r="Y860" t="s">
        <v>79</v>
      </c>
      <c r="Z860" t="s">
        <v>61</v>
      </c>
      <c r="AA860" s="2">
        <v>45438</v>
      </c>
      <c r="AB860" t="b">
        <v>1</v>
      </c>
      <c r="AC860" t="b">
        <v>0</v>
      </c>
      <c r="AD860" t="s">
        <v>40</v>
      </c>
      <c r="AE860" t="s">
        <v>53</v>
      </c>
      <c r="AF860">
        <v>9</v>
      </c>
    </row>
    <row r="861" spans="1:32" x14ac:dyDescent="0.25">
      <c r="A861" t="s">
        <v>1785</v>
      </c>
      <c r="B861">
        <v>859</v>
      </c>
      <c r="C861">
        <v>38</v>
      </c>
      <c r="D861" t="str">
        <f>IF(tbl_Original[[#This Row],[Gender2]]="Female","Female",IF(tbl_Original[[#This Row],[Gender2]]="Male","Male","Other"))</f>
        <v>Female</v>
      </c>
      <c r="E861" t="s">
        <v>29</v>
      </c>
      <c r="F861" t="s">
        <v>44</v>
      </c>
      <c r="G861" t="s">
        <v>55</v>
      </c>
      <c r="H861" t="s">
        <v>45</v>
      </c>
      <c r="I861" t="s">
        <v>44</v>
      </c>
      <c r="J861" t="str">
        <f>PROPER(TRIM(CLEAN(tbl_Original[[#This Row],[Column1]])))</f>
        <v>Orsay</v>
      </c>
      <c r="K861" t="s">
        <v>1786</v>
      </c>
      <c r="L861" t="s">
        <v>1786</v>
      </c>
      <c r="M861" t="s">
        <v>34</v>
      </c>
      <c r="N861" s="1">
        <v>83.21</v>
      </c>
      <c r="O861">
        <v>10</v>
      </c>
      <c r="P861" t="s">
        <v>78</v>
      </c>
      <c r="Q861">
        <v>4</v>
      </c>
      <c r="R861">
        <v>3</v>
      </c>
      <c r="S861">
        <v>2</v>
      </c>
      <c r="T861" t="s">
        <v>59</v>
      </c>
      <c r="U861" t="s">
        <v>37</v>
      </c>
      <c r="V861">
        <v>0</v>
      </c>
      <c r="W861">
        <v>4</v>
      </c>
      <c r="X861" t="s">
        <v>44</v>
      </c>
      <c r="Y861" t="s">
        <v>79</v>
      </c>
      <c r="Z861" t="s">
        <v>66</v>
      </c>
      <c r="AA861" s="2">
        <v>45371</v>
      </c>
      <c r="AB861" t="b">
        <v>0</v>
      </c>
      <c r="AC861" t="b">
        <v>0</v>
      </c>
      <c r="AD861" t="s">
        <v>62</v>
      </c>
      <c r="AE861" t="s">
        <v>53</v>
      </c>
      <c r="AF861">
        <v>7</v>
      </c>
    </row>
    <row r="862" spans="1:32" x14ac:dyDescent="0.25">
      <c r="A862" t="s">
        <v>1787</v>
      </c>
      <c r="B862">
        <v>860</v>
      </c>
      <c r="C862">
        <v>41</v>
      </c>
      <c r="D862" t="str">
        <f>IF(tbl_Original[[#This Row],[Gender2]]="Female","Female",IF(tbl_Original[[#This Row],[Gender2]]="Male","Male","Other"))</f>
        <v>Other</v>
      </c>
      <c r="E862" t="s">
        <v>88</v>
      </c>
      <c r="F862" t="s">
        <v>30</v>
      </c>
      <c r="G862" t="s">
        <v>76</v>
      </c>
      <c r="H862" t="s">
        <v>56</v>
      </c>
      <c r="I862" t="s">
        <v>30</v>
      </c>
      <c r="J862" t="str">
        <f>PROPER(TRIM(CLEAN(tbl_Original[[#This Row],[Column1]])))</f>
        <v>Zhongying</v>
      </c>
      <c r="K862" t="s">
        <v>1788</v>
      </c>
      <c r="L862" t="s">
        <v>1788</v>
      </c>
      <c r="M862" t="s">
        <v>34</v>
      </c>
      <c r="N862" s="1">
        <v>54.74</v>
      </c>
      <c r="O862">
        <v>4</v>
      </c>
      <c r="P862" t="s">
        <v>48</v>
      </c>
      <c r="Q862">
        <v>1</v>
      </c>
      <c r="R862">
        <v>2</v>
      </c>
      <c r="S862">
        <v>0</v>
      </c>
      <c r="T862" t="s">
        <v>36</v>
      </c>
      <c r="U862" t="s">
        <v>37</v>
      </c>
      <c r="V862">
        <v>0</v>
      </c>
      <c r="W862">
        <v>4</v>
      </c>
      <c r="X862" t="s">
        <v>59</v>
      </c>
      <c r="Y862" t="s">
        <v>60</v>
      </c>
      <c r="Z862" t="s">
        <v>51</v>
      </c>
      <c r="AA862" s="2">
        <v>45568</v>
      </c>
      <c r="AB862" t="b">
        <v>1</v>
      </c>
      <c r="AC862" t="b">
        <v>1</v>
      </c>
      <c r="AD862" t="s">
        <v>62</v>
      </c>
      <c r="AE862" t="s">
        <v>41</v>
      </c>
      <c r="AF862">
        <v>14</v>
      </c>
    </row>
    <row r="863" spans="1:32" x14ac:dyDescent="0.25">
      <c r="A863" t="s">
        <v>1789</v>
      </c>
      <c r="B863">
        <v>861</v>
      </c>
      <c r="C863">
        <v>49</v>
      </c>
      <c r="D863" t="str">
        <f>IF(tbl_Original[[#This Row],[Gender2]]="Female","Female",IF(tbl_Original[[#This Row],[Gender2]]="Male","Male","Other"))</f>
        <v>Female</v>
      </c>
      <c r="E863" t="s">
        <v>29</v>
      </c>
      <c r="F863" t="s">
        <v>44</v>
      </c>
      <c r="G863" t="s">
        <v>76</v>
      </c>
      <c r="H863" t="s">
        <v>56</v>
      </c>
      <c r="I863" t="s">
        <v>44</v>
      </c>
      <c r="J863" t="str">
        <f>PROPER(TRIM(CLEAN(tbl_Original[[#This Row],[Column1]])))</f>
        <v>Bayn</v>
      </c>
      <c r="K863" t="s">
        <v>2144</v>
      </c>
      <c r="L863" t="s">
        <v>1790</v>
      </c>
      <c r="M863" t="s">
        <v>58</v>
      </c>
      <c r="N863" s="1">
        <v>371.12</v>
      </c>
      <c r="O863">
        <v>8</v>
      </c>
      <c r="P863" t="s">
        <v>78</v>
      </c>
      <c r="Q863">
        <v>5</v>
      </c>
      <c r="R863">
        <v>1</v>
      </c>
      <c r="S863">
        <v>2</v>
      </c>
      <c r="T863" t="s">
        <v>44</v>
      </c>
      <c r="U863" t="s">
        <v>37</v>
      </c>
      <c r="V863">
        <v>1</v>
      </c>
      <c r="W863">
        <v>7</v>
      </c>
      <c r="X863" t="s">
        <v>59</v>
      </c>
      <c r="Y863" t="s">
        <v>60</v>
      </c>
      <c r="Z863" t="s">
        <v>51</v>
      </c>
      <c r="AA863" s="2">
        <v>45527</v>
      </c>
      <c r="AB863" t="b">
        <v>0</v>
      </c>
      <c r="AC863" t="b">
        <v>1</v>
      </c>
      <c r="AD863" t="s">
        <v>52</v>
      </c>
      <c r="AE863" t="s">
        <v>41</v>
      </c>
      <c r="AF863">
        <v>8</v>
      </c>
    </row>
    <row r="864" spans="1:32" x14ac:dyDescent="0.25">
      <c r="A864" t="s">
        <v>1791</v>
      </c>
      <c r="B864">
        <v>862</v>
      </c>
      <c r="C864">
        <v>32</v>
      </c>
      <c r="D864" t="str">
        <f>IF(tbl_Original[[#This Row],[Gender2]]="Female","Female",IF(tbl_Original[[#This Row],[Gender2]]="Male","Male","Other"))</f>
        <v>Other</v>
      </c>
      <c r="E864" t="s">
        <v>148</v>
      </c>
      <c r="F864" t="s">
        <v>30</v>
      </c>
      <c r="G864" t="s">
        <v>55</v>
      </c>
      <c r="H864" t="s">
        <v>45</v>
      </c>
      <c r="I864" t="s">
        <v>30</v>
      </c>
      <c r="J864" t="str">
        <f>PROPER(TRIM(CLEAN(tbl_Original[[#This Row],[Column1]])))</f>
        <v>Beizhakou</v>
      </c>
      <c r="K864" t="s">
        <v>1792</v>
      </c>
      <c r="L864" t="s">
        <v>1792</v>
      </c>
      <c r="M864" t="s">
        <v>114</v>
      </c>
      <c r="N864" s="1">
        <v>293.64</v>
      </c>
      <c r="O864">
        <v>3</v>
      </c>
      <c r="P864" t="s">
        <v>48</v>
      </c>
      <c r="Q864">
        <v>2</v>
      </c>
      <c r="R864">
        <v>1</v>
      </c>
      <c r="S864">
        <v>2</v>
      </c>
      <c r="T864" t="s">
        <v>59</v>
      </c>
      <c r="U864" t="s">
        <v>50</v>
      </c>
      <c r="V864">
        <v>2</v>
      </c>
      <c r="W864">
        <v>8</v>
      </c>
      <c r="X864" t="s">
        <v>36</v>
      </c>
      <c r="Y864" t="s">
        <v>38</v>
      </c>
      <c r="Z864" t="s">
        <v>39</v>
      </c>
      <c r="AA864" s="2">
        <v>45552</v>
      </c>
      <c r="AB864" t="b">
        <v>1</v>
      </c>
      <c r="AC864" t="b">
        <v>0</v>
      </c>
      <c r="AD864" t="s">
        <v>62</v>
      </c>
      <c r="AE864" t="s">
        <v>67</v>
      </c>
      <c r="AF864">
        <v>5</v>
      </c>
    </row>
    <row r="865" spans="1:32" x14ac:dyDescent="0.25">
      <c r="A865" t="s">
        <v>1793</v>
      </c>
      <c r="B865">
        <v>863</v>
      </c>
      <c r="C865">
        <v>24</v>
      </c>
      <c r="D865" t="str">
        <f>IF(tbl_Original[[#This Row],[Gender2]]="Female","Female",IF(tbl_Original[[#This Row],[Gender2]]="Male","Male","Other"))</f>
        <v>Male</v>
      </c>
      <c r="E865" t="s">
        <v>43</v>
      </c>
      <c r="F865" t="s">
        <v>44</v>
      </c>
      <c r="G865" t="s">
        <v>31</v>
      </c>
      <c r="H865" t="s">
        <v>45</v>
      </c>
      <c r="I865" t="s">
        <v>44</v>
      </c>
      <c r="J865" t="str">
        <f>PROPER(TRIM(CLEAN(tbl_Original[[#This Row],[Column1]])))</f>
        <v>Kyngsng</v>
      </c>
      <c r="K865" t="s">
        <v>2259</v>
      </c>
      <c r="L865" t="s">
        <v>1794</v>
      </c>
      <c r="M865" t="s">
        <v>82</v>
      </c>
      <c r="N865" s="1">
        <v>185.83</v>
      </c>
      <c r="O865">
        <v>11</v>
      </c>
      <c r="P865" t="s">
        <v>48</v>
      </c>
      <c r="Q865">
        <v>4</v>
      </c>
      <c r="R865">
        <v>2</v>
      </c>
      <c r="S865">
        <v>2</v>
      </c>
      <c r="T865" t="s">
        <v>59</v>
      </c>
      <c r="U865" t="s">
        <v>50</v>
      </c>
      <c r="V865">
        <v>2</v>
      </c>
      <c r="W865">
        <v>9</v>
      </c>
      <c r="X865" t="s">
        <v>49</v>
      </c>
      <c r="Y865" t="s">
        <v>79</v>
      </c>
      <c r="Z865" t="s">
        <v>66</v>
      </c>
      <c r="AA865" s="2">
        <v>45582</v>
      </c>
      <c r="AB865" t="b">
        <v>0</v>
      </c>
      <c r="AC865" t="b">
        <v>1</v>
      </c>
      <c r="AD865" t="s">
        <v>62</v>
      </c>
      <c r="AE865" t="s">
        <v>53</v>
      </c>
      <c r="AF865">
        <v>1</v>
      </c>
    </row>
    <row r="866" spans="1:32" x14ac:dyDescent="0.25">
      <c r="A866" t="s">
        <v>1795</v>
      </c>
      <c r="B866">
        <v>864</v>
      </c>
      <c r="C866">
        <v>27</v>
      </c>
      <c r="D866" t="str">
        <f>IF(tbl_Original[[#This Row],[Gender2]]="Female","Female",IF(tbl_Original[[#This Row],[Gender2]]="Male","Male","Other"))</f>
        <v>Male</v>
      </c>
      <c r="E866" t="s">
        <v>43</v>
      </c>
      <c r="F866" t="s">
        <v>44</v>
      </c>
      <c r="G866" t="s">
        <v>76</v>
      </c>
      <c r="H866" t="s">
        <v>56</v>
      </c>
      <c r="I866" t="s">
        <v>30</v>
      </c>
      <c r="J866" t="str">
        <f>PROPER(TRIM(CLEAN(tbl_Original[[#This Row],[Column1]])))</f>
        <v>Turinsk</v>
      </c>
      <c r="K866" t="s">
        <v>1796</v>
      </c>
      <c r="L866" t="s">
        <v>1796</v>
      </c>
      <c r="M866" t="s">
        <v>58</v>
      </c>
      <c r="N866" s="1">
        <v>117.13</v>
      </c>
      <c r="O866">
        <v>7</v>
      </c>
      <c r="P866" t="s">
        <v>35</v>
      </c>
      <c r="Q866">
        <v>1</v>
      </c>
      <c r="R866">
        <v>1</v>
      </c>
      <c r="S866">
        <v>2</v>
      </c>
      <c r="T866" t="s">
        <v>44</v>
      </c>
      <c r="U866" t="s">
        <v>37</v>
      </c>
      <c r="V866">
        <v>1</v>
      </c>
      <c r="W866">
        <v>10</v>
      </c>
      <c r="X866" t="s">
        <v>44</v>
      </c>
      <c r="Y866" t="s">
        <v>60</v>
      </c>
      <c r="Z866" t="s">
        <v>39</v>
      </c>
      <c r="AA866" s="2">
        <v>45512</v>
      </c>
      <c r="AB866" t="b">
        <v>1</v>
      </c>
      <c r="AC866" t="b">
        <v>1</v>
      </c>
      <c r="AD866" t="s">
        <v>74</v>
      </c>
      <c r="AE866" t="s">
        <v>67</v>
      </c>
      <c r="AF866">
        <v>6</v>
      </c>
    </row>
    <row r="867" spans="1:32" x14ac:dyDescent="0.25">
      <c r="A867" t="s">
        <v>1797</v>
      </c>
      <c r="B867">
        <v>865</v>
      </c>
      <c r="C867">
        <v>44</v>
      </c>
      <c r="D867" t="str">
        <f>IF(tbl_Original[[#This Row],[Gender2]]="Female","Female",IF(tbl_Original[[#This Row],[Gender2]]="Male","Male","Other"))</f>
        <v>Female</v>
      </c>
      <c r="E867" t="s">
        <v>29</v>
      </c>
      <c r="F867" t="s">
        <v>30</v>
      </c>
      <c r="G867" t="s">
        <v>31</v>
      </c>
      <c r="H867" t="s">
        <v>56</v>
      </c>
      <c r="I867" t="s">
        <v>44</v>
      </c>
      <c r="J867" t="str">
        <f>PROPER(TRIM(CLEAN(tbl_Original[[#This Row],[Column1]])))</f>
        <v>As Sawd</v>
      </c>
      <c r="K867" t="s">
        <v>2145</v>
      </c>
      <c r="L867" t="s">
        <v>1798</v>
      </c>
      <c r="M867" t="s">
        <v>58</v>
      </c>
      <c r="N867" s="1">
        <v>52.24</v>
      </c>
      <c r="O867">
        <v>11</v>
      </c>
      <c r="P867" t="s">
        <v>48</v>
      </c>
      <c r="Q867">
        <v>3</v>
      </c>
      <c r="R867">
        <v>1</v>
      </c>
      <c r="S867">
        <v>0</v>
      </c>
      <c r="T867" t="s">
        <v>59</v>
      </c>
      <c r="U867" t="s">
        <v>50</v>
      </c>
      <c r="V867">
        <v>2</v>
      </c>
      <c r="W867">
        <v>4</v>
      </c>
      <c r="X867" t="s">
        <v>44</v>
      </c>
      <c r="Y867" t="s">
        <v>60</v>
      </c>
      <c r="Z867" t="s">
        <v>39</v>
      </c>
      <c r="AA867" s="2">
        <v>45638</v>
      </c>
      <c r="AB867" t="b">
        <v>1</v>
      </c>
      <c r="AC867" t="b">
        <v>1</v>
      </c>
      <c r="AD867" t="s">
        <v>62</v>
      </c>
      <c r="AE867" t="s">
        <v>53</v>
      </c>
      <c r="AF867">
        <v>8</v>
      </c>
    </row>
    <row r="868" spans="1:32" x14ac:dyDescent="0.25">
      <c r="A868" t="s">
        <v>1799</v>
      </c>
      <c r="B868">
        <v>866</v>
      </c>
      <c r="C868">
        <v>28</v>
      </c>
      <c r="D868" t="str">
        <f>IF(tbl_Original[[#This Row],[Gender2]]="Female","Female",IF(tbl_Original[[#This Row],[Gender2]]="Male","Male","Other"))</f>
        <v>Female</v>
      </c>
      <c r="E868" t="s">
        <v>29</v>
      </c>
      <c r="F868" t="s">
        <v>44</v>
      </c>
      <c r="G868" t="s">
        <v>31</v>
      </c>
      <c r="H868" t="s">
        <v>32</v>
      </c>
      <c r="I868" t="s">
        <v>44</v>
      </c>
      <c r="J868" t="str">
        <f>PROPER(TRIM(CLEAN(tbl_Original[[#This Row],[Column1]])))</f>
        <v>Legaspi</v>
      </c>
      <c r="K868" t="s">
        <v>1800</v>
      </c>
      <c r="L868" t="s">
        <v>1800</v>
      </c>
      <c r="M868" t="s">
        <v>123</v>
      </c>
      <c r="N868" s="1">
        <v>446.69</v>
      </c>
      <c r="O868">
        <v>7</v>
      </c>
      <c r="P868" t="s">
        <v>48</v>
      </c>
      <c r="Q868">
        <v>4</v>
      </c>
      <c r="R868">
        <v>5</v>
      </c>
      <c r="S868">
        <v>2</v>
      </c>
      <c r="T868" t="s">
        <v>49</v>
      </c>
      <c r="U868" t="s">
        <v>37</v>
      </c>
      <c r="V868">
        <v>1</v>
      </c>
      <c r="W868">
        <v>5</v>
      </c>
      <c r="X868" t="s">
        <v>44</v>
      </c>
      <c r="Y868" t="s">
        <v>60</v>
      </c>
      <c r="Z868" t="s">
        <v>86</v>
      </c>
      <c r="AA868" s="2">
        <v>45455</v>
      </c>
      <c r="AB868" t="b">
        <v>0</v>
      </c>
      <c r="AC868" t="b">
        <v>1</v>
      </c>
      <c r="AD868" t="s">
        <v>74</v>
      </c>
      <c r="AE868" t="s">
        <v>41</v>
      </c>
      <c r="AF868">
        <v>13</v>
      </c>
    </row>
    <row r="869" spans="1:32" x14ac:dyDescent="0.25">
      <c r="A869" t="s">
        <v>1801</v>
      </c>
      <c r="B869">
        <v>867</v>
      </c>
      <c r="C869">
        <v>23</v>
      </c>
      <c r="D869" t="str">
        <f>IF(tbl_Original[[#This Row],[Gender2]]="Female","Female",IF(tbl_Original[[#This Row],[Gender2]]="Male","Male","Other"))</f>
        <v>Male</v>
      </c>
      <c r="E869" t="s">
        <v>43</v>
      </c>
      <c r="F869" t="s">
        <v>30</v>
      </c>
      <c r="G869" t="s">
        <v>31</v>
      </c>
      <c r="H869" t="s">
        <v>45</v>
      </c>
      <c r="I869" t="s">
        <v>30</v>
      </c>
      <c r="J869" t="str">
        <f>PROPER(TRIM(CLEAN(tbl_Original[[#This Row],[Column1]])))</f>
        <v>Shimorskoye</v>
      </c>
      <c r="K869" t="s">
        <v>1802</v>
      </c>
      <c r="L869" t="s">
        <v>1802</v>
      </c>
      <c r="M869" t="s">
        <v>114</v>
      </c>
      <c r="N869" s="1">
        <v>216.84</v>
      </c>
      <c r="O869">
        <v>5</v>
      </c>
      <c r="P869" t="s">
        <v>48</v>
      </c>
      <c r="Q869">
        <v>4</v>
      </c>
      <c r="R869">
        <v>3</v>
      </c>
      <c r="S869">
        <v>1</v>
      </c>
      <c r="T869" t="s">
        <v>59</v>
      </c>
      <c r="U869" t="s">
        <v>37</v>
      </c>
      <c r="V869">
        <v>1</v>
      </c>
      <c r="W869">
        <v>1</v>
      </c>
      <c r="X869" t="s">
        <v>59</v>
      </c>
      <c r="Y869" t="s">
        <v>38</v>
      </c>
      <c r="Z869" t="s">
        <v>51</v>
      </c>
      <c r="AA869" s="2">
        <v>45379</v>
      </c>
      <c r="AB869" t="b">
        <v>0</v>
      </c>
      <c r="AC869" t="b">
        <v>0</v>
      </c>
      <c r="AD869" t="s">
        <v>74</v>
      </c>
      <c r="AE869" t="s">
        <v>67</v>
      </c>
      <c r="AF869">
        <v>5</v>
      </c>
    </row>
    <row r="870" spans="1:32" x14ac:dyDescent="0.25">
      <c r="A870" t="s">
        <v>1803</v>
      </c>
      <c r="B870">
        <v>868</v>
      </c>
      <c r="C870">
        <v>42</v>
      </c>
      <c r="D870" t="str">
        <f>IF(tbl_Original[[#This Row],[Gender2]]="Female","Female",IF(tbl_Original[[#This Row],[Gender2]]="Male","Male","Other"))</f>
        <v>Female</v>
      </c>
      <c r="E870" t="s">
        <v>29</v>
      </c>
      <c r="F870" t="s">
        <v>44</v>
      </c>
      <c r="G870" t="s">
        <v>76</v>
      </c>
      <c r="H870" t="s">
        <v>45</v>
      </c>
      <c r="I870" t="s">
        <v>44</v>
      </c>
      <c r="J870" t="str">
        <f>PROPER(TRIM(CLEAN(tbl_Original[[#This Row],[Column1]])))</f>
        <v>Koإ›Cielec</v>
      </c>
      <c r="K870" t="s">
        <v>1804</v>
      </c>
      <c r="L870" t="s">
        <v>1804</v>
      </c>
      <c r="M870" t="s">
        <v>117</v>
      </c>
      <c r="N870" s="1">
        <v>75.27</v>
      </c>
      <c r="O870">
        <v>7</v>
      </c>
      <c r="P870" t="s">
        <v>35</v>
      </c>
      <c r="Q870">
        <v>3</v>
      </c>
      <c r="R870">
        <v>4</v>
      </c>
      <c r="S870">
        <v>1</v>
      </c>
      <c r="T870" t="s">
        <v>36</v>
      </c>
      <c r="U870" t="s">
        <v>50</v>
      </c>
      <c r="V870">
        <v>2</v>
      </c>
      <c r="W870">
        <v>3</v>
      </c>
      <c r="X870" t="s">
        <v>36</v>
      </c>
      <c r="Y870" t="s">
        <v>79</v>
      </c>
      <c r="Z870" t="s">
        <v>51</v>
      </c>
      <c r="AA870" s="2">
        <v>45653</v>
      </c>
      <c r="AB870" t="b">
        <v>1</v>
      </c>
      <c r="AC870" t="b">
        <v>1</v>
      </c>
      <c r="AD870" t="s">
        <v>62</v>
      </c>
      <c r="AE870" t="s">
        <v>67</v>
      </c>
      <c r="AF870">
        <v>1</v>
      </c>
    </row>
    <row r="871" spans="1:32" x14ac:dyDescent="0.25">
      <c r="A871" t="s">
        <v>1805</v>
      </c>
      <c r="B871">
        <v>869</v>
      </c>
      <c r="C871">
        <v>20</v>
      </c>
      <c r="D871" t="str">
        <f>IF(tbl_Original[[#This Row],[Gender2]]="Female","Female",IF(tbl_Original[[#This Row],[Gender2]]="Male","Male","Other"))</f>
        <v>Male</v>
      </c>
      <c r="E871" t="s">
        <v>43</v>
      </c>
      <c r="F871" t="s">
        <v>30</v>
      </c>
      <c r="G871" t="s">
        <v>69</v>
      </c>
      <c r="H871" t="s">
        <v>56</v>
      </c>
      <c r="I871" t="s">
        <v>44</v>
      </c>
      <c r="J871" t="str">
        <f>PROPER(TRIM(CLEAN(tbl_Original[[#This Row],[Column1]])))</f>
        <v>Yongfu</v>
      </c>
      <c r="K871" t="s">
        <v>1806</v>
      </c>
      <c r="L871" t="s">
        <v>1806</v>
      </c>
      <c r="M871" t="s">
        <v>58</v>
      </c>
      <c r="N871" s="1">
        <v>308.87</v>
      </c>
      <c r="O871">
        <v>2</v>
      </c>
      <c r="P871" t="s">
        <v>48</v>
      </c>
      <c r="Q871">
        <v>3</v>
      </c>
      <c r="R871">
        <v>4</v>
      </c>
      <c r="S871">
        <v>1</v>
      </c>
      <c r="T871" t="s">
        <v>36</v>
      </c>
      <c r="U871" t="s">
        <v>50</v>
      </c>
      <c r="V871">
        <v>2</v>
      </c>
      <c r="W871">
        <v>2</v>
      </c>
      <c r="X871" t="s">
        <v>36</v>
      </c>
      <c r="Y871" t="s">
        <v>38</v>
      </c>
      <c r="Z871" t="s">
        <v>86</v>
      </c>
      <c r="AA871" s="2">
        <v>45346</v>
      </c>
      <c r="AB871" t="b">
        <v>1</v>
      </c>
      <c r="AC871" t="b">
        <v>1</v>
      </c>
      <c r="AD871" t="s">
        <v>62</v>
      </c>
      <c r="AE871" t="s">
        <v>67</v>
      </c>
      <c r="AF871">
        <v>11</v>
      </c>
    </row>
    <row r="872" spans="1:32" x14ac:dyDescent="0.25">
      <c r="A872" t="s">
        <v>1807</v>
      </c>
      <c r="B872">
        <v>870</v>
      </c>
      <c r="C872">
        <v>49</v>
      </c>
      <c r="D872" t="str">
        <f>IF(tbl_Original[[#This Row],[Gender2]]="Female","Female",IF(tbl_Original[[#This Row],[Gender2]]="Male","Male","Other"))</f>
        <v>Male</v>
      </c>
      <c r="E872" t="s">
        <v>43</v>
      </c>
      <c r="F872" t="s">
        <v>44</v>
      </c>
      <c r="G872" t="s">
        <v>76</v>
      </c>
      <c r="H872" t="s">
        <v>56</v>
      </c>
      <c r="I872" t="s">
        <v>30</v>
      </c>
      <c r="J872" t="str">
        <f>PROPER(TRIM(CLEAN(tbl_Original[[#This Row],[Column1]])))</f>
        <v>Vinkkil</v>
      </c>
      <c r="K872" t="s">
        <v>2260</v>
      </c>
      <c r="L872" t="s">
        <v>1808</v>
      </c>
      <c r="M872" t="s">
        <v>194</v>
      </c>
      <c r="N872" s="1">
        <v>169.77</v>
      </c>
      <c r="O872">
        <v>5</v>
      </c>
      <c r="P872" t="s">
        <v>48</v>
      </c>
      <c r="Q872">
        <v>1</v>
      </c>
      <c r="R872">
        <v>4</v>
      </c>
      <c r="S872">
        <v>0</v>
      </c>
      <c r="T872" t="s">
        <v>49</v>
      </c>
      <c r="U872" t="s">
        <v>85</v>
      </c>
      <c r="V872">
        <v>2</v>
      </c>
      <c r="W872">
        <v>9</v>
      </c>
      <c r="X872" t="s">
        <v>36</v>
      </c>
      <c r="Y872" t="s">
        <v>79</v>
      </c>
      <c r="Z872" t="s">
        <v>66</v>
      </c>
      <c r="AA872" s="2">
        <v>45458</v>
      </c>
      <c r="AB872" t="b">
        <v>1</v>
      </c>
      <c r="AC872" t="b">
        <v>1</v>
      </c>
      <c r="AD872" t="s">
        <v>52</v>
      </c>
      <c r="AE872" t="s">
        <v>53</v>
      </c>
      <c r="AF872">
        <v>7</v>
      </c>
    </row>
    <row r="873" spans="1:32" x14ac:dyDescent="0.25">
      <c r="A873" t="s">
        <v>1809</v>
      </c>
      <c r="B873">
        <v>871</v>
      </c>
      <c r="C873">
        <v>19</v>
      </c>
      <c r="D873" t="str">
        <f>IF(tbl_Original[[#This Row],[Gender2]]="Female","Female",IF(tbl_Original[[#This Row],[Gender2]]="Male","Male","Other"))</f>
        <v>Male</v>
      </c>
      <c r="E873" t="s">
        <v>43</v>
      </c>
      <c r="F873" t="s">
        <v>44</v>
      </c>
      <c r="G873" t="s">
        <v>76</v>
      </c>
      <c r="H873" t="s">
        <v>45</v>
      </c>
      <c r="I873" t="s">
        <v>44</v>
      </c>
      <c r="J873" t="str">
        <f>PROPER(TRIM(CLEAN(tbl_Original[[#This Row],[Column1]])))</f>
        <v>Revolucion Verde</v>
      </c>
      <c r="K873" t="s">
        <v>1810</v>
      </c>
      <c r="L873" t="s">
        <v>1810</v>
      </c>
      <c r="M873" t="s">
        <v>126</v>
      </c>
      <c r="N873" s="1">
        <v>289.08</v>
      </c>
      <c r="O873">
        <v>12</v>
      </c>
      <c r="P873" t="s">
        <v>78</v>
      </c>
      <c r="Q873">
        <v>2</v>
      </c>
      <c r="R873">
        <v>1</v>
      </c>
      <c r="S873">
        <v>0</v>
      </c>
      <c r="T873" t="s">
        <v>36</v>
      </c>
      <c r="U873" t="s">
        <v>85</v>
      </c>
      <c r="V873">
        <v>1</v>
      </c>
      <c r="W873">
        <v>10</v>
      </c>
      <c r="X873" t="s">
        <v>49</v>
      </c>
      <c r="Y873" t="s">
        <v>79</v>
      </c>
      <c r="Z873" t="s">
        <v>66</v>
      </c>
      <c r="AA873" s="2">
        <v>45518</v>
      </c>
      <c r="AB873" t="b">
        <v>1</v>
      </c>
      <c r="AC873" t="b">
        <v>1</v>
      </c>
      <c r="AD873" t="s">
        <v>52</v>
      </c>
      <c r="AE873" t="s">
        <v>53</v>
      </c>
      <c r="AF873">
        <v>7</v>
      </c>
    </row>
    <row r="874" spans="1:32" x14ac:dyDescent="0.25">
      <c r="A874" t="s">
        <v>1811</v>
      </c>
      <c r="B874">
        <v>872</v>
      </c>
      <c r="C874">
        <v>38</v>
      </c>
      <c r="D874" t="str">
        <f>IF(tbl_Original[[#This Row],[Gender2]]="Female","Female",IF(tbl_Original[[#This Row],[Gender2]]="Male","Male","Other"))</f>
        <v>Female</v>
      </c>
      <c r="E874" t="s">
        <v>29</v>
      </c>
      <c r="F874" t="s">
        <v>30</v>
      </c>
      <c r="G874" t="s">
        <v>55</v>
      </c>
      <c r="H874" t="s">
        <v>45</v>
      </c>
      <c r="I874" t="s">
        <v>44</v>
      </c>
      <c r="J874" t="str">
        <f>PROPER(TRIM(CLEAN(tbl_Original[[#This Row],[Column1]])))</f>
        <v>Newton</v>
      </c>
      <c r="K874" t="s">
        <v>1812</v>
      </c>
      <c r="L874" t="s">
        <v>1812</v>
      </c>
      <c r="M874" t="s">
        <v>194</v>
      </c>
      <c r="N874" s="1">
        <v>74.09</v>
      </c>
      <c r="O874">
        <v>10</v>
      </c>
      <c r="P874" t="s">
        <v>35</v>
      </c>
      <c r="Q874">
        <v>1</v>
      </c>
      <c r="R874">
        <v>4</v>
      </c>
      <c r="S874">
        <v>2</v>
      </c>
      <c r="T874" t="s">
        <v>36</v>
      </c>
      <c r="U874" t="s">
        <v>37</v>
      </c>
      <c r="V874">
        <v>2</v>
      </c>
      <c r="W874">
        <v>9</v>
      </c>
      <c r="X874" t="s">
        <v>59</v>
      </c>
      <c r="Y874" t="s">
        <v>38</v>
      </c>
      <c r="Z874" t="s">
        <v>66</v>
      </c>
      <c r="AA874" s="2">
        <v>45427</v>
      </c>
      <c r="AB874" t="b">
        <v>1</v>
      </c>
      <c r="AC874" t="b">
        <v>1</v>
      </c>
      <c r="AD874" t="s">
        <v>62</v>
      </c>
      <c r="AE874" t="s">
        <v>53</v>
      </c>
      <c r="AF874">
        <v>8</v>
      </c>
    </row>
    <row r="875" spans="1:32" x14ac:dyDescent="0.25">
      <c r="A875" t="s">
        <v>1813</v>
      </c>
      <c r="B875">
        <v>873</v>
      </c>
      <c r="C875">
        <v>43</v>
      </c>
      <c r="D875" t="str">
        <f>IF(tbl_Original[[#This Row],[Gender2]]="Female","Female",IF(tbl_Original[[#This Row],[Gender2]]="Male","Male","Other"))</f>
        <v>Male</v>
      </c>
      <c r="E875" t="s">
        <v>43</v>
      </c>
      <c r="F875" t="s">
        <v>44</v>
      </c>
      <c r="G875" t="s">
        <v>31</v>
      </c>
      <c r="H875" t="s">
        <v>45</v>
      </c>
      <c r="I875" t="s">
        <v>30</v>
      </c>
      <c r="J875" t="str">
        <f>PROPER(TRIM(CLEAN(tbl_Original[[#This Row],[Column1]])))</f>
        <v>Nantang</v>
      </c>
      <c r="K875" t="s">
        <v>1814</v>
      </c>
      <c r="L875" t="s">
        <v>1814</v>
      </c>
      <c r="M875" t="s">
        <v>194</v>
      </c>
      <c r="N875" s="1">
        <v>201.53</v>
      </c>
      <c r="O875">
        <v>5</v>
      </c>
      <c r="P875" t="s">
        <v>78</v>
      </c>
      <c r="Q875">
        <v>2</v>
      </c>
      <c r="R875">
        <v>3</v>
      </c>
      <c r="S875">
        <v>1</v>
      </c>
      <c r="T875" t="s">
        <v>36</v>
      </c>
      <c r="U875" t="s">
        <v>50</v>
      </c>
      <c r="V875">
        <v>1</v>
      </c>
      <c r="W875">
        <v>6</v>
      </c>
      <c r="X875" t="s">
        <v>44</v>
      </c>
      <c r="Y875" t="s">
        <v>38</v>
      </c>
      <c r="Z875" t="s">
        <v>66</v>
      </c>
      <c r="AA875" s="2">
        <v>45444</v>
      </c>
      <c r="AB875" t="b">
        <v>0</v>
      </c>
      <c r="AC875" t="b">
        <v>1</v>
      </c>
      <c r="AD875" t="s">
        <v>52</v>
      </c>
      <c r="AE875" t="s">
        <v>41</v>
      </c>
      <c r="AF875">
        <v>11</v>
      </c>
    </row>
    <row r="876" spans="1:32" x14ac:dyDescent="0.25">
      <c r="A876" t="s">
        <v>1815</v>
      </c>
      <c r="B876">
        <v>874</v>
      </c>
      <c r="C876">
        <v>38</v>
      </c>
      <c r="D876" t="str">
        <f>IF(tbl_Original[[#This Row],[Gender2]]="Female","Female",IF(tbl_Original[[#This Row],[Gender2]]="Male","Male","Other"))</f>
        <v>Male</v>
      </c>
      <c r="E876" t="s">
        <v>43</v>
      </c>
      <c r="F876" t="s">
        <v>30</v>
      </c>
      <c r="G876" t="s">
        <v>76</v>
      </c>
      <c r="H876" t="s">
        <v>32</v>
      </c>
      <c r="I876" t="s">
        <v>44</v>
      </c>
      <c r="J876" t="str">
        <f>PROPER(TRIM(CLEAN(tbl_Original[[#This Row],[Column1]])))</f>
        <v>Perugia</v>
      </c>
      <c r="K876" t="s">
        <v>1816</v>
      </c>
      <c r="L876" t="s">
        <v>1816</v>
      </c>
      <c r="M876" t="s">
        <v>135</v>
      </c>
      <c r="N876" s="1">
        <v>244.6</v>
      </c>
      <c r="O876">
        <v>12</v>
      </c>
      <c r="P876" t="s">
        <v>78</v>
      </c>
      <c r="Q876">
        <v>4</v>
      </c>
      <c r="R876">
        <v>4</v>
      </c>
      <c r="S876">
        <v>2</v>
      </c>
      <c r="T876" t="s">
        <v>49</v>
      </c>
      <c r="U876" t="s">
        <v>37</v>
      </c>
      <c r="V876">
        <v>0</v>
      </c>
      <c r="W876">
        <v>6</v>
      </c>
      <c r="X876" t="s">
        <v>36</v>
      </c>
      <c r="Y876" t="s">
        <v>38</v>
      </c>
      <c r="Z876" t="s">
        <v>66</v>
      </c>
      <c r="AA876" s="2">
        <v>45529</v>
      </c>
      <c r="AB876" t="b">
        <v>0</v>
      </c>
      <c r="AC876" t="b">
        <v>0</v>
      </c>
      <c r="AD876" t="s">
        <v>52</v>
      </c>
      <c r="AE876" t="s">
        <v>53</v>
      </c>
      <c r="AF876">
        <v>3</v>
      </c>
    </row>
    <row r="877" spans="1:32" x14ac:dyDescent="0.25">
      <c r="A877" t="s">
        <v>1817</v>
      </c>
      <c r="B877">
        <v>875</v>
      </c>
      <c r="C877">
        <v>21</v>
      </c>
      <c r="D877" t="str">
        <f>IF(tbl_Original[[#This Row],[Gender2]]="Female","Female",IF(tbl_Original[[#This Row],[Gender2]]="Male","Male","Other"))</f>
        <v>Male</v>
      </c>
      <c r="E877" t="s">
        <v>43</v>
      </c>
      <c r="F877" t="s">
        <v>30</v>
      </c>
      <c r="G877" t="s">
        <v>69</v>
      </c>
      <c r="H877" t="s">
        <v>32</v>
      </c>
      <c r="I877" t="s">
        <v>44</v>
      </c>
      <c r="J877" t="str">
        <f>PROPER(TRIM(CLEAN(tbl_Original[[#This Row],[Column1]])))</f>
        <v>Tancheng</v>
      </c>
      <c r="K877" t="s">
        <v>1818</v>
      </c>
      <c r="L877" t="s">
        <v>1818</v>
      </c>
      <c r="M877" t="s">
        <v>120</v>
      </c>
      <c r="N877" s="1">
        <v>320.5</v>
      </c>
      <c r="O877">
        <v>10</v>
      </c>
      <c r="P877" t="s">
        <v>48</v>
      </c>
      <c r="Q877">
        <v>3</v>
      </c>
      <c r="R877">
        <v>4</v>
      </c>
      <c r="S877">
        <v>2</v>
      </c>
      <c r="T877" t="s">
        <v>59</v>
      </c>
      <c r="U877" t="s">
        <v>37</v>
      </c>
      <c r="V877">
        <v>0</v>
      </c>
      <c r="W877">
        <v>9</v>
      </c>
      <c r="X877" t="s">
        <v>59</v>
      </c>
      <c r="Y877" t="s">
        <v>38</v>
      </c>
      <c r="Z877" t="s">
        <v>86</v>
      </c>
      <c r="AA877" s="2">
        <v>45352</v>
      </c>
      <c r="AB877" t="b">
        <v>1</v>
      </c>
      <c r="AC877" t="b">
        <v>0</v>
      </c>
      <c r="AD877" t="s">
        <v>40</v>
      </c>
      <c r="AE877" t="s">
        <v>67</v>
      </c>
      <c r="AF877">
        <v>9</v>
      </c>
    </row>
    <row r="878" spans="1:32" x14ac:dyDescent="0.25">
      <c r="A878" t="s">
        <v>1819</v>
      </c>
      <c r="B878">
        <v>876</v>
      </c>
      <c r="C878">
        <v>27</v>
      </c>
      <c r="D878" t="str">
        <f>IF(tbl_Original[[#This Row],[Gender2]]="Female","Female",IF(tbl_Original[[#This Row],[Gender2]]="Male","Male","Other"))</f>
        <v>Male</v>
      </c>
      <c r="E878" t="s">
        <v>43</v>
      </c>
      <c r="F878" t="s">
        <v>30</v>
      </c>
      <c r="G878" t="s">
        <v>69</v>
      </c>
      <c r="H878" t="s">
        <v>56</v>
      </c>
      <c r="I878" t="s">
        <v>30</v>
      </c>
      <c r="J878" t="str">
        <f>PROPER(TRIM(CLEAN(tbl_Original[[#This Row],[Column1]])))</f>
        <v>Leon Postigo</v>
      </c>
      <c r="K878" t="s">
        <v>1820</v>
      </c>
      <c r="L878" t="s">
        <v>1820</v>
      </c>
      <c r="M878" t="s">
        <v>246</v>
      </c>
      <c r="N878" s="1">
        <v>91.63</v>
      </c>
      <c r="O878">
        <v>3</v>
      </c>
      <c r="P878" t="s">
        <v>48</v>
      </c>
      <c r="Q878">
        <v>5</v>
      </c>
      <c r="R878">
        <v>2</v>
      </c>
      <c r="S878">
        <v>2</v>
      </c>
      <c r="T878" t="s">
        <v>36</v>
      </c>
      <c r="U878" t="s">
        <v>50</v>
      </c>
      <c r="V878">
        <v>0</v>
      </c>
      <c r="W878">
        <v>10</v>
      </c>
      <c r="X878" t="s">
        <v>36</v>
      </c>
      <c r="Y878" t="s">
        <v>38</v>
      </c>
      <c r="Z878" t="s">
        <v>61</v>
      </c>
      <c r="AA878" s="2">
        <v>45473</v>
      </c>
      <c r="AB878" t="b">
        <v>1</v>
      </c>
      <c r="AC878" t="b">
        <v>1</v>
      </c>
      <c r="AD878" t="s">
        <v>52</v>
      </c>
      <c r="AE878" t="s">
        <v>53</v>
      </c>
      <c r="AF878">
        <v>2</v>
      </c>
    </row>
    <row r="879" spans="1:32" x14ac:dyDescent="0.25">
      <c r="A879" t="s">
        <v>1821</v>
      </c>
      <c r="B879">
        <v>877</v>
      </c>
      <c r="C879">
        <v>35</v>
      </c>
      <c r="D879" t="str">
        <f>IF(tbl_Original[[#This Row],[Gender2]]="Female","Female",IF(tbl_Original[[#This Row],[Gender2]]="Male","Male","Other"))</f>
        <v>Male</v>
      </c>
      <c r="E879" t="s">
        <v>43</v>
      </c>
      <c r="F879" t="s">
        <v>30</v>
      </c>
      <c r="G879" t="s">
        <v>31</v>
      </c>
      <c r="H879" t="s">
        <v>56</v>
      </c>
      <c r="I879" t="s">
        <v>44</v>
      </c>
      <c r="J879" t="str">
        <f>PROPER(TRIM(CLEAN(tbl_Original[[#This Row],[Column1]])))</f>
        <v>Bollne</v>
      </c>
      <c r="K879" t="s">
        <v>2261</v>
      </c>
      <c r="L879" t="s">
        <v>1822</v>
      </c>
      <c r="M879" t="s">
        <v>90</v>
      </c>
      <c r="N879" s="1">
        <v>251.93</v>
      </c>
      <c r="O879">
        <v>8</v>
      </c>
      <c r="P879" t="s">
        <v>48</v>
      </c>
      <c r="Q879">
        <v>3</v>
      </c>
      <c r="R879">
        <v>2</v>
      </c>
      <c r="S879">
        <v>1</v>
      </c>
      <c r="T879" t="s">
        <v>44</v>
      </c>
      <c r="U879" t="s">
        <v>85</v>
      </c>
      <c r="V879">
        <v>2</v>
      </c>
      <c r="W879">
        <v>3</v>
      </c>
      <c r="X879" t="s">
        <v>36</v>
      </c>
      <c r="Y879" t="s">
        <v>38</v>
      </c>
      <c r="Z879" t="s">
        <v>61</v>
      </c>
      <c r="AA879" s="2">
        <v>45293</v>
      </c>
      <c r="AB879" t="b">
        <v>0</v>
      </c>
      <c r="AC879" t="b">
        <v>0</v>
      </c>
      <c r="AD879" t="s">
        <v>40</v>
      </c>
      <c r="AE879" t="s">
        <v>53</v>
      </c>
      <c r="AF879">
        <v>7</v>
      </c>
    </row>
    <row r="880" spans="1:32" x14ac:dyDescent="0.25">
      <c r="A880" t="s">
        <v>1823</v>
      </c>
      <c r="B880">
        <v>878</v>
      </c>
      <c r="C880">
        <v>30</v>
      </c>
      <c r="D880" t="str">
        <f>IF(tbl_Original[[#This Row],[Gender2]]="Female","Female",IF(tbl_Original[[#This Row],[Gender2]]="Male","Male","Other"))</f>
        <v>Male</v>
      </c>
      <c r="E880" t="s">
        <v>43</v>
      </c>
      <c r="F880" t="s">
        <v>30</v>
      </c>
      <c r="G880" t="s">
        <v>31</v>
      </c>
      <c r="H880" t="s">
        <v>32</v>
      </c>
      <c r="I880" t="s">
        <v>30</v>
      </c>
      <c r="J880" t="str">
        <f>PROPER(TRIM(CLEAN(tbl_Original[[#This Row],[Column1]])))</f>
        <v>Baihe</v>
      </c>
      <c r="K880" t="s">
        <v>1824</v>
      </c>
      <c r="L880" t="s">
        <v>1824</v>
      </c>
      <c r="M880" t="s">
        <v>98</v>
      </c>
      <c r="N880" s="1">
        <v>477.35</v>
      </c>
      <c r="O880">
        <v>4</v>
      </c>
      <c r="P880" t="s">
        <v>78</v>
      </c>
      <c r="Q880">
        <v>2</v>
      </c>
      <c r="R880">
        <v>5</v>
      </c>
      <c r="S880">
        <v>0</v>
      </c>
      <c r="T880" t="s">
        <v>44</v>
      </c>
      <c r="U880" t="s">
        <v>85</v>
      </c>
      <c r="V880">
        <v>1</v>
      </c>
      <c r="W880">
        <v>2</v>
      </c>
      <c r="X880" t="s">
        <v>59</v>
      </c>
      <c r="Y880" t="s">
        <v>79</v>
      </c>
      <c r="Z880" t="s">
        <v>51</v>
      </c>
      <c r="AA880" s="2">
        <v>45654</v>
      </c>
      <c r="AB880" t="b">
        <v>0</v>
      </c>
      <c r="AC880" t="b">
        <v>0</v>
      </c>
      <c r="AD880" t="s">
        <v>40</v>
      </c>
      <c r="AE880" t="s">
        <v>41</v>
      </c>
      <c r="AF880">
        <v>14</v>
      </c>
    </row>
    <row r="881" spans="1:32" x14ac:dyDescent="0.25">
      <c r="A881" t="s">
        <v>1825</v>
      </c>
      <c r="B881">
        <v>879</v>
      </c>
      <c r="C881">
        <v>31</v>
      </c>
      <c r="D881" t="str">
        <f>IF(tbl_Original[[#This Row],[Gender2]]="Female","Female",IF(tbl_Original[[#This Row],[Gender2]]="Male","Male","Other"))</f>
        <v>Male</v>
      </c>
      <c r="E881" t="s">
        <v>43</v>
      </c>
      <c r="F881" t="s">
        <v>44</v>
      </c>
      <c r="G881" t="s">
        <v>69</v>
      </c>
      <c r="H881" t="s">
        <v>56</v>
      </c>
      <c r="I881" t="s">
        <v>30</v>
      </c>
      <c r="J881" t="str">
        <f>PROPER(TRIM(CLEAN(tbl_Original[[#This Row],[Column1]])))</f>
        <v>Puqi</v>
      </c>
      <c r="K881" t="s">
        <v>1826</v>
      </c>
      <c r="L881" t="s">
        <v>1826</v>
      </c>
      <c r="M881" t="s">
        <v>123</v>
      </c>
      <c r="N881" s="1">
        <v>86.63</v>
      </c>
      <c r="O881">
        <v>10</v>
      </c>
      <c r="P881" t="s">
        <v>35</v>
      </c>
      <c r="Q881">
        <v>3</v>
      </c>
      <c r="R881">
        <v>1</v>
      </c>
      <c r="S881">
        <v>2</v>
      </c>
      <c r="T881" t="s">
        <v>49</v>
      </c>
      <c r="U881" t="s">
        <v>37</v>
      </c>
      <c r="V881">
        <v>2</v>
      </c>
      <c r="W881">
        <v>2</v>
      </c>
      <c r="X881" t="s">
        <v>59</v>
      </c>
      <c r="Y881" t="s">
        <v>38</v>
      </c>
      <c r="Z881" t="s">
        <v>86</v>
      </c>
      <c r="AA881" s="2">
        <v>45537</v>
      </c>
      <c r="AB881" t="b">
        <v>1</v>
      </c>
      <c r="AC881" t="b">
        <v>0</v>
      </c>
      <c r="AD881" t="s">
        <v>52</v>
      </c>
      <c r="AE881" t="s">
        <v>67</v>
      </c>
      <c r="AF881">
        <v>3</v>
      </c>
    </row>
    <row r="882" spans="1:32" x14ac:dyDescent="0.25">
      <c r="A882" t="s">
        <v>1827</v>
      </c>
      <c r="B882">
        <v>880</v>
      </c>
      <c r="C882">
        <v>50</v>
      </c>
      <c r="D882" t="str">
        <f>IF(tbl_Original[[#This Row],[Gender2]]="Female","Female",IF(tbl_Original[[#This Row],[Gender2]]="Male","Male","Other"))</f>
        <v>Other</v>
      </c>
      <c r="E882" t="s">
        <v>88</v>
      </c>
      <c r="F882" t="s">
        <v>44</v>
      </c>
      <c r="G882" t="s">
        <v>76</v>
      </c>
      <c r="H882" t="s">
        <v>45</v>
      </c>
      <c r="I882" t="s">
        <v>44</v>
      </c>
      <c r="J882" t="str">
        <f>PROPER(TRIM(CLEAN(tbl_Original[[#This Row],[Column1]])))</f>
        <v>Pedraza</v>
      </c>
      <c r="K882" t="s">
        <v>1828</v>
      </c>
      <c r="L882" t="s">
        <v>1828</v>
      </c>
      <c r="M882" t="s">
        <v>104</v>
      </c>
      <c r="N882" s="1">
        <v>474.42</v>
      </c>
      <c r="O882">
        <v>4</v>
      </c>
      <c r="P882" t="s">
        <v>48</v>
      </c>
      <c r="Q882">
        <v>2</v>
      </c>
      <c r="R882">
        <v>3</v>
      </c>
      <c r="S882">
        <v>0</v>
      </c>
      <c r="T882" t="s">
        <v>49</v>
      </c>
      <c r="U882" t="s">
        <v>50</v>
      </c>
      <c r="V882">
        <v>1</v>
      </c>
      <c r="W882">
        <v>9</v>
      </c>
      <c r="X882" t="s">
        <v>36</v>
      </c>
      <c r="Y882" t="s">
        <v>79</v>
      </c>
      <c r="Z882" t="s">
        <v>61</v>
      </c>
      <c r="AA882" s="2">
        <v>45556</v>
      </c>
      <c r="AB882" t="b">
        <v>1</v>
      </c>
      <c r="AC882" t="b">
        <v>0</v>
      </c>
      <c r="AD882" t="s">
        <v>40</v>
      </c>
      <c r="AE882" t="s">
        <v>41</v>
      </c>
      <c r="AF882">
        <v>5</v>
      </c>
    </row>
    <row r="883" spans="1:32" x14ac:dyDescent="0.25">
      <c r="A883" t="s">
        <v>1829</v>
      </c>
      <c r="B883">
        <v>881</v>
      </c>
      <c r="C883">
        <v>34</v>
      </c>
      <c r="D883" t="str">
        <f>IF(tbl_Original[[#This Row],[Gender2]]="Female","Female",IF(tbl_Original[[#This Row],[Gender2]]="Male","Male","Other"))</f>
        <v>Female</v>
      </c>
      <c r="E883" t="s">
        <v>29</v>
      </c>
      <c r="F883" t="s">
        <v>44</v>
      </c>
      <c r="G883" t="s">
        <v>69</v>
      </c>
      <c r="H883" t="s">
        <v>45</v>
      </c>
      <c r="I883" t="s">
        <v>44</v>
      </c>
      <c r="J883" t="str">
        <f>PROPER(TRIM(CLEAN(tbl_Original[[#This Row],[Column1]])))</f>
        <v>Hoolt</v>
      </c>
      <c r="K883" t="s">
        <v>710</v>
      </c>
      <c r="L883" t="s">
        <v>710</v>
      </c>
      <c r="M883" t="s">
        <v>34</v>
      </c>
      <c r="N883" s="1">
        <v>429.24</v>
      </c>
      <c r="O883">
        <v>7</v>
      </c>
      <c r="P883" t="s">
        <v>35</v>
      </c>
      <c r="Q883">
        <v>3</v>
      </c>
      <c r="R883">
        <v>5</v>
      </c>
      <c r="S883">
        <v>1</v>
      </c>
      <c r="T883" t="s">
        <v>44</v>
      </c>
      <c r="U883" t="s">
        <v>50</v>
      </c>
      <c r="V883">
        <v>0</v>
      </c>
      <c r="W883">
        <v>1</v>
      </c>
      <c r="X883" t="s">
        <v>59</v>
      </c>
      <c r="Y883" t="s">
        <v>38</v>
      </c>
      <c r="Z883" t="s">
        <v>61</v>
      </c>
      <c r="AA883" s="2">
        <v>45378</v>
      </c>
      <c r="AB883" t="b">
        <v>0</v>
      </c>
      <c r="AC883" t="b">
        <v>0</v>
      </c>
      <c r="AD883" t="s">
        <v>40</v>
      </c>
      <c r="AE883" t="s">
        <v>41</v>
      </c>
      <c r="AF883">
        <v>10</v>
      </c>
    </row>
    <row r="884" spans="1:32" x14ac:dyDescent="0.25">
      <c r="A884" t="s">
        <v>1830</v>
      </c>
      <c r="B884">
        <v>882</v>
      </c>
      <c r="C884">
        <v>24</v>
      </c>
      <c r="D884" t="str">
        <f>IF(tbl_Original[[#This Row],[Gender2]]="Female","Female",IF(tbl_Original[[#This Row],[Gender2]]="Male","Male","Other"))</f>
        <v>Female</v>
      </c>
      <c r="E884" t="s">
        <v>29</v>
      </c>
      <c r="F884" t="s">
        <v>44</v>
      </c>
      <c r="G884" t="s">
        <v>31</v>
      </c>
      <c r="H884" t="s">
        <v>45</v>
      </c>
      <c r="I884" t="s">
        <v>44</v>
      </c>
      <c r="J884" t="str">
        <f>PROPER(TRIM(CLEAN(tbl_Original[[#This Row],[Column1]])))</f>
        <v>Pasinan Barat</v>
      </c>
      <c r="K884" t="s">
        <v>1831</v>
      </c>
      <c r="L884" t="s">
        <v>1831</v>
      </c>
      <c r="M884" t="s">
        <v>65</v>
      </c>
      <c r="N884" s="1">
        <v>470.38</v>
      </c>
      <c r="O884">
        <v>8</v>
      </c>
      <c r="P884" t="s">
        <v>35</v>
      </c>
      <c r="Q884">
        <v>2</v>
      </c>
      <c r="R884">
        <v>4</v>
      </c>
      <c r="S884">
        <v>0</v>
      </c>
      <c r="T884" t="s">
        <v>49</v>
      </c>
      <c r="U884" t="s">
        <v>50</v>
      </c>
      <c r="V884">
        <v>2</v>
      </c>
      <c r="W884">
        <v>3</v>
      </c>
      <c r="X884" t="s">
        <v>44</v>
      </c>
      <c r="Y884" t="s">
        <v>60</v>
      </c>
      <c r="Z884" t="s">
        <v>66</v>
      </c>
      <c r="AA884" s="2">
        <v>45607</v>
      </c>
      <c r="AB884" t="b">
        <v>1</v>
      </c>
      <c r="AC884" t="b">
        <v>1</v>
      </c>
      <c r="AD884" t="s">
        <v>62</v>
      </c>
      <c r="AE884" t="s">
        <v>53</v>
      </c>
      <c r="AF884">
        <v>9</v>
      </c>
    </row>
    <row r="885" spans="1:32" x14ac:dyDescent="0.25">
      <c r="A885" t="s">
        <v>1832</v>
      </c>
      <c r="B885">
        <v>883</v>
      </c>
      <c r="C885">
        <v>32</v>
      </c>
      <c r="D885" t="str">
        <f>IF(tbl_Original[[#This Row],[Gender2]]="Female","Female",IF(tbl_Original[[#This Row],[Gender2]]="Male","Male","Other"))</f>
        <v>Female</v>
      </c>
      <c r="E885" t="s">
        <v>29</v>
      </c>
      <c r="F885" t="s">
        <v>30</v>
      </c>
      <c r="G885" t="s">
        <v>55</v>
      </c>
      <c r="H885" t="s">
        <v>56</v>
      </c>
      <c r="I885" t="s">
        <v>44</v>
      </c>
      <c r="J885" t="str">
        <f>PROPER(TRIM(CLEAN(tbl_Original[[#This Row],[Column1]])))</f>
        <v>Saltpond</v>
      </c>
      <c r="K885" t="s">
        <v>1833</v>
      </c>
      <c r="L885" t="s">
        <v>1833</v>
      </c>
      <c r="M885" t="s">
        <v>34</v>
      </c>
      <c r="N885" s="1">
        <v>495.8</v>
      </c>
      <c r="O885">
        <v>4</v>
      </c>
      <c r="P885" t="s">
        <v>35</v>
      </c>
      <c r="Q885">
        <v>1</v>
      </c>
      <c r="R885">
        <v>2</v>
      </c>
      <c r="S885">
        <v>1</v>
      </c>
      <c r="T885" t="s">
        <v>59</v>
      </c>
      <c r="U885" t="s">
        <v>50</v>
      </c>
      <c r="V885">
        <v>0</v>
      </c>
      <c r="W885">
        <v>7</v>
      </c>
      <c r="X885" t="s">
        <v>36</v>
      </c>
      <c r="Y885" t="s">
        <v>38</v>
      </c>
      <c r="Z885" t="s">
        <v>51</v>
      </c>
      <c r="AA885" s="2">
        <v>45551</v>
      </c>
      <c r="AB885" t="b">
        <v>1</v>
      </c>
      <c r="AC885" t="b">
        <v>1</v>
      </c>
      <c r="AD885" t="s">
        <v>52</v>
      </c>
      <c r="AE885" t="s">
        <v>53</v>
      </c>
      <c r="AF885">
        <v>10</v>
      </c>
    </row>
    <row r="886" spans="1:32" x14ac:dyDescent="0.25">
      <c r="A886" t="s">
        <v>1834</v>
      </c>
      <c r="B886">
        <v>884</v>
      </c>
      <c r="C886">
        <v>21</v>
      </c>
      <c r="D886" t="str">
        <f>IF(tbl_Original[[#This Row],[Gender2]]="Female","Female",IF(tbl_Original[[#This Row],[Gender2]]="Male","Male","Other"))</f>
        <v>Female</v>
      </c>
      <c r="E886" t="s">
        <v>29</v>
      </c>
      <c r="F886" t="s">
        <v>44</v>
      </c>
      <c r="G886" t="s">
        <v>69</v>
      </c>
      <c r="H886" t="s">
        <v>32</v>
      </c>
      <c r="I886" t="s">
        <v>30</v>
      </c>
      <c r="J886" t="str">
        <f>PROPER(TRIM(CLEAN(tbl_Original[[#This Row],[Column1]])))</f>
        <v>Rende</v>
      </c>
      <c r="K886" t="s">
        <v>1835</v>
      </c>
      <c r="L886" t="s">
        <v>1835</v>
      </c>
      <c r="M886" t="s">
        <v>117</v>
      </c>
      <c r="N886" s="1">
        <v>129.63999999999999</v>
      </c>
      <c r="O886">
        <v>4</v>
      </c>
      <c r="P886" t="s">
        <v>48</v>
      </c>
      <c r="Q886">
        <v>3</v>
      </c>
      <c r="R886">
        <v>1</v>
      </c>
      <c r="S886">
        <v>2</v>
      </c>
      <c r="T886" t="s">
        <v>36</v>
      </c>
      <c r="U886" t="s">
        <v>50</v>
      </c>
      <c r="V886">
        <v>1</v>
      </c>
      <c r="W886">
        <v>3</v>
      </c>
      <c r="X886" t="s">
        <v>59</v>
      </c>
      <c r="Y886" t="s">
        <v>79</v>
      </c>
      <c r="Z886" t="s">
        <v>61</v>
      </c>
      <c r="AA886" s="2">
        <v>45439</v>
      </c>
      <c r="AB886" t="b">
        <v>0</v>
      </c>
      <c r="AC886" t="b">
        <v>1</v>
      </c>
      <c r="AD886" t="s">
        <v>40</v>
      </c>
      <c r="AE886" t="s">
        <v>67</v>
      </c>
      <c r="AF886">
        <v>3</v>
      </c>
    </row>
    <row r="887" spans="1:32" x14ac:dyDescent="0.25">
      <c r="A887" t="s">
        <v>1836</v>
      </c>
      <c r="B887">
        <v>885</v>
      </c>
      <c r="C887">
        <v>41</v>
      </c>
      <c r="D887" t="str">
        <f>IF(tbl_Original[[#This Row],[Gender2]]="Female","Female",IF(tbl_Original[[#This Row],[Gender2]]="Male","Male","Other"))</f>
        <v>Male</v>
      </c>
      <c r="E887" t="s">
        <v>43</v>
      </c>
      <c r="F887" t="s">
        <v>30</v>
      </c>
      <c r="G887" t="s">
        <v>55</v>
      </c>
      <c r="H887" t="s">
        <v>56</v>
      </c>
      <c r="I887" t="s">
        <v>44</v>
      </c>
      <c r="J887" t="str">
        <f>PROPER(TRIM(CLEAN(tbl_Original[[#This Row],[Column1]])))</f>
        <v>Zarasai</v>
      </c>
      <c r="K887" t="s">
        <v>1837</v>
      </c>
      <c r="L887" t="s">
        <v>1837</v>
      </c>
      <c r="M887" t="s">
        <v>93</v>
      </c>
      <c r="N887" s="1">
        <v>473.77</v>
      </c>
      <c r="O887">
        <v>9</v>
      </c>
      <c r="P887" t="s">
        <v>78</v>
      </c>
      <c r="Q887">
        <v>3</v>
      </c>
      <c r="R887">
        <v>1</v>
      </c>
      <c r="S887">
        <v>2</v>
      </c>
      <c r="T887" t="s">
        <v>49</v>
      </c>
      <c r="U887" t="s">
        <v>85</v>
      </c>
      <c r="V887">
        <v>2</v>
      </c>
      <c r="W887">
        <v>9</v>
      </c>
      <c r="X887" t="s">
        <v>36</v>
      </c>
      <c r="Y887" t="s">
        <v>79</v>
      </c>
      <c r="Z887" t="s">
        <v>51</v>
      </c>
      <c r="AA887" s="2">
        <v>45414</v>
      </c>
      <c r="AB887" t="b">
        <v>0</v>
      </c>
      <c r="AC887" t="b">
        <v>0</v>
      </c>
      <c r="AD887" t="s">
        <v>52</v>
      </c>
      <c r="AE887" t="s">
        <v>41</v>
      </c>
      <c r="AF887">
        <v>13</v>
      </c>
    </row>
    <row r="888" spans="1:32" x14ac:dyDescent="0.25">
      <c r="A888" t="s">
        <v>1838</v>
      </c>
      <c r="B888">
        <v>886</v>
      </c>
      <c r="C888">
        <v>40</v>
      </c>
      <c r="D888" t="str">
        <f>IF(tbl_Original[[#This Row],[Gender2]]="Female","Female",IF(tbl_Original[[#This Row],[Gender2]]="Male","Male","Other"))</f>
        <v>Female</v>
      </c>
      <c r="E888" t="s">
        <v>29</v>
      </c>
      <c r="F888" t="s">
        <v>44</v>
      </c>
      <c r="G888" t="s">
        <v>31</v>
      </c>
      <c r="H888" t="s">
        <v>45</v>
      </c>
      <c r="I888" t="s">
        <v>30</v>
      </c>
      <c r="J888" t="str">
        <f>PROPER(TRIM(CLEAN(tbl_Original[[#This Row],[Column1]])))</f>
        <v>Nanchangshan</v>
      </c>
      <c r="K888" t="s">
        <v>1839</v>
      </c>
      <c r="L888" t="s">
        <v>1839</v>
      </c>
      <c r="M888" t="s">
        <v>117</v>
      </c>
      <c r="N888" s="1">
        <v>130.84</v>
      </c>
      <c r="O888">
        <v>4</v>
      </c>
      <c r="P888" t="s">
        <v>78</v>
      </c>
      <c r="Q888">
        <v>5</v>
      </c>
      <c r="R888">
        <v>5</v>
      </c>
      <c r="S888">
        <v>2</v>
      </c>
      <c r="T888" t="s">
        <v>49</v>
      </c>
      <c r="U888" t="s">
        <v>85</v>
      </c>
      <c r="V888">
        <v>2</v>
      </c>
      <c r="W888">
        <v>10</v>
      </c>
      <c r="X888" t="s">
        <v>59</v>
      </c>
      <c r="Y888" t="s">
        <v>38</v>
      </c>
      <c r="Z888" t="s">
        <v>51</v>
      </c>
      <c r="AA888" s="2">
        <v>45548</v>
      </c>
      <c r="AB888" t="b">
        <v>1</v>
      </c>
      <c r="AC888" t="b">
        <v>1</v>
      </c>
      <c r="AD888" t="s">
        <v>40</v>
      </c>
      <c r="AE888" t="s">
        <v>53</v>
      </c>
      <c r="AF888">
        <v>13</v>
      </c>
    </row>
    <row r="889" spans="1:32" x14ac:dyDescent="0.25">
      <c r="A889" t="s">
        <v>1840</v>
      </c>
      <c r="B889">
        <v>887</v>
      </c>
      <c r="C889">
        <v>48</v>
      </c>
      <c r="D889" t="str">
        <f>IF(tbl_Original[[#This Row],[Gender2]]="Female","Female",IF(tbl_Original[[#This Row],[Gender2]]="Male","Male","Other"))</f>
        <v>Male</v>
      </c>
      <c r="E889" t="s">
        <v>43</v>
      </c>
      <c r="F889" t="s">
        <v>30</v>
      </c>
      <c r="G889" t="s">
        <v>55</v>
      </c>
      <c r="H889" t="s">
        <v>56</v>
      </c>
      <c r="I889" t="s">
        <v>44</v>
      </c>
      <c r="J889" t="str">
        <f>PROPER(TRIM(CLEAN(tbl_Original[[#This Row],[Column1]])))</f>
        <v>Pegأµes</v>
      </c>
      <c r="K889" t="s">
        <v>1841</v>
      </c>
      <c r="L889" t="s">
        <v>1841</v>
      </c>
      <c r="M889" t="s">
        <v>158</v>
      </c>
      <c r="N889" s="1">
        <v>436.54</v>
      </c>
      <c r="O889">
        <v>12</v>
      </c>
      <c r="P889" t="s">
        <v>78</v>
      </c>
      <c r="Q889">
        <v>3</v>
      </c>
      <c r="R889">
        <v>3</v>
      </c>
      <c r="S889">
        <v>0</v>
      </c>
      <c r="T889" t="s">
        <v>49</v>
      </c>
      <c r="U889" t="s">
        <v>85</v>
      </c>
      <c r="V889">
        <v>1</v>
      </c>
      <c r="W889">
        <v>8</v>
      </c>
      <c r="X889" t="s">
        <v>59</v>
      </c>
      <c r="Y889" t="s">
        <v>60</v>
      </c>
      <c r="Z889" t="s">
        <v>61</v>
      </c>
      <c r="AA889" s="2">
        <v>45442</v>
      </c>
      <c r="AB889" t="b">
        <v>1</v>
      </c>
      <c r="AC889" t="b">
        <v>0</v>
      </c>
      <c r="AD889" t="s">
        <v>52</v>
      </c>
      <c r="AE889" t="s">
        <v>41</v>
      </c>
      <c r="AF889">
        <v>9</v>
      </c>
    </row>
    <row r="890" spans="1:32" x14ac:dyDescent="0.25">
      <c r="A890" t="s">
        <v>1842</v>
      </c>
      <c r="B890">
        <v>888</v>
      </c>
      <c r="C890">
        <v>25</v>
      </c>
      <c r="D890" t="str">
        <f>IF(tbl_Original[[#This Row],[Gender2]]="Female","Female",IF(tbl_Original[[#This Row],[Gender2]]="Male","Male","Other"))</f>
        <v>Female</v>
      </c>
      <c r="E890" t="s">
        <v>29</v>
      </c>
      <c r="F890" t="s">
        <v>30</v>
      </c>
      <c r="G890" t="s">
        <v>69</v>
      </c>
      <c r="H890" t="s">
        <v>32</v>
      </c>
      <c r="I890" t="s">
        <v>30</v>
      </c>
      <c r="J890" t="str">
        <f>PROPER(TRIM(CLEAN(tbl_Original[[#This Row],[Column1]])))</f>
        <v>Esprito Santo Do Pinhal</v>
      </c>
      <c r="K890" t="s">
        <v>2262</v>
      </c>
      <c r="L890" t="s">
        <v>1843</v>
      </c>
      <c r="M890" t="s">
        <v>101</v>
      </c>
      <c r="N890" s="1">
        <v>264.01</v>
      </c>
      <c r="O890">
        <v>4</v>
      </c>
      <c r="P890" t="s">
        <v>48</v>
      </c>
      <c r="Q890">
        <v>3</v>
      </c>
      <c r="R890">
        <v>4</v>
      </c>
      <c r="S890">
        <v>0</v>
      </c>
      <c r="T890" t="s">
        <v>44</v>
      </c>
      <c r="U890" t="s">
        <v>37</v>
      </c>
      <c r="V890">
        <v>1</v>
      </c>
      <c r="W890">
        <v>5</v>
      </c>
      <c r="X890" t="s">
        <v>36</v>
      </c>
      <c r="Y890" t="s">
        <v>79</v>
      </c>
      <c r="Z890" t="s">
        <v>66</v>
      </c>
      <c r="AA890" s="2">
        <v>45586</v>
      </c>
      <c r="AB890" t="b">
        <v>1</v>
      </c>
      <c r="AC890" t="b">
        <v>0</v>
      </c>
      <c r="AD890" t="s">
        <v>40</v>
      </c>
      <c r="AE890" t="s">
        <v>41</v>
      </c>
      <c r="AF890">
        <v>2</v>
      </c>
    </row>
    <row r="891" spans="1:32" x14ac:dyDescent="0.25">
      <c r="A891" t="s">
        <v>1844</v>
      </c>
      <c r="B891">
        <v>889</v>
      </c>
      <c r="C891">
        <v>30</v>
      </c>
      <c r="D891" t="str">
        <f>IF(tbl_Original[[#This Row],[Gender2]]="Female","Female",IF(tbl_Original[[#This Row],[Gender2]]="Male","Male","Other"))</f>
        <v>Female</v>
      </c>
      <c r="E891" t="s">
        <v>29</v>
      </c>
      <c r="F891" t="s">
        <v>44</v>
      </c>
      <c r="G891" t="s">
        <v>76</v>
      </c>
      <c r="H891" t="s">
        <v>32</v>
      </c>
      <c r="I891" t="s">
        <v>44</v>
      </c>
      <c r="J891" t="str">
        <f>PROPER(TRIM(CLEAN(tbl_Original[[#This Row],[Column1]])))</f>
        <v>Jezd</v>
      </c>
      <c r="K891" t="s">
        <v>2290</v>
      </c>
      <c r="L891" t="s">
        <v>1845</v>
      </c>
      <c r="M891" t="s">
        <v>194</v>
      </c>
      <c r="N891" s="1">
        <v>58.27</v>
      </c>
      <c r="O891">
        <v>2</v>
      </c>
      <c r="P891" t="s">
        <v>48</v>
      </c>
      <c r="Q891">
        <v>5</v>
      </c>
      <c r="R891">
        <v>4</v>
      </c>
      <c r="S891">
        <v>1</v>
      </c>
      <c r="T891" t="s">
        <v>49</v>
      </c>
      <c r="U891" t="s">
        <v>37</v>
      </c>
      <c r="V891">
        <v>1</v>
      </c>
      <c r="W891">
        <v>4</v>
      </c>
      <c r="X891" t="s">
        <v>49</v>
      </c>
      <c r="Y891" t="s">
        <v>60</v>
      </c>
      <c r="Z891" t="s">
        <v>86</v>
      </c>
      <c r="AA891" s="2">
        <v>45580</v>
      </c>
      <c r="AB891" t="b">
        <v>0</v>
      </c>
      <c r="AC891" t="b">
        <v>1</v>
      </c>
      <c r="AD891" t="s">
        <v>40</v>
      </c>
      <c r="AE891" t="s">
        <v>41</v>
      </c>
      <c r="AF891">
        <v>13</v>
      </c>
    </row>
    <row r="892" spans="1:32" x14ac:dyDescent="0.25">
      <c r="A892" t="s">
        <v>1846</v>
      </c>
      <c r="B892">
        <v>890</v>
      </c>
      <c r="C892">
        <v>25</v>
      </c>
      <c r="D892" t="str">
        <f>IF(tbl_Original[[#This Row],[Gender2]]="Female","Female",IF(tbl_Original[[#This Row],[Gender2]]="Male","Male","Other"))</f>
        <v>Male</v>
      </c>
      <c r="E892" t="s">
        <v>43</v>
      </c>
      <c r="F892" t="s">
        <v>30</v>
      </c>
      <c r="G892" t="s">
        <v>55</v>
      </c>
      <c r="H892" t="s">
        <v>56</v>
      </c>
      <c r="I892" t="s">
        <v>44</v>
      </c>
      <c r="J892" t="str">
        <f>PROPER(TRIM(CLEAN(tbl_Original[[#This Row],[Column1]])))</f>
        <v>Bhadrapur</v>
      </c>
      <c r="K892" t="s">
        <v>1847</v>
      </c>
      <c r="L892" t="s">
        <v>1847</v>
      </c>
      <c r="M892" t="s">
        <v>90</v>
      </c>
      <c r="N892" s="1">
        <v>190.76</v>
      </c>
      <c r="O892">
        <v>10</v>
      </c>
      <c r="P892" t="s">
        <v>48</v>
      </c>
      <c r="Q892">
        <v>5</v>
      </c>
      <c r="R892">
        <v>5</v>
      </c>
      <c r="S892">
        <v>2</v>
      </c>
      <c r="T892" t="s">
        <v>36</v>
      </c>
      <c r="U892" t="s">
        <v>50</v>
      </c>
      <c r="V892">
        <v>1</v>
      </c>
      <c r="W892">
        <v>3</v>
      </c>
      <c r="X892" t="s">
        <v>44</v>
      </c>
      <c r="Y892" t="s">
        <v>79</v>
      </c>
      <c r="Z892" t="s">
        <v>66</v>
      </c>
      <c r="AA892" s="2">
        <v>45603</v>
      </c>
      <c r="AB892" t="b">
        <v>0</v>
      </c>
      <c r="AC892" t="b">
        <v>0</v>
      </c>
      <c r="AD892" t="s">
        <v>74</v>
      </c>
      <c r="AE892" t="s">
        <v>67</v>
      </c>
      <c r="AF892">
        <v>11</v>
      </c>
    </row>
    <row r="893" spans="1:32" x14ac:dyDescent="0.25">
      <c r="A893" t="s">
        <v>1848</v>
      </c>
      <c r="B893">
        <v>891</v>
      </c>
      <c r="C893">
        <v>40</v>
      </c>
      <c r="D893" t="str">
        <f>IF(tbl_Original[[#This Row],[Gender2]]="Female","Female",IF(tbl_Original[[#This Row],[Gender2]]="Male","Male","Other"))</f>
        <v>Female</v>
      </c>
      <c r="E893" t="s">
        <v>29</v>
      </c>
      <c r="F893" t="s">
        <v>44</v>
      </c>
      <c r="G893" t="s">
        <v>69</v>
      </c>
      <c r="H893" t="s">
        <v>56</v>
      </c>
      <c r="I893" t="s">
        <v>44</v>
      </c>
      <c r="J893" t="str">
        <f>PROPER(TRIM(CLEAN(tbl_Original[[#This Row],[Column1]])))</f>
        <v>Kostrovo</v>
      </c>
      <c r="K893" t="s">
        <v>1849</v>
      </c>
      <c r="L893" t="s">
        <v>1849</v>
      </c>
      <c r="M893" t="s">
        <v>101</v>
      </c>
      <c r="N893" s="1">
        <v>105.76</v>
      </c>
      <c r="O893">
        <v>8</v>
      </c>
      <c r="P893" t="s">
        <v>78</v>
      </c>
      <c r="Q893">
        <v>4</v>
      </c>
      <c r="R893">
        <v>4</v>
      </c>
      <c r="S893">
        <v>2</v>
      </c>
      <c r="T893" t="s">
        <v>36</v>
      </c>
      <c r="U893" t="s">
        <v>85</v>
      </c>
      <c r="V893">
        <v>1</v>
      </c>
      <c r="W893">
        <v>8</v>
      </c>
      <c r="X893" t="s">
        <v>49</v>
      </c>
      <c r="Y893" t="s">
        <v>38</v>
      </c>
      <c r="Z893" t="s">
        <v>39</v>
      </c>
      <c r="AA893" s="2">
        <v>45309</v>
      </c>
      <c r="AB893" t="b">
        <v>0</v>
      </c>
      <c r="AC893" t="b">
        <v>0</v>
      </c>
      <c r="AD893" t="s">
        <v>74</v>
      </c>
      <c r="AE893" t="s">
        <v>67</v>
      </c>
      <c r="AF893">
        <v>4</v>
      </c>
    </row>
    <row r="894" spans="1:32" x14ac:dyDescent="0.25">
      <c r="A894" t="s">
        <v>1850</v>
      </c>
      <c r="B894">
        <v>892</v>
      </c>
      <c r="C894">
        <v>24</v>
      </c>
      <c r="D894" t="str">
        <f>IF(tbl_Original[[#This Row],[Gender2]]="Female","Female",IF(tbl_Original[[#This Row],[Gender2]]="Male","Male","Other"))</f>
        <v>Female</v>
      </c>
      <c r="E894" t="s">
        <v>29</v>
      </c>
      <c r="F894" t="s">
        <v>30</v>
      </c>
      <c r="G894" t="s">
        <v>55</v>
      </c>
      <c r="H894" t="s">
        <v>56</v>
      </c>
      <c r="I894" t="s">
        <v>44</v>
      </c>
      <c r="J894" t="str">
        <f>PROPER(TRIM(CLEAN(tbl_Original[[#This Row],[Column1]])))</f>
        <v>Lemery</v>
      </c>
      <c r="K894" t="s">
        <v>1851</v>
      </c>
      <c r="L894" t="s">
        <v>1851</v>
      </c>
      <c r="M894" t="s">
        <v>107</v>
      </c>
      <c r="N894" s="1">
        <v>254.29</v>
      </c>
      <c r="O894">
        <v>9</v>
      </c>
      <c r="P894" t="s">
        <v>35</v>
      </c>
      <c r="Q894">
        <v>5</v>
      </c>
      <c r="R894">
        <v>4</v>
      </c>
      <c r="S894">
        <v>0</v>
      </c>
      <c r="T894" t="s">
        <v>49</v>
      </c>
      <c r="U894" t="s">
        <v>37</v>
      </c>
      <c r="V894">
        <v>1</v>
      </c>
      <c r="W894">
        <v>7</v>
      </c>
      <c r="X894" t="s">
        <v>59</v>
      </c>
      <c r="Y894" t="s">
        <v>60</v>
      </c>
      <c r="Z894" t="s">
        <v>86</v>
      </c>
      <c r="AA894" s="2">
        <v>45412</v>
      </c>
      <c r="AB894" t="b">
        <v>0</v>
      </c>
      <c r="AC894" t="b">
        <v>0</v>
      </c>
      <c r="AD894" t="s">
        <v>62</v>
      </c>
      <c r="AE894" t="s">
        <v>67</v>
      </c>
      <c r="AF894">
        <v>3</v>
      </c>
    </row>
    <row r="895" spans="1:32" x14ac:dyDescent="0.25">
      <c r="A895" t="s">
        <v>1852</v>
      </c>
      <c r="B895">
        <v>893</v>
      </c>
      <c r="C895">
        <v>49</v>
      </c>
      <c r="D895" t="str">
        <f>IF(tbl_Original[[#This Row],[Gender2]]="Female","Female",IF(tbl_Original[[#This Row],[Gender2]]="Male","Male","Other"))</f>
        <v>Male</v>
      </c>
      <c r="E895" t="s">
        <v>43</v>
      </c>
      <c r="F895" t="s">
        <v>30</v>
      </c>
      <c r="G895" t="s">
        <v>76</v>
      </c>
      <c r="H895" t="s">
        <v>32</v>
      </c>
      <c r="I895" t="s">
        <v>44</v>
      </c>
      <c r="J895" t="str">
        <f>PROPER(TRIM(CLEAN(tbl_Original[[#This Row],[Column1]])))</f>
        <v>Youcheng</v>
      </c>
      <c r="K895" t="s">
        <v>1853</v>
      </c>
      <c r="L895" t="s">
        <v>1853</v>
      </c>
      <c r="M895" t="s">
        <v>90</v>
      </c>
      <c r="N895" s="1">
        <v>435.52</v>
      </c>
      <c r="O895">
        <v>9</v>
      </c>
      <c r="P895" t="s">
        <v>78</v>
      </c>
      <c r="Q895">
        <v>5</v>
      </c>
      <c r="R895">
        <v>3</v>
      </c>
      <c r="S895">
        <v>2</v>
      </c>
      <c r="T895" t="s">
        <v>44</v>
      </c>
      <c r="U895" t="s">
        <v>50</v>
      </c>
      <c r="V895">
        <v>1</v>
      </c>
      <c r="W895">
        <v>2</v>
      </c>
      <c r="X895" t="s">
        <v>49</v>
      </c>
      <c r="Y895" t="s">
        <v>79</v>
      </c>
      <c r="Z895" t="s">
        <v>61</v>
      </c>
      <c r="AA895" s="2">
        <v>45608</v>
      </c>
      <c r="AB895" t="b">
        <v>1</v>
      </c>
      <c r="AC895" t="b">
        <v>0</v>
      </c>
      <c r="AD895" t="s">
        <v>62</v>
      </c>
      <c r="AE895" t="s">
        <v>41</v>
      </c>
      <c r="AF895">
        <v>11</v>
      </c>
    </row>
    <row r="896" spans="1:32" x14ac:dyDescent="0.25">
      <c r="A896" t="s">
        <v>1854</v>
      </c>
      <c r="B896">
        <v>894</v>
      </c>
      <c r="C896">
        <v>50</v>
      </c>
      <c r="D896" t="str">
        <f>IF(tbl_Original[[#This Row],[Gender2]]="Female","Female",IF(tbl_Original[[#This Row],[Gender2]]="Male","Male","Other"))</f>
        <v>Female</v>
      </c>
      <c r="E896" t="s">
        <v>29</v>
      </c>
      <c r="F896" t="s">
        <v>44</v>
      </c>
      <c r="G896" t="s">
        <v>31</v>
      </c>
      <c r="H896" t="s">
        <v>56</v>
      </c>
      <c r="I896" t="s">
        <v>30</v>
      </c>
      <c r="J896" t="str">
        <f>PROPER(TRIM(CLEAN(tbl_Original[[#This Row],[Column1]])))</f>
        <v>Napoli</v>
      </c>
      <c r="K896" t="s">
        <v>1855</v>
      </c>
      <c r="L896" t="s">
        <v>1855</v>
      </c>
      <c r="M896" t="s">
        <v>58</v>
      </c>
      <c r="N896" s="1">
        <v>235.49</v>
      </c>
      <c r="O896">
        <v>5</v>
      </c>
      <c r="P896" t="s">
        <v>48</v>
      </c>
      <c r="Q896">
        <v>4</v>
      </c>
      <c r="R896">
        <v>3</v>
      </c>
      <c r="S896">
        <v>1</v>
      </c>
      <c r="T896" t="s">
        <v>44</v>
      </c>
      <c r="U896" t="s">
        <v>37</v>
      </c>
      <c r="V896">
        <v>1</v>
      </c>
      <c r="W896">
        <v>6</v>
      </c>
      <c r="X896" t="s">
        <v>36</v>
      </c>
      <c r="Y896" t="s">
        <v>60</v>
      </c>
      <c r="Z896" t="s">
        <v>86</v>
      </c>
      <c r="AA896" s="2">
        <v>45425</v>
      </c>
      <c r="AB896" t="b">
        <v>1</v>
      </c>
      <c r="AC896" t="b">
        <v>0</v>
      </c>
      <c r="AD896" t="s">
        <v>62</v>
      </c>
      <c r="AE896" t="s">
        <v>67</v>
      </c>
      <c r="AF896">
        <v>5</v>
      </c>
    </row>
    <row r="897" spans="1:32" x14ac:dyDescent="0.25">
      <c r="A897" t="s">
        <v>1856</v>
      </c>
      <c r="B897">
        <v>895</v>
      </c>
      <c r="C897">
        <v>45</v>
      </c>
      <c r="D897" t="str">
        <f>IF(tbl_Original[[#This Row],[Gender2]]="Female","Female",IF(tbl_Original[[#This Row],[Gender2]]="Male","Male","Other"))</f>
        <v>Male</v>
      </c>
      <c r="E897" t="s">
        <v>43</v>
      </c>
      <c r="F897" t="s">
        <v>44</v>
      </c>
      <c r="G897" t="s">
        <v>69</v>
      </c>
      <c r="H897" t="s">
        <v>56</v>
      </c>
      <c r="I897" t="s">
        <v>30</v>
      </c>
      <c r="J897" t="str">
        <f>PROPER(TRIM(CLEAN(tbl_Original[[#This Row],[Column1]])))</f>
        <v>El Cao</v>
      </c>
      <c r="K897" t="s">
        <v>2263</v>
      </c>
      <c r="L897" t="s">
        <v>1857</v>
      </c>
      <c r="M897" t="s">
        <v>93</v>
      </c>
      <c r="N897" s="1">
        <v>161.34</v>
      </c>
      <c r="O897">
        <v>3</v>
      </c>
      <c r="P897" t="s">
        <v>35</v>
      </c>
      <c r="Q897">
        <v>2</v>
      </c>
      <c r="R897">
        <v>3</v>
      </c>
      <c r="S897">
        <v>2</v>
      </c>
      <c r="T897" t="s">
        <v>44</v>
      </c>
      <c r="U897" t="s">
        <v>85</v>
      </c>
      <c r="V897">
        <v>1</v>
      </c>
      <c r="W897">
        <v>8</v>
      </c>
      <c r="X897" t="s">
        <v>49</v>
      </c>
      <c r="Y897" t="s">
        <v>38</v>
      </c>
      <c r="Z897" t="s">
        <v>39</v>
      </c>
      <c r="AA897" s="2">
        <v>45563</v>
      </c>
      <c r="AB897" t="b">
        <v>1</v>
      </c>
      <c r="AC897" t="b">
        <v>0</v>
      </c>
      <c r="AD897" t="s">
        <v>62</v>
      </c>
      <c r="AE897" t="s">
        <v>41</v>
      </c>
      <c r="AF897">
        <v>4</v>
      </c>
    </row>
    <row r="898" spans="1:32" x14ac:dyDescent="0.25">
      <c r="A898" t="s">
        <v>1858</v>
      </c>
      <c r="B898">
        <v>896</v>
      </c>
      <c r="C898">
        <v>19</v>
      </c>
      <c r="D898" t="str">
        <f>IF(tbl_Original[[#This Row],[Gender2]]="Female","Female",IF(tbl_Original[[#This Row],[Gender2]]="Male","Male","Other"))</f>
        <v>Male</v>
      </c>
      <c r="E898" t="s">
        <v>43</v>
      </c>
      <c r="F898" t="s">
        <v>44</v>
      </c>
      <c r="G898" t="s">
        <v>55</v>
      </c>
      <c r="H898" t="s">
        <v>56</v>
      </c>
      <c r="I898" t="s">
        <v>44</v>
      </c>
      <c r="J898" t="str">
        <f>PROPER(TRIM(CLEAN(tbl_Original[[#This Row],[Column1]])))</f>
        <v>Heemstede</v>
      </c>
      <c r="K898" t="s">
        <v>1859</v>
      </c>
      <c r="L898" t="s">
        <v>1859</v>
      </c>
      <c r="M898" t="s">
        <v>93</v>
      </c>
      <c r="N898" s="1">
        <v>167.67</v>
      </c>
      <c r="O898">
        <v>11</v>
      </c>
      <c r="P898" t="s">
        <v>48</v>
      </c>
      <c r="Q898">
        <v>5</v>
      </c>
      <c r="R898">
        <v>2</v>
      </c>
      <c r="S898">
        <v>1</v>
      </c>
      <c r="T898" t="s">
        <v>44</v>
      </c>
      <c r="U898" t="s">
        <v>85</v>
      </c>
      <c r="V898">
        <v>0</v>
      </c>
      <c r="W898">
        <v>6</v>
      </c>
      <c r="X898" t="s">
        <v>49</v>
      </c>
      <c r="Y898" t="s">
        <v>60</v>
      </c>
      <c r="Z898" t="s">
        <v>39</v>
      </c>
      <c r="AA898" s="2">
        <v>45369</v>
      </c>
      <c r="AB898" t="b">
        <v>0</v>
      </c>
      <c r="AC898" t="b">
        <v>1</v>
      </c>
      <c r="AD898" t="s">
        <v>40</v>
      </c>
      <c r="AE898" t="s">
        <v>67</v>
      </c>
      <c r="AF898">
        <v>5</v>
      </c>
    </row>
    <row r="899" spans="1:32" x14ac:dyDescent="0.25">
      <c r="A899" t="s">
        <v>1860</v>
      </c>
      <c r="B899">
        <v>897</v>
      </c>
      <c r="C899">
        <v>50</v>
      </c>
      <c r="D899" t="str">
        <f>IF(tbl_Original[[#This Row],[Gender2]]="Female","Female",IF(tbl_Original[[#This Row],[Gender2]]="Male","Male","Other"))</f>
        <v>Female</v>
      </c>
      <c r="E899" t="s">
        <v>29</v>
      </c>
      <c r="F899" t="s">
        <v>30</v>
      </c>
      <c r="G899" t="s">
        <v>69</v>
      </c>
      <c r="H899" t="s">
        <v>45</v>
      </c>
      <c r="I899" t="s">
        <v>44</v>
      </c>
      <c r="J899" t="str">
        <f>PROPER(TRIM(CLEAN(tbl_Original[[#This Row],[Column1]])))</f>
        <v>Panyam</v>
      </c>
      <c r="K899" t="s">
        <v>1861</v>
      </c>
      <c r="L899" t="s">
        <v>1861</v>
      </c>
      <c r="M899" t="s">
        <v>47</v>
      </c>
      <c r="N899" s="1">
        <v>96.68</v>
      </c>
      <c r="O899">
        <v>10</v>
      </c>
      <c r="P899" t="s">
        <v>35</v>
      </c>
      <c r="Q899">
        <v>5</v>
      </c>
      <c r="R899">
        <v>2</v>
      </c>
      <c r="S899">
        <v>2</v>
      </c>
      <c r="T899" t="s">
        <v>44</v>
      </c>
      <c r="U899" t="s">
        <v>37</v>
      </c>
      <c r="V899">
        <v>2</v>
      </c>
      <c r="W899">
        <v>3</v>
      </c>
      <c r="X899" t="s">
        <v>36</v>
      </c>
      <c r="Y899" t="s">
        <v>60</v>
      </c>
      <c r="Z899" t="s">
        <v>39</v>
      </c>
      <c r="AA899" s="2">
        <v>45395</v>
      </c>
      <c r="AB899" t="b">
        <v>1</v>
      </c>
      <c r="AC899" t="b">
        <v>0</v>
      </c>
      <c r="AD899" t="s">
        <v>74</v>
      </c>
      <c r="AE899" t="s">
        <v>41</v>
      </c>
      <c r="AF899">
        <v>10</v>
      </c>
    </row>
    <row r="900" spans="1:32" x14ac:dyDescent="0.25">
      <c r="A900" t="s">
        <v>1862</v>
      </c>
      <c r="B900">
        <v>898</v>
      </c>
      <c r="C900">
        <v>32</v>
      </c>
      <c r="D900" t="str">
        <f>IF(tbl_Original[[#This Row],[Gender2]]="Female","Female",IF(tbl_Original[[#This Row],[Gender2]]="Male","Male","Other"))</f>
        <v>Male</v>
      </c>
      <c r="E900" t="s">
        <v>43</v>
      </c>
      <c r="F900" t="s">
        <v>44</v>
      </c>
      <c r="G900" t="s">
        <v>31</v>
      </c>
      <c r="H900" t="s">
        <v>56</v>
      </c>
      <c r="I900" t="s">
        <v>44</v>
      </c>
      <c r="J900" t="str">
        <f>PROPER(TRIM(CLEAN(tbl_Original[[#This Row],[Column1]])))</f>
        <v>Faraulep</v>
      </c>
      <c r="K900" t="s">
        <v>1863</v>
      </c>
      <c r="L900" t="s">
        <v>1863</v>
      </c>
      <c r="M900" t="s">
        <v>34</v>
      </c>
      <c r="N900" s="1">
        <v>234.58</v>
      </c>
      <c r="O900">
        <v>3</v>
      </c>
      <c r="P900" t="s">
        <v>35</v>
      </c>
      <c r="Q900">
        <v>5</v>
      </c>
      <c r="R900">
        <v>5</v>
      </c>
      <c r="S900">
        <v>2</v>
      </c>
      <c r="T900" t="s">
        <v>59</v>
      </c>
      <c r="U900" t="s">
        <v>85</v>
      </c>
      <c r="V900">
        <v>2</v>
      </c>
      <c r="W900">
        <v>6</v>
      </c>
      <c r="X900" t="s">
        <v>36</v>
      </c>
      <c r="Y900" t="s">
        <v>79</v>
      </c>
      <c r="Z900" t="s">
        <v>51</v>
      </c>
      <c r="AA900" s="2">
        <v>45405</v>
      </c>
      <c r="AB900" t="b">
        <v>1</v>
      </c>
      <c r="AC900" t="b">
        <v>0</v>
      </c>
      <c r="AD900" t="s">
        <v>62</v>
      </c>
      <c r="AE900" t="s">
        <v>53</v>
      </c>
      <c r="AF900">
        <v>1</v>
      </c>
    </row>
    <row r="901" spans="1:32" x14ac:dyDescent="0.25">
      <c r="A901" t="s">
        <v>1864</v>
      </c>
      <c r="B901">
        <v>899</v>
      </c>
      <c r="C901">
        <v>21</v>
      </c>
      <c r="D901" t="str">
        <f>IF(tbl_Original[[#This Row],[Gender2]]="Female","Female",IF(tbl_Original[[#This Row],[Gender2]]="Male","Male","Other"))</f>
        <v>Male</v>
      </c>
      <c r="E901" t="s">
        <v>43</v>
      </c>
      <c r="F901" t="s">
        <v>30</v>
      </c>
      <c r="G901" t="s">
        <v>31</v>
      </c>
      <c r="H901" t="s">
        <v>56</v>
      </c>
      <c r="I901" t="s">
        <v>30</v>
      </c>
      <c r="J901" t="str">
        <f>PROPER(TRIM(CLEAN(tbl_Original[[#This Row],[Column1]])))</f>
        <v>San Isidro</v>
      </c>
      <c r="K901" t="s">
        <v>1865</v>
      </c>
      <c r="L901" t="s">
        <v>1865</v>
      </c>
      <c r="M901" t="s">
        <v>71</v>
      </c>
      <c r="N901" s="1">
        <v>156.47999999999999</v>
      </c>
      <c r="O901">
        <v>7</v>
      </c>
      <c r="P901" t="s">
        <v>48</v>
      </c>
      <c r="Q901">
        <v>5</v>
      </c>
      <c r="R901">
        <v>1</v>
      </c>
      <c r="S901">
        <v>0</v>
      </c>
      <c r="T901" t="s">
        <v>59</v>
      </c>
      <c r="U901" t="s">
        <v>50</v>
      </c>
      <c r="V901">
        <v>2</v>
      </c>
      <c r="W901">
        <v>5</v>
      </c>
      <c r="X901" t="s">
        <v>49</v>
      </c>
      <c r="Y901" t="s">
        <v>79</v>
      </c>
      <c r="Z901" t="s">
        <v>66</v>
      </c>
      <c r="AA901" s="2">
        <v>45364</v>
      </c>
      <c r="AB901" t="b">
        <v>0</v>
      </c>
      <c r="AC901" t="b">
        <v>1</v>
      </c>
      <c r="AD901" t="s">
        <v>52</v>
      </c>
      <c r="AE901" t="s">
        <v>41</v>
      </c>
      <c r="AF901">
        <v>4</v>
      </c>
    </row>
    <row r="902" spans="1:32" x14ac:dyDescent="0.25">
      <c r="A902" t="s">
        <v>1866</v>
      </c>
      <c r="B902">
        <v>900</v>
      </c>
      <c r="C902">
        <v>27</v>
      </c>
      <c r="D902" t="str">
        <f>IF(tbl_Original[[#This Row],[Gender2]]="Female","Female",IF(tbl_Original[[#This Row],[Gender2]]="Male","Male","Other"))</f>
        <v>Other</v>
      </c>
      <c r="E902" t="s">
        <v>212</v>
      </c>
      <c r="F902" t="s">
        <v>44</v>
      </c>
      <c r="G902" t="s">
        <v>69</v>
      </c>
      <c r="H902" t="s">
        <v>32</v>
      </c>
      <c r="I902" t="s">
        <v>30</v>
      </c>
      <c r="J902" t="str">
        <f>PROPER(TRIM(CLEAN(tbl_Original[[#This Row],[Column1]])))</f>
        <v>Mranggen</v>
      </c>
      <c r="K902" t="s">
        <v>1867</v>
      </c>
      <c r="L902" t="s">
        <v>1867</v>
      </c>
      <c r="M902" t="s">
        <v>246</v>
      </c>
      <c r="N902" s="1">
        <v>489.66</v>
      </c>
      <c r="O902">
        <v>11</v>
      </c>
      <c r="P902" t="s">
        <v>35</v>
      </c>
      <c r="Q902">
        <v>5</v>
      </c>
      <c r="R902">
        <v>1</v>
      </c>
      <c r="S902">
        <v>0</v>
      </c>
      <c r="T902" t="s">
        <v>44</v>
      </c>
      <c r="U902" t="s">
        <v>50</v>
      </c>
      <c r="V902">
        <v>2</v>
      </c>
      <c r="W902">
        <v>6</v>
      </c>
      <c r="X902" t="s">
        <v>36</v>
      </c>
      <c r="Y902" t="s">
        <v>38</v>
      </c>
      <c r="Z902" t="s">
        <v>66</v>
      </c>
      <c r="AA902" s="2">
        <v>45309</v>
      </c>
      <c r="AB902" t="b">
        <v>1</v>
      </c>
      <c r="AC902" t="b">
        <v>0</v>
      </c>
      <c r="AD902" t="s">
        <v>52</v>
      </c>
      <c r="AE902" t="s">
        <v>53</v>
      </c>
      <c r="AF902">
        <v>3</v>
      </c>
    </row>
    <row r="903" spans="1:32" x14ac:dyDescent="0.25">
      <c r="A903" t="s">
        <v>1868</v>
      </c>
      <c r="B903">
        <v>901</v>
      </c>
      <c r="C903">
        <v>39</v>
      </c>
      <c r="D903" t="str">
        <f>IF(tbl_Original[[#This Row],[Gender2]]="Female","Female",IF(tbl_Original[[#This Row],[Gender2]]="Male","Male","Other"))</f>
        <v>Other</v>
      </c>
      <c r="E903" t="s">
        <v>274</v>
      </c>
      <c r="F903" t="s">
        <v>44</v>
      </c>
      <c r="G903" t="s">
        <v>76</v>
      </c>
      <c r="H903" t="s">
        <v>56</v>
      </c>
      <c r="I903" t="s">
        <v>44</v>
      </c>
      <c r="J903" t="str">
        <f>PROPER(TRIM(CLEAN(tbl_Original[[#This Row],[Column1]])))</f>
        <v>Cigadog</v>
      </c>
      <c r="K903" t="s">
        <v>1869</v>
      </c>
      <c r="L903" t="s">
        <v>1869</v>
      </c>
      <c r="M903" t="s">
        <v>114</v>
      </c>
      <c r="N903" s="1">
        <v>161.85</v>
      </c>
      <c r="O903">
        <v>9</v>
      </c>
      <c r="P903" t="s">
        <v>48</v>
      </c>
      <c r="Q903">
        <v>5</v>
      </c>
      <c r="R903">
        <v>3</v>
      </c>
      <c r="S903">
        <v>0</v>
      </c>
      <c r="T903" t="s">
        <v>44</v>
      </c>
      <c r="U903" t="s">
        <v>85</v>
      </c>
      <c r="V903">
        <v>0</v>
      </c>
      <c r="W903">
        <v>4</v>
      </c>
      <c r="X903" t="s">
        <v>49</v>
      </c>
      <c r="Y903" t="s">
        <v>60</v>
      </c>
      <c r="Z903" t="s">
        <v>66</v>
      </c>
      <c r="AA903" s="2">
        <v>45407</v>
      </c>
      <c r="AB903" t="b">
        <v>1</v>
      </c>
      <c r="AC903" t="b">
        <v>0</v>
      </c>
      <c r="AD903" t="s">
        <v>40</v>
      </c>
      <c r="AE903" t="s">
        <v>41</v>
      </c>
      <c r="AF903">
        <v>10</v>
      </c>
    </row>
    <row r="904" spans="1:32" x14ac:dyDescent="0.25">
      <c r="A904" t="s">
        <v>1870</v>
      </c>
      <c r="B904">
        <v>902</v>
      </c>
      <c r="C904">
        <v>34</v>
      </c>
      <c r="D904" t="str">
        <f>IF(tbl_Original[[#This Row],[Gender2]]="Female","Female",IF(tbl_Original[[#This Row],[Gender2]]="Male","Male","Other"))</f>
        <v>Male</v>
      </c>
      <c r="E904" t="s">
        <v>43</v>
      </c>
      <c r="F904" t="s">
        <v>30</v>
      </c>
      <c r="G904" t="s">
        <v>69</v>
      </c>
      <c r="H904" t="s">
        <v>56</v>
      </c>
      <c r="I904" t="s">
        <v>44</v>
      </c>
      <c r="J904" t="str">
        <f>PROPER(TRIM(CLEAN(tbl_Original[[#This Row],[Column1]])))</f>
        <v>Caitang</v>
      </c>
      <c r="K904" t="s">
        <v>1871</v>
      </c>
      <c r="L904" t="s">
        <v>1871</v>
      </c>
      <c r="M904" t="s">
        <v>117</v>
      </c>
      <c r="N904" s="1">
        <v>204.47</v>
      </c>
      <c r="O904">
        <v>7</v>
      </c>
      <c r="P904" t="s">
        <v>78</v>
      </c>
      <c r="Q904">
        <v>2</v>
      </c>
      <c r="R904">
        <v>1</v>
      </c>
      <c r="S904">
        <v>1</v>
      </c>
      <c r="T904" t="s">
        <v>36</v>
      </c>
      <c r="U904" t="s">
        <v>85</v>
      </c>
      <c r="V904">
        <v>2</v>
      </c>
      <c r="W904">
        <v>9</v>
      </c>
      <c r="X904" t="s">
        <v>36</v>
      </c>
      <c r="Y904" t="s">
        <v>60</v>
      </c>
      <c r="Z904" t="s">
        <v>39</v>
      </c>
      <c r="AA904" s="2">
        <v>45519</v>
      </c>
      <c r="AB904" t="b">
        <v>1</v>
      </c>
      <c r="AC904" t="b">
        <v>1</v>
      </c>
      <c r="AD904" t="s">
        <v>52</v>
      </c>
      <c r="AE904" t="s">
        <v>41</v>
      </c>
      <c r="AF904">
        <v>3</v>
      </c>
    </row>
    <row r="905" spans="1:32" x14ac:dyDescent="0.25">
      <c r="A905" t="s">
        <v>1872</v>
      </c>
      <c r="B905">
        <v>903</v>
      </c>
      <c r="C905">
        <v>34</v>
      </c>
      <c r="D905" t="str">
        <f>IF(tbl_Original[[#This Row],[Gender2]]="Female","Female",IF(tbl_Original[[#This Row],[Gender2]]="Male","Male","Other"))</f>
        <v>Female</v>
      </c>
      <c r="E905" t="s">
        <v>29</v>
      </c>
      <c r="F905" t="s">
        <v>30</v>
      </c>
      <c r="G905" t="s">
        <v>69</v>
      </c>
      <c r="H905" t="s">
        <v>32</v>
      </c>
      <c r="I905" t="s">
        <v>30</v>
      </c>
      <c r="J905" t="str">
        <f>PROPER(TRIM(CLEAN(tbl_Original[[#This Row],[Column1]])))</f>
        <v>Masoyila</v>
      </c>
      <c r="K905" t="s">
        <v>1873</v>
      </c>
      <c r="L905" t="s">
        <v>1873</v>
      </c>
      <c r="M905" t="s">
        <v>107</v>
      </c>
      <c r="N905" s="1">
        <v>315.02999999999997</v>
      </c>
      <c r="O905">
        <v>4</v>
      </c>
      <c r="P905" t="s">
        <v>78</v>
      </c>
      <c r="Q905">
        <v>1</v>
      </c>
      <c r="R905">
        <v>5</v>
      </c>
      <c r="S905">
        <v>0</v>
      </c>
      <c r="T905" t="s">
        <v>44</v>
      </c>
      <c r="U905" t="s">
        <v>85</v>
      </c>
      <c r="V905">
        <v>1</v>
      </c>
      <c r="W905">
        <v>6</v>
      </c>
      <c r="X905" t="s">
        <v>59</v>
      </c>
      <c r="Y905" t="s">
        <v>38</v>
      </c>
      <c r="Z905" t="s">
        <v>51</v>
      </c>
      <c r="AA905" s="2">
        <v>45606</v>
      </c>
      <c r="AB905" t="b">
        <v>1</v>
      </c>
      <c r="AC905" t="b">
        <v>0</v>
      </c>
      <c r="AD905" t="s">
        <v>74</v>
      </c>
      <c r="AE905" t="s">
        <v>67</v>
      </c>
      <c r="AF905">
        <v>2</v>
      </c>
    </row>
    <row r="906" spans="1:32" x14ac:dyDescent="0.25">
      <c r="A906" t="s">
        <v>1874</v>
      </c>
      <c r="B906">
        <v>904</v>
      </c>
      <c r="C906">
        <v>42</v>
      </c>
      <c r="D906" t="str">
        <f>IF(tbl_Original[[#This Row],[Gender2]]="Female","Female",IF(tbl_Original[[#This Row],[Gender2]]="Male","Male","Other"))</f>
        <v>Male</v>
      </c>
      <c r="E906" t="s">
        <v>43</v>
      </c>
      <c r="F906" t="s">
        <v>30</v>
      </c>
      <c r="G906" t="s">
        <v>55</v>
      </c>
      <c r="H906" t="s">
        <v>56</v>
      </c>
      <c r="I906" t="s">
        <v>44</v>
      </c>
      <c r="J906" t="str">
        <f>PROPER(TRIM(CLEAN(tbl_Original[[#This Row],[Column1]])))</f>
        <v>Beiyuan</v>
      </c>
      <c r="K906" t="s">
        <v>1875</v>
      </c>
      <c r="L906" t="s">
        <v>1875</v>
      </c>
      <c r="M906" t="s">
        <v>71</v>
      </c>
      <c r="N906" s="1">
        <v>330.36</v>
      </c>
      <c r="O906">
        <v>12</v>
      </c>
      <c r="P906" t="s">
        <v>48</v>
      </c>
      <c r="Q906">
        <v>5</v>
      </c>
      <c r="R906">
        <v>5</v>
      </c>
      <c r="S906">
        <v>1</v>
      </c>
      <c r="T906" t="s">
        <v>59</v>
      </c>
      <c r="U906" t="s">
        <v>85</v>
      </c>
      <c r="V906">
        <v>1</v>
      </c>
      <c r="W906">
        <v>4</v>
      </c>
      <c r="X906" t="s">
        <v>59</v>
      </c>
      <c r="Y906" t="s">
        <v>38</v>
      </c>
      <c r="Z906" t="s">
        <v>66</v>
      </c>
      <c r="AA906" s="2">
        <v>45472</v>
      </c>
      <c r="AB906" t="b">
        <v>1</v>
      </c>
      <c r="AC906" t="b">
        <v>1</v>
      </c>
      <c r="AD906" t="s">
        <v>40</v>
      </c>
      <c r="AE906" t="s">
        <v>41</v>
      </c>
      <c r="AF906">
        <v>3</v>
      </c>
    </row>
    <row r="907" spans="1:32" x14ac:dyDescent="0.25">
      <c r="A907" t="s">
        <v>1876</v>
      </c>
      <c r="B907">
        <v>905</v>
      </c>
      <c r="C907">
        <v>42</v>
      </c>
      <c r="D907" t="str">
        <f>IF(tbl_Original[[#This Row],[Gender2]]="Female","Female",IF(tbl_Original[[#This Row],[Gender2]]="Male","Male","Other"))</f>
        <v>Male</v>
      </c>
      <c r="E907" t="s">
        <v>43</v>
      </c>
      <c r="F907" t="s">
        <v>30</v>
      </c>
      <c r="G907" t="s">
        <v>55</v>
      </c>
      <c r="H907" t="s">
        <v>32</v>
      </c>
      <c r="I907" t="s">
        <v>30</v>
      </c>
      <c r="J907" t="str">
        <f>PROPER(TRIM(CLEAN(tbl_Original[[#This Row],[Column1]])))</f>
        <v>Kariya</v>
      </c>
      <c r="K907" t="s">
        <v>1877</v>
      </c>
      <c r="L907" t="s">
        <v>1877</v>
      </c>
      <c r="M907" t="s">
        <v>126</v>
      </c>
      <c r="N907" s="1">
        <v>456.83</v>
      </c>
      <c r="O907">
        <v>5</v>
      </c>
      <c r="P907" t="s">
        <v>78</v>
      </c>
      <c r="Q907">
        <v>2</v>
      </c>
      <c r="R907">
        <v>5</v>
      </c>
      <c r="S907">
        <v>0</v>
      </c>
      <c r="T907" t="s">
        <v>36</v>
      </c>
      <c r="U907" t="s">
        <v>50</v>
      </c>
      <c r="V907">
        <v>0</v>
      </c>
      <c r="W907">
        <v>9</v>
      </c>
      <c r="X907" t="s">
        <v>44</v>
      </c>
      <c r="Y907" t="s">
        <v>38</v>
      </c>
      <c r="Z907" t="s">
        <v>39</v>
      </c>
      <c r="AA907" s="2">
        <v>45463</v>
      </c>
      <c r="AB907" t="b">
        <v>0</v>
      </c>
      <c r="AC907" t="b">
        <v>0</v>
      </c>
      <c r="AD907" t="s">
        <v>40</v>
      </c>
      <c r="AE907" t="s">
        <v>41</v>
      </c>
      <c r="AF907">
        <v>13</v>
      </c>
    </row>
    <row r="908" spans="1:32" x14ac:dyDescent="0.25">
      <c r="A908" t="s">
        <v>1878</v>
      </c>
      <c r="B908">
        <v>906</v>
      </c>
      <c r="C908">
        <v>31</v>
      </c>
      <c r="D908" t="str">
        <f>IF(tbl_Original[[#This Row],[Gender2]]="Female","Female",IF(tbl_Original[[#This Row],[Gender2]]="Male","Male","Other"))</f>
        <v>Male</v>
      </c>
      <c r="E908" t="s">
        <v>43</v>
      </c>
      <c r="F908" t="s">
        <v>44</v>
      </c>
      <c r="G908" t="s">
        <v>69</v>
      </c>
      <c r="H908" t="s">
        <v>32</v>
      </c>
      <c r="I908" t="s">
        <v>44</v>
      </c>
      <c r="J908" t="str">
        <f>PROPER(TRIM(CLEAN(tbl_Original[[#This Row],[Column1]])))</f>
        <v>Malakhovka</v>
      </c>
      <c r="K908" t="s">
        <v>1879</v>
      </c>
      <c r="L908" t="s">
        <v>1879</v>
      </c>
      <c r="M908" t="s">
        <v>246</v>
      </c>
      <c r="N908" s="1">
        <v>236.05</v>
      </c>
      <c r="O908">
        <v>6</v>
      </c>
      <c r="P908" t="s">
        <v>48</v>
      </c>
      <c r="Q908">
        <v>2</v>
      </c>
      <c r="R908">
        <v>3</v>
      </c>
      <c r="S908">
        <v>0</v>
      </c>
      <c r="T908" t="s">
        <v>36</v>
      </c>
      <c r="U908" t="s">
        <v>85</v>
      </c>
      <c r="V908">
        <v>1</v>
      </c>
      <c r="W908">
        <v>4</v>
      </c>
      <c r="X908" t="s">
        <v>44</v>
      </c>
      <c r="Y908" t="s">
        <v>79</v>
      </c>
      <c r="Z908" t="s">
        <v>66</v>
      </c>
      <c r="AA908" s="2">
        <v>45612</v>
      </c>
      <c r="AB908" t="b">
        <v>0</v>
      </c>
      <c r="AC908" t="b">
        <v>1</v>
      </c>
      <c r="AD908" t="s">
        <v>40</v>
      </c>
      <c r="AE908" t="s">
        <v>41</v>
      </c>
      <c r="AF908">
        <v>13</v>
      </c>
    </row>
    <row r="909" spans="1:32" x14ac:dyDescent="0.25">
      <c r="A909" t="s">
        <v>1880</v>
      </c>
      <c r="B909">
        <v>907</v>
      </c>
      <c r="C909">
        <v>35</v>
      </c>
      <c r="D909" t="str">
        <f>IF(tbl_Original[[#This Row],[Gender2]]="Female","Female",IF(tbl_Original[[#This Row],[Gender2]]="Male","Male","Other"))</f>
        <v>Female</v>
      </c>
      <c r="E909" t="s">
        <v>29</v>
      </c>
      <c r="F909" t="s">
        <v>44</v>
      </c>
      <c r="G909" t="s">
        <v>69</v>
      </c>
      <c r="H909" t="s">
        <v>45</v>
      </c>
      <c r="I909" t="s">
        <v>44</v>
      </c>
      <c r="J909" t="str">
        <f>PROPER(TRIM(CLEAN(tbl_Original[[#This Row],[Column1]])))</f>
        <v>At-Bashi</v>
      </c>
      <c r="K909" t="s">
        <v>1881</v>
      </c>
      <c r="L909" t="s">
        <v>1881</v>
      </c>
      <c r="M909" t="s">
        <v>65</v>
      </c>
      <c r="N909" s="1">
        <v>289.27999999999997</v>
      </c>
      <c r="O909">
        <v>9</v>
      </c>
      <c r="P909" t="s">
        <v>78</v>
      </c>
      <c r="Q909">
        <v>3</v>
      </c>
      <c r="R909">
        <v>5</v>
      </c>
      <c r="S909">
        <v>1</v>
      </c>
      <c r="T909" t="s">
        <v>44</v>
      </c>
      <c r="U909" t="s">
        <v>37</v>
      </c>
      <c r="V909">
        <v>2</v>
      </c>
      <c r="W909">
        <v>7</v>
      </c>
      <c r="X909" t="s">
        <v>49</v>
      </c>
      <c r="Y909" t="s">
        <v>38</v>
      </c>
      <c r="Z909" t="s">
        <v>51</v>
      </c>
      <c r="AA909" s="2">
        <v>45472</v>
      </c>
      <c r="AB909" t="b">
        <v>0</v>
      </c>
      <c r="AC909" t="b">
        <v>1</v>
      </c>
      <c r="AD909" t="s">
        <v>52</v>
      </c>
      <c r="AE909" t="s">
        <v>67</v>
      </c>
      <c r="AF909">
        <v>13</v>
      </c>
    </row>
    <row r="910" spans="1:32" x14ac:dyDescent="0.25">
      <c r="A910" t="s">
        <v>1882</v>
      </c>
      <c r="B910">
        <v>908</v>
      </c>
      <c r="C910">
        <v>27</v>
      </c>
      <c r="D910" t="str">
        <f>IF(tbl_Original[[#This Row],[Gender2]]="Female","Female",IF(tbl_Original[[#This Row],[Gender2]]="Male","Male","Other"))</f>
        <v>Female</v>
      </c>
      <c r="E910" t="s">
        <v>29</v>
      </c>
      <c r="F910" t="s">
        <v>44</v>
      </c>
      <c r="G910" t="s">
        <v>31</v>
      </c>
      <c r="H910" t="s">
        <v>45</v>
      </c>
      <c r="I910" t="s">
        <v>30</v>
      </c>
      <c r="J910" t="str">
        <f>PROPER(TRIM(CLEAN(tbl_Original[[#This Row],[Column1]])))</f>
        <v>Sankeyushu</v>
      </c>
      <c r="K910" t="s">
        <v>1883</v>
      </c>
      <c r="L910" t="s">
        <v>1883</v>
      </c>
      <c r="M910" t="s">
        <v>114</v>
      </c>
      <c r="N910" s="1">
        <v>483.77</v>
      </c>
      <c r="O910">
        <v>5</v>
      </c>
      <c r="P910" t="s">
        <v>48</v>
      </c>
      <c r="Q910">
        <v>1</v>
      </c>
      <c r="R910">
        <v>2</v>
      </c>
      <c r="S910">
        <v>0</v>
      </c>
      <c r="T910" t="s">
        <v>36</v>
      </c>
      <c r="U910" t="s">
        <v>85</v>
      </c>
      <c r="V910">
        <v>0</v>
      </c>
      <c r="W910">
        <v>5</v>
      </c>
      <c r="X910" t="s">
        <v>36</v>
      </c>
      <c r="Y910" t="s">
        <v>79</v>
      </c>
      <c r="Z910" t="s">
        <v>39</v>
      </c>
      <c r="AA910" s="2">
        <v>45493</v>
      </c>
      <c r="AB910" t="b">
        <v>0</v>
      </c>
      <c r="AC910" t="b">
        <v>0</v>
      </c>
      <c r="AD910" t="s">
        <v>52</v>
      </c>
      <c r="AE910" t="s">
        <v>41</v>
      </c>
      <c r="AF910">
        <v>10</v>
      </c>
    </row>
    <row r="911" spans="1:32" x14ac:dyDescent="0.25">
      <c r="A911" t="s">
        <v>1884</v>
      </c>
      <c r="B911">
        <v>909</v>
      </c>
      <c r="C911">
        <v>45</v>
      </c>
      <c r="D911" t="str">
        <f>IF(tbl_Original[[#This Row],[Gender2]]="Female","Female",IF(tbl_Original[[#This Row],[Gender2]]="Male","Male","Other"))</f>
        <v>Male</v>
      </c>
      <c r="E911" t="s">
        <v>43</v>
      </c>
      <c r="F911" t="s">
        <v>30</v>
      </c>
      <c r="G911" t="s">
        <v>31</v>
      </c>
      <c r="H911" t="s">
        <v>45</v>
      </c>
      <c r="I911" t="s">
        <v>30</v>
      </c>
      <c r="J911" t="str">
        <f>PROPER(TRIM(CLEAN(tbl_Original[[#This Row],[Column1]])))</f>
        <v>Limoges</v>
      </c>
      <c r="K911" t="s">
        <v>1885</v>
      </c>
      <c r="L911" t="s">
        <v>1885</v>
      </c>
      <c r="M911" t="s">
        <v>71</v>
      </c>
      <c r="N911" s="1">
        <v>64.5</v>
      </c>
      <c r="O911">
        <v>7</v>
      </c>
      <c r="P911" t="s">
        <v>48</v>
      </c>
      <c r="Q911">
        <v>3</v>
      </c>
      <c r="R911">
        <v>4</v>
      </c>
      <c r="S911">
        <v>1</v>
      </c>
      <c r="T911" t="s">
        <v>44</v>
      </c>
      <c r="U911" t="s">
        <v>37</v>
      </c>
      <c r="V911">
        <v>1</v>
      </c>
      <c r="W911">
        <v>7</v>
      </c>
      <c r="X911" t="s">
        <v>44</v>
      </c>
      <c r="Y911" t="s">
        <v>79</v>
      </c>
      <c r="Z911" t="s">
        <v>39</v>
      </c>
      <c r="AA911" s="2">
        <v>45501</v>
      </c>
      <c r="AB911" t="b">
        <v>1</v>
      </c>
      <c r="AC911" t="b">
        <v>0</v>
      </c>
      <c r="AD911" t="s">
        <v>52</v>
      </c>
      <c r="AE911" t="s">
        <v>41</v>
      </c>
      <c r="AF911">
        <v>13</v>
      </c>
    </row>
    <row r="912" spans="1:32" x14ac:dyDescent="0.25">
      <c r="A912" t="s">
        <v>1886</v>
      </c>
      <c r="B912">
        <v>910</v>
      </c>
      <c r="C912">
        <v>43</v>
      </c>
      <c r="D912" t="str">
        <f>IF(tbl_Original[[#This Row],[Gender2]]="Female","Female",IF(tbl_Original[[#This Row],[Gender2]]="Male","Male","Other"))</f>
        <v>Male</v>
      </c>
      <c r="E912" t="s">
        <v>43</v>
      </c>
      <c r="F912" t="s">
        <v>44</v>
      </c>
      <c r="G912" t="s">
        <v>31</v>
      </c>
      <c r="H912" t="s">
        <v>32</v>
      </c>
      <c r="I912" t="s">
        <v>30</v>
      </c>
      <c r="J912" t="str">
        <f>PROPER(TRIM(CLEAN(tbl_Original[[#This Row],[Column1]])))</f>
        <v>Hgersten</v>
      </c>
      <c r="K912" t="s">
        <v>2264</v>
      </c>
      <c r="L912" t="s">
        <v>1887</v>
      </c>
      <c r="M912" t="s">
        <v>158</v>
      </c>
      <c r="N912" s="1">
        <v>436.57</v>
      </c>
      <c r="O912">
        <v>4</v>
      </c>
      <c r="P912" t="s">
        <v>35</v>
      </c>
      <c r="Q912">
        <v>5</v>
      </c>
      <c r="R912">
        <v>3</v>
      </c>
      <c r="S912">
        <v>1</v>
      </c>
      <c r="T912" t="s">
        <v>44</v>
      </c>
      <c r="U912" t="s">
        <v>50</v>
      </c>
      <c r="V912">
        <v>2</v>
      </c>
      <c r="W912">
        <v>10</v>
      </c>
      <c r="X912" t="s">
        <v>59</v>
      </c>
      <c r="Y912" t="s">
        <v>79</v>
      </c>
      <c r="Z912" t="s">
        <v>61</v>
      </c>
      <c r="AA912" s="2">
        <v>45324</v>
      </c>
      <c r="AB912" t="b">
        <v>0</v>
      </c>
      <c r="AC912" t="b">
        <v>0</v>
      </c>
      <c r="AD912" t="s">
        <v>52</v>
      </c>
      <c r="AE912" t="s">
        <v>53</v>
      </c>
      <c r="AF912">
        <v>3</v>
      </c>
    </row>
    <row r="913" spans="1:32" x14ac:dyDescent="0.25">
      <c r="A913" t="s">
        <v>1888</v>
      </c>
      <c r="B913">
        <v>911</v>
      </c>
      <c r="C913">
        <v>35</v>
      </c>
      <c r="D913" t="str">
        <f>IF(tbl_Original[[#This Row],[Gender2]]="Female","Female",IF(tbl_Original[[#This Row],[Gender2]]="Male","Male","Other"))</f>
        <v>Other</v>
      </c>
      <c r="E913" t="s">
        <v>88</v>
      </c>
      <c r="F913" t="s">
        <v>30</v>
      </c>
      <c r="G913" t="s">
        <v>69</v>
      </c>
      <c r="H913" t="s">
        <v>45</v>
      </c>
      <c r="I913" t="s">
        <v>30</v>
      </c>
      <c r="J913" t="str">
        <f>PROPER(TRIM(CLEAN(tbl_Original[[#This Row],[Column1]])))</f>
        <v>Tarata</v>
      </c>
      <c r="K913" t="s">
        <v>1889</v>
      </c>
      <c r="L913" t="s">
        <v>1889</v>
      </c>
      <c r="M913" t="s">
        <v>47</v>
      </c>
      <c r="N913" s="1">
        <v>364.48</v>
      </c>
      <c r="O913">
        <v>2</v>
      </c>
      <c r="P913" t="s">
        <v>35</v>
      </c>
      <c r="Q913">
        <v>3</v>
      </c>
      <c r="R913">
        <v>3</v>
      </c>
      <c r="S913">
        <v>0.2</v>
      </c>
      <c r="T913" t="s">
        <v>36</v>
      </c>
      <c r="U913" t="s">
        <v>85</v>
      </c>
      <c r="V913">
        <v>2</v>
      </c>
      <c r="W913">
        <v>5</v>
      </c>
      <c r="X913" t="s">
        <v>36</v>
      </c>
      <c r="Y913" t="s">
        <v>60</v>
      </c>
      <c r="Z913" t="s">
        <v>66</v>
      </c>
      <c r="AA913" s="2">
        <v>45561</v>
      </c>
      <c r="AB913" t="b">
        <v>0</v>
      </c>
      <c r="AC913" t="b">
        <v>0</v>
      </c>
      <c r="AD913" t="s">
        <v>74</v>
      </c>
      <c r="AE913" t="s">
        <v>41</v>
      </c>
      <c r="AF913">
        <v>13</v>
      </c>
    </row>
    <row r="914" spans="1:32" x14ac:dyDescent="0.25">
      <c r="A914" t="s">
        <v>1890</v>
      </c>
      <c r="B914">
        <v>912</v>
      </c>
      <c r="C914">
        <v>33</v>
      </c>
      <c r="D914" t="str">
        <f>IF(tbl_Original[[#This Row],[Gender2]]="Female","Female",IF(tbl_Original[[#This Row],[Gender2]]="Male","Male","Other"))</f>
        <v>Female</v>
      </c>
      <c r="E914" t="s">
        <v>29</v>
      </c>
      <c r="F914" t="s">
        <v>30</v>
      </c>
      <c r="G914" t="s">
        <v>69</v>
      </c>
      <c r="H914" t="s">
        <v>56</v>
      </c>
      <c r="I914" t="s">
        <v>44</v>
      </c>
      <c r="J914" t="str">
        <f>PROPER(TRIM(CLEAN(tbl_Original[[#This Row],[Column1]])))</f>
        <v>Marabahan</v>
      </c>
      <c r="K914" t="s">
        <v>1891</v>
      </c>
      <c r="L914" t="s">
        <v>1891</v>
      </c>
      <c r="M914" t="s">
        <v>188</v>
      </c>
      <c r="N914" s="1">
        <v>221.88</v>
      </c>
      <c r="O914">
        <v>12</v>
      </c>
      <c r="P914" t="s">
        <v>48</v>
      </c>
      <c r="Q914">
        <v>1</v>
      </c>
      <c r="R914">
        <v>4</v>
      </c>
      <c r="S914">
        <v>2</v>
      </c>
      <c r="T914" t="s">
        <v>59</v>
      </c>
      <c r="U914" t="s">
        <v>37</v>
      </c>
      <c r="V914">
        <v>1</v>
      </c>
      <c r="W914">
        <v>6</v>
      </c>
      <c r="X914" t="s">
        <v>36</v>
      </c>
      <c r="Y914" t="s">
        <v>79</v>
      </c>
      <c r="Z914" t="s">
        <v>66</v>
      </c>
      <c r="AA914" s="2">
        <v>45386</v>
      </c>
      <c r="AB914" t="b">
        <v>1</v>
      </c>
      <c r="AC914" t="b">
        <v>0</v>
      </c>
      <c r="AD914" t="s">
        <v>40</v>
      </c>
      <c r="AE914" t="s">
        <v>67</v>
      </c>
      <c r="AF914">
        <v>9</v>
      </c>
    </row>
    <row r="915" spans="1:32" x14ac:dyDescent="0.25">
      <c r="A915" t="s">
        <v>1892</v>
      </c>
      <c r="B915">
        <v>913</v>
      </c>
      <c r="C915">
        <v>31</v>
      </c>
      <c r="D915" t="str">
        <f>IF(tbl_Original[[#This Row],[Gender2]]="Female","Female",IF(tbl_Original[[#This Row],[Gender2]]="Male","Male","Other"))</f>
        <v>Female</v>
      </c>
      <c r="E915" t="s">
        <v>29</v>
      </c>
      <c r="F915" t="s">
        <v>30</v>
      </c>
      <c r="G915" t="s">
        <v>55</v>
      </c>
      <c r="H915" t="s">
        <v>45</v>
      </c>
      <c r="I915" t="s">
        <v>30</v>
      </c>
      <c r="J915" t="str">
        <f>PROPER(TRIM(CLEAN(tbl_Original[[#This Row],[Column1]])))</f>
        <v>Eslmbd</v>
      </c>
      <c r="K915" t="s">
        <v>2265</v>
      </c>
      <c r="L915" t="s">
        <v>1893</v>
      </c>
      <c r="M915" t="s">
        <v>183</v>
      </c>
      <c r="N915" s="1">
        <v>278.20999999999998</v>
      </c>
      <c r="O915">
        <v>3</v>
      </c>
      <c r="P915" t="s">
        <v>35</v>
      </c>
      <c r="Q915">
        <v>5</v>
      </c>
      <c r="R915">
        <v>1</v>
      </c>
      <c r="S915">
        <v>2</v>
      </c>
      <c r="T915" t="s">
        <v>59</v>
      </c>
      <c r="U915" t="s">
        <v>37</v>
      </c>
      <c r="V915">
        <v>0</v>
      </c>
      <c r="W915">
        <v>7</v>
      </c>
      <c r="X915" t="s">
        <v>59</v>
      </c>
      <c r="Y915" t="s">
        <v>38</v>
      </c>
      <c r="Z915" t="s">
        <v>66</v>
      </c>
      <c r="AA915" s="2">
        <v>45587</v>
      </c>
      <c r="AB915" t="b">
        <v>1</v>
      </c>
      <c r="AC915" t="b">
        <v>0</v>
      </c>
      <c r="AD915" t="s">
        <v>40</v>
      </c>
      <c r="AE915" t="s">
        <v>41</v>
      </c>
      <c r="AF915">
        <v>14</v>
      </c>
    </row>
    <row r="916" spans="1:32" x14ac:dyDescent="0.25">
      <c r="A916" t="s">
        <v>1894</v>
      </c>
      <c r="B916">
        <v>914</v>
      </c>
      <c r="C916">
        <v>31</v>
      </c>
      <c r="D916" t="str">
        <f>IF(tbl_Original[[#This Row],[Gender2]]="Female","Female",IF(tbl_Original[[#This Row],[Gender2]]="Male","Male","Other"))</f>
        <v>Female</v>
      </c>
      <c r="E916" t="s">
        <v>29</v>
      </c>
      <c r="F916" t="s">
        <v>44</v>
      </c>
      <c r="G916" t="s">
        <v>31</v>
      </c>
      <c r="H916" t="s">
        <v>56</v>
      </c>
      <c r="I916" t="s">
        <v>44</v>
      </c>
      <c r="J916" t="str">
        <f>PROPER(TRIM(CLEAN(tbl_Original[[#This Row],[Column1]])))</f>
        <v>Emar</v>
      </c>
      <c r="K916" t="s">
        <v>1895</v>
      </c>
      <c r="L916" t="s">
        <v>1895</v>
      </c>
      <c r="M916" t="s">
        <v>142</v>
      </c>
      <c r="N916" s="1">
        <v>344.43</v>
      </c>
      <c r="O916">
        <v>7</v>
      </c>
      <c r="P916" t="s">
        <v>78</v>
      </c>
      <c r="Q916">
        <v>3</v>
      </c>
      <c r="R916">
        <v>5</v>
      </c>
      <c r="S916">
        <v>0</v>
      </c>
      <c r="T916" t="s">
        <v>49</v>
      </c>
      <c r="U916" t="s">
        <v>50</v>
      </c>
      <c r="V916">
        <v>2</v>
      </c>
      <c r="W916">
        <v>4</v>
      </c>
      <c r="X916" t="s">
        <v>49</v>
      </c>
      <c r="Y916" t="s">
        <v>79</v>
      </c>
      <c r="Z916" t="s">
        <v>39</v>
      </c>
      <c r="AA916" s="2">
        <v>45485</v>
      </c>
      <c r="AB916" t="b">
        <v>1</v>
      </c>
      <c r="AC916" t="b">
        <v>0</v>
      </c>
      <c r="AD916" t="s">
        <v>62</v>
      </c>
      <c r="AE916" t="s">
        <v>53</v>
      </c>
      <c r="AF916">
        <v>5</v>
      </c>
    </row>
    <row r="917" spans="1:32" x14ac:dyDescent="0.25">
      <c r="A917" t="s">
        <v>1896</v>
      </c>
      <c r="B917">
        <v>915</v>
      </c>
      <c r="C917">
        <v>26</v>
      </c>
      <c r="D917" t="str">
        <f>IF(tbl_Original[[#This Row],[Gender2]]="Female","Female",IF(tbl_Original[[#This Row],[Gender2]]="Male","Male","Other"))</f>
        <v>Male</v>
      </c>
      <c r="E917" t="s">
        <v>43</v>
      </c>
      <c r="F917" t="s">
        <v>44</v>
      </c>
      <c r="G917" t="s">
        <v>55</v>
      </c>
      <c r="H917" t="s">
        <v>56</v>
      </c>
      <c r="I917" t="s">
        <v>44</v>
      </c>
      <c r="J917" t="str">
        <f>PROPER(TRIM(CLEAN(tbl_Original[[#This Row],[Column1]])))</f>
        <v>Baisha</v>
      </c>
      <c r="K917" t="s">
        <v>1897</v>
      </c>
      <c r="L917" t="s">
        <v>1897</v>
      </c>
      <c r="M917" t="s">
        <v>123</v>
      </c>
      <c r="N917" s="1">
        <v>326.08</v>
      </c>
      <c r="O917">
        <v>11</v>
      </c>
      <c r="P917" t="s">
        <v>48</v>
      </c>
      <c r="Q917">
        <v>4</v>
      </c>
      <c r="R917">
        <v>3</v>
      </c>
      <c r="S917">
        <v>2</v>
      </c>
      <c r="T917" t="s">
        <v>49</v>
      </c>
      <c r="U917" t="s">
        <v>50</v>
      </c>
      <c r="V917">
        <v>2</v>
      </c>
      <c r="W917">
        <v>6</v>
      </c>
      <c r="X917" t="s">
        <v>49</v>
      </c>
      <c r="Y917" t="s">
        <v>38</v>
      </c>
      <c r="Z917" t="s">
        <v>51</v>
      </c>
      <c r="AA917" s="2">
        <v>45473</v>
      </c>
      <c r="AB917" t="b">
        <v>1</v>
      </c>
      <c r="AC917" t="b">
        <v>1</v>
      </c>
      <c r="AD917" t="s">
        <v>62</v>
      </c>
      <c r="AE917" t="s">
        <v>67</v>
      </c>
      <c r="AF917">
        <v>8</v>
      </c>
    </row>
    <row r="918" spans="1:32" x14ac:dyDescent="0.25">
      <c r="A918" t="s">
        <v>1898</v>
      </c>
      <c r="B918">
        <v>916</v>
      </c>
      <c r="C918">
        <v>49</v>
      </c>
      <c r="D918" t="str">
        <f>IF(tbl_Original[[#This Row],[Gender2]]="Female","Female",IF(tbl_Original[[#This Row],[Gender2]]="Male","Male","Other"))</f>
        <v>Male</v>
      </c>
      <c r="E918" t="s">
        <v>43</v>
      </c>
      <c r="F918" t="s">
        <v>44</v>
      </c>
      <c r="G918" t="s">
        <v>31</v>
      </c>
      <c r="H918" t="s">
        <v>32</v>
      </c>
      <c r="I918" t="s">
        <v>30</v>
      </c>
      <c r="J918" t="str">
        <f>PROPER(TRIM(CLEAN(tbl_Original[[#This Row],[Column1]])))</f>
        <v>Magdalena</v>
      </c>
      <c r="K918" t="s">
        <v>277</v>
      </c>
      <c r="L918" t="s">
        <v>277</v>
      </c>
      <c r="M918" t="s">
        <v>34</v>
      </c>
      <c r="N918" s="1">
        <v>437.97</v>
      </c>
      <c r="O918">
        <v>8</v>
      </c>
      <c r="P918" t="s">
        <v>78</v>
      </c>
      <c r="Q918">
        <v>4</v>
      </c>
      <c r="R918">
        <v>2</v>
      </c>
      <c r="S918">
        <v>0</v>
      </c>
      <c r="T918" t="s">
        <v>44</v>
      </c>
      <c r="U918" t="s">
        <v>50</v>
      </c>
      <c r="V918">
        <v>0</v>
      </c>
      <c r="W918">
        <v>7</v>
      </c>
      <c r="X918" t="s">
        <v>49</v>
      </c>
      <c r="Y918" t="s">
        <v>38</v>
      </c>
      <c r="Z918" t="s">
        <v>61</v>
      </c>
      <c r="AA918" s="2">
        <v>45384</v>
      </c>
      <c r="AB918" t="b">
        <v>1</v>
      </c>
      <c r="AC918" t="b">
        <v>1</v>
      </c>
      <c r="AD918" t="s">
        <v>40</v>
      </c>
      <c r="AE918" t="s">
        <v>67</v>
      </c>
      <c r="AF918">
        <v>12</v>
      </c>
    </row>
    <row r="919" spans="1:32" x14ac:dyDescent="0.25">
      <c r="A919" t="s">
        <v>1899</v>
      </c>
      <c r="B919">
        <v>917</v>
      </c>
      <c r="C919">
        <v>23</v>
      </c>
      <c r="D919" t="str">
        <f>IF(tbl_Original[[#This Row],[Gender2]]="Female","Female",IF(tbl_Original[[#This Row],[Gender2]]="Male","Male","Other"))</f>
        <v>Male</v>
      </c>
      <c r="E919" t="s">
        <v>43</v>
      </c>
      <c r="F919" t="s">
        <v>44</v>
      </c>
      <c r="G919" t="s">
        <v>55</v>
      </c>
      <c r="H919" t="s">
        <v>56</v>
      </c>
      <c r="I919" t="s">
        <v>44</v>
      </c>
      <c r="J919" t="str">
        <f>PROPER(TRIM(CLEAN(tbl_Original[[#This Row],[Column1]])))</f>
        <v>Gteborg</v>
      </c>
      <c r="K919" t="s">
        <v>2195</v>
      </c>
      <c r="L919" t="s">
        <v>856</v>
      </c>
      <c r="M919" t="s">
        <v>114</v>
      </c>
      <c r="N919" s="1">
        <v>391.87</v>
      </c>
      <c r="O919">
        <v>3</v>
      </c>
      <c r="P919" t="s">
        <v>78</v>
      </c>
      <c r="Q919">
        <v>1</v>
      </c>
      <c r="R919">
        <v>4</v>
      </c>
      <c r="S919">
        <v>2</v>
      </c>
      <c r="T919" t="s">
        <v>44</v>
      </c>
      <c r="U919" t="s">
        <v>85</v>
      </c>
      <c r="V919">
        <v>0</v>
      </c>
      <c r="W919">
        <v>2</v>
      </c>
      <c r="X919" t="s">
        <v>49</v>
      </c>
      <c r="Y919" t="s">
        <v>79</v>
      </c>
      <c r="Z919" t="s">
        <v>86</v>
      </c>
      <c r="AA919" s="2">
        <v>45338</v>
      </c>
      <c r="AB919" t="b">
        <v>1</v>
      </c>
      <c r="AC919" t="b">
        <v>0</v>
      </c>
      <c r="AD919" t="s">
        <v>74</v>
      </c>
      <c r="AE919" t="s">
        <v>53</v>
      </c>
      <c r="AF919">
        <v>6</v>
      </c>
    </row>
    <row r="920" spans="1:32" x14ac:dyDescent="0.25">
      <c r="A920" t="s">
        <v>1900</v>
      </c>
      <c r="B920">
        <v>918</v>
      </c>
      <c r="C920">
        <v>42</v>
      </c>
      <c r="D920" t="str">
        <f>IF(tbl_Original[[#This Row],[Gender2]]="Female","Female",IF(tbl_Original[[#This Row],[Gender2]]="Male","Male","Other"))</f>
        <v>Male</v>
      </c>
      <c r="E920" t="s">
        <v>43</v>
      </c>
      <c r="F920" t="s">
        <v>44</v>
      </c>
      <c r="G920" t="s">
        <v>55</v>
      </c>
      <c r="H920" t="s">
        <v>56</v>
      </c>
      <c r="I920" t="s">
        <v>30</v>
      </c>
      <c r="J920" t="str">
        <f>PROPER(TRIM(CLEAN(tbl_Original[[#This Row],[Column1]])))</f>
        <v>Skrzec</v>
      </c>
      <c r="K920" t="s">
        <v>2266</v>
      </c>
      <c r="L920" t="s">
        <v>1901</v>
      </c>
      <c r="M920" t="s">
        <v>194</v>
      </c>
      <c r="N920" s="1">
        <v>333.41</v>
      </c>
      <c r="O920">
        <v>3</v>
      </c>
      <c r="P920" t="s">
        <v>78</v>
      </c>
      <c r="Q920">
        <v>2</v>
      </c>
      <c r="R920">
        <v>5</v>
      </c>
      <c r="S920">
        <v>1</v>
      </c>
      <c r="T920" t="s">
        <v>44</v>
      </c>
      <c r="U920" t="s">
        <v>85</v>
      </c>
      <c r="V920">
        <v>1</v>
      </c>
      <c r="W920">
        <v>6</v>
      </c>
      <c r="X920" t="s">
        <v>36</v>
      </c>
      <c r="Y920" t="s">
        <v>38</v>
      </c>
      <c r="Z920" t="s">
        <v>51</v>
      </c>
      <c r="AA920" s="2">
        <v>45322</v>
      </c>
      <c r="AB920" t="b">
        <v>0</v>
      </c>
      <c r="AC920" t="b">
        <v>0</v>
      </c>
      <c r="AD920" t="s">
        <v>74</v>
      </c>
      <c r="AE920" t="s">
        <v>53</v>
      </c>
      <c r="AF920">
        <v>3</v>
      </c>
    </row>
    <row r="921" spans="1:32" x14ac:dyDescent="0.25">
      <c r="A921" t="s">
        <v>1902</v>
      </c>
      <c r="B921">
        <v>919</v>
      </c>
      <c r="C921">
        <v>32</v>
      </c>
      <c r="D921" t="str">
        <f>IF(tbl_Original[[#This Row],[Gender2]]="Female","Female",IF(tbl_Original[[#This Row],[Gender2]]="Male","Male","Other"))</f>
        <v>Male</v>
      </c>
      <c r="E921" t="s">
        <v>43</v>
      </c>
      <c r="F921" t="s">
        <v>30</v>
      </c>
      <c r="G921" t="s">
        <v>55</v>
      </c>
      <c r="H921" t="s">
        <v>32</v>
      </c>
      <c r="I921" t="s">
        <v>44</v>
      </c>
      <c r="J921" t="str">
        <f>PROPER(TRIM(CLEAN(tbl_Original[[#This Row],[Column1]])))</f>
        <v>So Jo Dos Inhamuns</v>
      </c>
      <c r="K921" t="s">
        <v>2267</v>
      </c>
      <c r="L921" t="s">
        <v>1903</v>
      </c>
      <c r="M921" t="s">
        <v>158</v>
      </c>
      <c r="N921" s="1">
        <v>251.54</v>
      </c>
      <c r="O921">
        <v>9</v>
      </c>
      <c r="P921" t="s">
        <v>78</v>
      </c>
      <c r="Q921">
        <v>5</v>
      </c>
      <c r="R921">
        <v>1</v>
      </c>
      <c r="S921">
        <v>0</v>
      </c>
      <c r="T921" t="s">
        <v>44</v>
      </c>
      <c r="U921" t="s">
        <v>50</v>
      </c>
      <c r="V921">
        <v>2</v>
      </c>
      <c r="W921">
        <v>10</v>
      </c>
      <c r="X921" t="s">
        <v>59</v>
      </c>
      <c r="Y921" t="s">
        <v>79</v>
      </c>
      <c r="Z921" t="s">
        <v>51</v>
      </c>
      <c r="AA921" s="2">
        <v>45574</v>
      </c>
      <c r="AB921" t="b">
        <v>1</v>
      </c>
      <c r="AC921" t="b">
        <v>0</v>
      </c>
      <c r="AD921" t="s">
        <v>62</v>
      </c>
      <c r="AE921" t="s">
        <v>41</v>
      </c>
      <c r="AF921">
        <v>1</v>
      </c>
    </row>
    <row r="922" spans="1:32" x14ac:dyDescent="0.25">
      <c r="A922" t="s">
        <v>1904</v>
      </c>
      <c r="B922">
        <v>920</v>
      </c>
      <c r="C922">
        <v>37</v>
      </c>
      <c r="D922" t="str">
        <f>IF(tbl_Original[[#This Row],[Gender2]]="Female","Female",IF(tbl_Original[[#This Row],[Gender2]]="Male","Male","Other"))</f>
        <v>Female</v>
      </c>
      <c r="E922" t="s">
        <v>29</v>
      </c>
      <c r="F922" t="s">
        <v>30</v>
      </c>
      <c r="G922" t="s">
        <v>55</v>
      </c>
      <c r="H922" t="s">
        <v>45</v>
      </c>
      <c r="I922" t="s">
        <v>30</v>
      </c>
      <c r="J922" t="str">
        <f>PROPER(TRIM(CLEAN(tbl_Original[[#This Row],[Column1]])))</f>
        <v>Tambaksari</v>
      </c>
      <c r="K922" t="s">
        <v>1905</v>
      </c>
      <c r="L922" t="s">
        <v>1905</v>
      </c>
      <c r="M922" t="s">
        <v>117</v>
      </c>
      <c r="N922" s="1">
        <v>292.08</v>
      </c>
      <c r="O922">
        <v>7</v>
      </c>
      <c r="P922" t="s">
        <v>48</v>
      </c>
      <c r="Q922">
        <v>3</v>
      </c>
      <c r="R922">
        <v>2</v>
      </c>
      <c r="S922">
        <v>1</v>
      </c>
      <c r="T922" t="s">
        <v>44</v>
      </c>
      <c r="U922" t="s">
        <v>37</v>
      </c>
      <c r="V922">
        <v>2</v>
      </c>
      <c r="W922">
        <v>9</v>
      </c>
      <c r="X922" t="s">
        <v>59</v>
      </c>
      <c r="Y922" t="s">
        <v>60</v>
      </c>
      <c r="Z922" t="s">
        <v>39</v>
      </c>
      <c r="AA922" s="2">
        <v>45391</v>
      </c>
      <c r="AB922" t="b">
        <v>0</v>
      </c>
      <c r="AC922" t="b">
        <v>0</v>
      </c>
      <c r="AD922" t="s">
        <v>40</v>
      </c>
      <c r="AE922" t="s">
        <v>53</v>
      </c>
      <c r="AF922">
        <v>11</v>
      </c>
    </row>
    <row r="923" spans="1:32" x14ac:dyDescent="0.25">
      <c r="A923" t="s">
        <v>1906</v>
      </c>
      <c r="B923">
        <v>921</v>
      </c>
      <c r="C923">
        <v>25</v>
      </c>
      <c r="D923" t="str">
        <f>IF(tbl_Original[[#This Row],[Gender2]]="Female","Female",IF(tbl_Original[[#This Row],[Gender2]]="Male","Male","Other"))</f>
        <v>Other</v>
      </c>
      <c r="E923" t="s">
        <v>212</v>
      </c>
      <c r="F923" t="s">
        <v>44</v>
      </c>
      <c r="G923" t="s">
        <v>69</v>
      </c>
      <c r="H923" t="s">
        <v>32</v>
      </c>
      <c r="I923" t="s">
        <v>30</v>
      </c>
      <c r="J923" t="str">
        <f>PROPER(TRIM(CLEAN(tbl_Original[[#This Row],[Column1]])))</f>
        <v>Lazarat</v>
      </c>
      <c r="K923" t="s">
        <v>1907</v>
      </c>
      <c r="L923" t="s">
        <v>1907</v>
      </c>
      <c r="M923" t="s">
        <v>194</v>
      </c>
      <c r="N923" s="1">
        <v>204.29</v>
      </c>
      <c r="O923">
        <v>11</v>
      </c>
      <c r="P923" t="s">
        <v>48</v>
      </c>
      <c r="Q923">
        <v>5</v>
      </c>
      <c r="R923">
        <v>4</v>
      </c>
      <c r="S923">
        <v>0</v>
      </c>
      <c r="T923" t="s">
        <v>36</v>
      </c>
      <c r="U923" t="s">
        <v>50</v>
      </c>
      <c r="V923">
        <v>2</v>
      </c>
      <c r="W923">
        <v>1</v>
      </c>
      <c r="X923" t="s">
        <v>49</v>
      </c>
      <c r="Y923" t="s">
        <v>60</v>
      </c>
      <c r="Z923" t="s">
        <v>51</v>
      </c>
      <c r="AA923" s="2">
        <v>45428</v>
      </c>
      <c r="AB923" t="b">
        <v>0</v>
      </c>
      <c r="AC923" t="b">
        <v>0</v>
      </c>
      <c r="AD923" t="s">
        <v>62</v>
      </c>
      <c r="AE923" t="s">
        <v>67</v>
      </c>
      <c r="AF923">
        <v>12</v>
      </c>
    </row>
    <row r="924" spans="1:32" x14ac:dyDescent="0.25">
      <c r="A924" t="s">
        <v>1908</v>
      </c>
      <c r="B924">
        <v>922</v>
      </c>
      <c r="C924">
        <v>49</v>
      </c>
      <c r="D924" t="str">
        <f>IF(tbl_Original[[#This Row],[Gender2]]="Female","Female",IF(tbl_Original[[#This Row],[Gender2]]="Male","Male","Other"))</f>
        <v>Male</v>
      </c>
      <c r="E924" t="s">
        <v>43</v>
      </c>
      <c r="F924" t="s">
        <v>30</v>
      </c>
      <c r="G924" t="s">
        <v>55</v>
      </c>
      <c r="H924" t="s">
        <v>45</v>
      </c>
      <c r="I924" t="s">
        <v>30</v>
      </c>
      <c r="J924" t="str">
        <f>PROPER(TRIM(CLEAN(tbl_Original[[#This Row],[Column1]])))</f>
        <v>Belene</v>
      </c>
      <c r="K924" t="s">
        <v>1909</v>
      </c>
      <c r="L924" t="s">
        <v>1909</v>
      </c>
      <c r="M924" t="s">
        <v>114</v>
      </c>
      <c r="N924" s="1">
        <v>258.68</v>
      </c>
      <c r="O924">
        <v>4</v>
      </c>
      <c r="P924" t="s">
        <v>78</v>
      </c>
      <c r="Q924">
        <v>4</v>
      </c>
      <c r="R924">
        <v>2</v>
      </c>
      <c r="S924">
        <v>1</v>
      </c>
      <c r="T924" t="s">
        <v>59</v>
      </c>
      <c r="U924" t="s">
        <v>37</v>
      </c>
      <c r="V924">
        <v>0</v>
      </c>
      <c r="W924">
        <v>9</v>
      </c>
      <c r="X924" t="s">
        <v>36</v>
      </c>
      <c r="Y924" t="s">
        <v>79</v>
      </c>
      <c r="Z924" t="s">
        <v>39</v>
      </c>
      <c r="AA924" s="2">
        <v>45587</v>
      </c>
      <c r="AB924" t="b">
        <v>0</v>
      </c>
      <c r="AC924" t="b">
        <v>0</v>
      </c>
      <c r="AD924" t="s">
        <v>62</v>
      </c>
      <c r="AE924" t="s">
        <v>41</v>
      </c>
      <c r="AF924">
        <v>9</v>
      </c>
    </row>
    <row r="925" spans="1:32" x14ac:dyDescent="0.25">
      <c r="A925" t="s">
        <v>1910</v>
      </c>
      <c r="B925">
        <v>923</v>
      </c>
      <c r="C925">
        <v>26</v>
      </c>
      <c r="D925" t="str">
        <f>IF(tbl_Original[[#This Row],[Gender2]]="Female","Female",IF(tbl_Original[[#This Row],[Gender2]]="Male","Male","Other"))</f>
        <v>Male</v>
      </c>
      <c r="E925" t="s">
        <v>43</v>
      </c>
      <c r="F925" t="s">
        <v>30</v>
      </c>
      <c r="G925" t="s">
        <v>31</v>
      </c>
      <c r="H925" t="s">
        <v>32</v>
      </c>
      <c r="I925" t="s">
        <v>44</v>
      </c>
      <c r="J925" t="str">
        <f>PROPER(TRIM(CLEAN(tbl_Original[[#This Row],[Column1]])))</f>
        <v>Xiangshan</v>
      </c>
      <c r="K925" t="s">
        <v>1911</v>
      </c>
      <c r="L925" t="s">
        <v>1911</v>
      </c>
      <c r="M925" t="s">
        <v>34</v>
      </c>
      <c r="N925" s="1">
        <v>258.02</v>
      </c>
      <c r="O925">
        <v>2</v>
      </c>
      <c r="P925" t="s">
        <v>48</v>
      </c>
      <c r="Q925">
        <v>3</v>
      </c>
      <c r="R925">
        <v>2</v>
      </c>
      <c r="S925">
        <v>1</v>
      </c>
      <c r="T925" t="s">
        <v>59</v>
      </c>
      <c r="U925" t="s">
        <v>85</v>
      </c>
      <c r="V925">
        <v>2</v>
      </c>
      <c r="W925">
        <v>4</v>
      </c>
      <c r="X925" t="s">
        <v>44</v>
      </c>
      <c r="Y925" t="s">
        <v>79</v>
      </c>
      <c r="Z925" t="s">
        <v>51</v>
      </c>
      <c r="AA925" s="2">
        <v>45604</v>
      </c>
      <c r="AB925" t="b">
        <v>1</v>
      </c>
      <c r="AC925" t="b">
        <v>1</v>
      </c>
      <c r="AD925" t="s">
        <v>40</v>
      </c>
      <c r="AE925" t="s">
        <v>67</v>
      </c>
      <c r="AF925">
        <v>13</v>
      </c>
    </row>
    <row r="926" spans="1:32" x14ac:dyDescent="0.25">
      <c r="A926" t="s">
        <v>1912</v>
      </c>
      <c r="B926">
        <v>924</v>
      </c>
      <c r="C926">
        <v>29</v>
      </c>
      <c r="D926" t="str">
        <f>IF(tbl_Original[[#This Row],[Gender2]]="Female","Female",IF(tbl_Original[[#This Row],[Gender2]]="Male","Male","Other"))</f>
        <v>Female</v>
      </c>
      <c r="E926" t="s">
        <v>29</v>
      </c>
      <c r="F926" t="s">
        <v>44</v>
      </c>
      <c r="G926" t="s">
        <v>55</v>
      </c>
      <c r="H926" t="s">
        <v>56</v>
      </c>
      <c r="I926" t="s">
        <v>30</v>
      </c>
      <c r="J926" t="str">
        <f>PROPER(TRIM(CLEAN(tbl_Original[[#This Row],[Column1]])))</f>
        <v>San Luis</v>
      </c>
      <c r="K926" t="s">
        <v>712</v>
      </c>
      <c r="L926" t="s">
        <v>712</v>
      </c>
      <c r="M926" t="s">
        <v>34</v>
      </c>
      <c r="N926" s="1">
        <v>181.87</v>
      </c>
      <c r="O926">
        <v>12</v>
      </c>
      <c r="P926" t="s">
        <v>35</v>
      </c>
      <c r="Q926">
        <v>4</v>
      </c>
      <c r="R926">
        <v>1</v>
      </c>
      <c r="S926">
        <v>1</v>
      </c>
      <c r="T926" t="s">
        <v>49</v>
      </c>
      <c r="U926" t="s">
        <v>50</v>
      </c>
      <c r="V926">
        <v>2</v>
      </c>
      <c r="W926">
        <v>4</v>
      </c>
      <c r="X926" t="s">
        <v>44</v>
      </c>
      <c r="Y926" t="s">
        <v>79</v>
      </c>
      <c r="Z926" t="s">
        <v>61</v>
      </c>
      <c r="AA926" s="2">
        <v>45536</v>
      </c>
      <c r="AB926" t="b">
        <v>0</v>
      </c>
      <c r="AC926" t="b">
        <v>1</v>
      </c>
      <c r="AD926" t="s">
        <v>52</v>
      </c>
      <c r="AE926" t="s">
        <v>41</v>
      </c>
      <c r="AF926">
        <v>11</v>
      </c>
    </row>
    <row r="927" spans="1:32" x14ac:dyDescent="0.25">
      <c r="A927" t="s">
        <v>1913</v>
      </c>
      <c r="B927">
        <v>925</v>
      </c>
      <c r="C927">
        <v>26</v>
      </c>
      <c r="D927" t="str">
        <f>IF(tbl_Original[[#This Row],[Gender2]]="Female","Female",IF(tbl_Original[[#This Row],[Gender2]]="Male","Male","Other"))</f>
        <v>Male</v>
      </c>
      <c r="E927" t="s">
        <v>43</v>
      </c>
      <c r="F927" t="s">
        <v>44</v>
      </c>
      <c r="G927" t="s">
        <v>76</v>
      </c>
      <c r="H927" t="s">
        <v>45</v>
      </c>
      <c r="I927" t="s">
        <v>30</v>
      </c>
      <c r="J927" t="str">
        <f>PROPER(TRIM(CLEAN(tbl_Original[[#This Row],[Column1]])))</f>
        <v>Zengfu</v>
      </c>
      <c r="K927" t="s">
        <v>1914</v>
      </c>
      <c r="L927" t="s">
        <v>1914</v>
      </c>
      <c r="M927" t="s">
        <v>158</v>
      </c>
      <c r="N927" s="1">
        <v>81.180000000000007</v>
      </c>
      <c r="O927">
        <v>8</v>
      </c>
      <c r="P927" t="s">
        <v>78</v>
      </c>
      <c r="Q927">
        <v>4</v>
      </c>
      <c r="R927">
        <v>5</v>
      </c>
      <c r="S927">
        <v>1</v>
      </c>
      <c r="T927" t="s">
        <v>59</v>
      </c>
      <c r="U927" t="s">
        <v>50</v>
      </c>
      <c r="V927">
        <v>2</v>
      </c>
      <c r="W927">
        <v>3</v>
      </c>
      <c r="X927" t="s">
        <v>44</v>
      </c>
      <c r="Y927" t="s">
        <v>38</v>
      </c>
      <c r="Z927" t="s">
        <v>86</v>
      </c>
      <c r="AA927" s="2">
        <v>45429</v>
      </c>
      <c r="AB927" t="b">
        <v>0</v>
      </c>
      <c r="AC927" t="b">
        <v>0</v>
      </c>
      <c r="AD927" t="s">
        <v>62</v>
      </c>
      <c r="AE927" t="s">
        <v>67</v>
      </c>
      <c r="AF927">
        <v>3</v>
      </c>
    </row>
    <row r="928" spans="1:32" x14ac:dyDescent="0.25">
      <c r="A928" t="s">
        <v>1915</v>
      </c>
      <c r="B928">
        <v>926</v>
      </c>
      <c r="C928">
        <v>23</v>
      </c>
      <c r="D928" t="str">
        <f>IF(tbl_Original[[#This Row],[Gender2]]="Female","Female",IF(tbl_Original[[#This Row],[Gender2]]="Male","Male","Other"))</f>
        <v>Female</v>
      </c>
      <c r="E928" t="s">
        <v>29</v>
      </c>
      <c r="F928" t="s">
        <v>44</v>
      </c>
      <c r="G928" t="s">
        <v>76</v>
      </c>
      <c r="H928" t="s">
        <v>56</v>
      </c>
      <c r="I928" t="s">
        <v>44</v>
      </c>
      <c r="J928" t="str">
        <f>PROPER(TRIM(CLEAN(tbl_Original[[#This Row],[Column1]])))</f>
        <v>Tingsryd</v>
      </c>
      <c r="K928" t="s">
        <v>1916</v>
      </c>
      <c r="L928" t="s">
        <v>1916</v>
      </c>
      <c r="M928" t="s">
        <v>82</v>
      </c>
      <c r="N928" s="1">
        <v>382.94</v>
      </c>
      <c r="O928">
        <v>8</v>
      </c>
      <c r="P928" t="s">
        <v>48</v>
      </c>
      <c r="Q928">
        <v>1</v>
      </c>
      <c r="R928">
        <v>3</v>
      </c>
      <c r="S928">
        <v>0</v>
      </c>
      <c r="T928" t="s">
        <v>49</v>
      </c>
      <c r="U928" t="s">
        <v>50</v>
      </c>
      <c r="V928">
        <v>0</v>
      </c>
      <c r="W928">
        <v>6</v>
      </c>
      <c r="X928" t="s">
        <v>36</v>
      </c>
      <c r="Y928" t="s">
        <v>79</v>
      </c>
      <c r="Z928" t="s">
        <v>61</v>
      </c>
      <c r="AA928" s="2">
        <v>45431</v>
      </c>
      <c r="AB928" t="b">
        <v>0</v>
      </c>
      <c r="AC928" t="b">
        <v>0</v>
      </c>
      <c r="AD928" t="s">
        <v>40</v>
      </c>
      <c r="AE928" t="s">
        <v>53</v>
      </c>
      <c r="AF928">
        <v>3</v>
      </c>
    </row>
    <row r="929" spans="1:32" x14ac:dyDescent="0.25">
      <c r="A929" t="s">
        <v>1917</v>
      </c>
      <c r="B929">
        <v>927</v>
      </c>
      <c r="C929">
        <v>47</v>
      </c>
      <c r="D929" t="str">
        <f>IF(tbl_Original[[#This Row],[Gender2]]="Female","Female",IF(tbl_Original[[#This Row],[Gender2]]="Male","Male","Other"))</f>
        <v>Female</v>
      </c>
      <c r="E929" t="s">
        <v>29</v>
      </c>
      <c r="F929" t="s">
        <v>44</v>
      </c>
      <c r="G929" t="s">
        <v>55</v>
      </c>
      <c r="H929" t="s">
        <v>32</v>
      </c>
      <c r="I929" t="s">
        <v>44</v>
      </c>
      <c r="J929" t="str">
        <f>PROPER(TRIM(CLEAN(tbl_Original[[#This Row],[Column1]])))</f>
        <v>Tipaz</v>
      </c>
      <c r="K929" t="s">
        <v>1918</v>
      </c>
      <c r="L929" t="s">
        <v>1918</v>
      </c>
      <c r="M929" t="s">
        <v>188</v>
      </c>
      <c r="N929" s="1">
        <v>402.82</v>
      </c>
      <c r="O929">
        <v>7</v>
      </c>
      <c r="P929" t="s">
        <v>78</v>
      </c>
      <c r="Q929">
        <v>4</v>
      </c>
      <c r="R929">
        <v>5</v>
      </c>
      <c r="S929">
        <v>0</v>
      </c>
      <c r="T929" t="s">
        <v>36</v>
      </c>
      <c r="U929" t="s">
        <v>37</v>
      </c>
      <c r="V929">
        <v>2</v>
      </c>
      <c r="W929">
        <v>2</v>
      </c>
      <c r="X929" t="s">
        <v>59</v>
      </c>
      <c r="Y929" t="s">
        <v>60</v>
      </c>
      <c r="Z929" t="s">
        <v>61</v>
      </c>
      <c r="AA929" s="2">
        <v>45316</v>
      </c>
      <c r="AB929" t="b">
        <v>0</v>
      </c>
      <c r="AC929" t="b">
        <v>0</v>
      </c>
      <c r="AD929" t="s">
        <v>52</v>
      </c>
      <c r="AE929" t="s">
        <v>41</v>
      </c>
      <c r="AF929">
        <v>13</v>
      </c>
    </row>
    <row r="930" spans="1:32" x14ac:dyDescent="0.25">
      <c r="A930" t="s">
        <v>1919</v>
      </c>
      <c r="B930">
        <v>928</v>
      </c>
      <c r="C930">
        <v>30</v>
      </c>
      <c r="D930" t="str">
        <f>IF(tbl_Original[[#This Row],[Gender2]]="Female","Female",IF(tbl_Original[[#This Row],[Gender2]]="Male","Male","Other"))</f>
        <v>Male</v>
      </c>
      <c r="E930" t="s">
        <v>43</v>
      </c>
      <c r="F930" t="s">
        <v>44</v>
      </c>
      <c r="G930" t="s">
        <v>55</v>
      </c>
      <c r="H930" t="s">
        <v>32</v>
      </c>
      <c r="I930" t="s">
        <v>30</v>
      </c>
      <c r="J930" t="str">
        <f>PROPER(TRIM(CLEAN(tbl_Original[[#This Row],[Column1]])))</f>
        <v>W Das Salq</v>
      </c>
      <c r="K930" t="s">
        <v>2268</v>
      </c>
      <c r="L930" t="s">
        <v>1920</v>
      </c>
      <c r="M930" t="s">
        <v>34</v>
      </c>
      <c r="N930" s="1">
        <v>497.76</v>
      </c>
      <c r="O930">
        <v>2</v>
      </c>
      <c r="P930" t="s">
        <v>48</v>
      </c>
      <c r="Q930">
        <v>1</v>
      </c>
      <c r="R930">
        <v>2</v>
      </c>
      <c r="S930">
        <v>2</v>
      </c>
      <c r="T930" t="s">
        <v>44</v>
      </c>
      <c r="U930" t="s">
        <v>85</v>
      </c>
      <c r="V930">
        <v>2</v>
      </c>
      <c r="W930">
        <v>3</v>
      </c>
      <c r="X930" t="s">
        <v>49</v>
      </c>
      <c r="Y930" t="s">
        <v>60</v>
      </c>
      <c r="Z930" t="s">
        <v>39</v>
      </c>
      <c r="AA930" s="2">
        <v>45359</v>
      </c>
      <c r="AB930" t="b">
        <v>1</v>
      </c>
      <c r="AC930" t="b">
        <v>1</v>
      </c>
      <c r="AD930" t="s">
        <v>52</v>
      </c>
      <c r="AE930" t="s">
        <v>41</v>
      </c>
      <c r="AF930">
        <v>4</v>
      </c>
    </row>
    <row r="931" spans="1:32" x14ac:dyDescent="0.25">
      <c r="A931" t="s">
        <v>1921</v>
      </c>
      <c r="B931">
        <v>929</v>
      </c>
      <c r="C931">
        <v>26</v>
      </c>
      <c r="D931" t="str">
        <f>IF(tbl_Original[[#This Row],[Gender2]]="Female","Female",IF(tbl_Original[[#This Row],[Gender2]]="Male","Male","Other"))</f>
        <v>Female</v>
      </c>
      <c r="E931" t="s">
        <v>29</v>
      </c>
      <c r="F931" t="s">
        <v>44</v>
      </c>
      <c r="G931" t="s">
        <v>55</v>
      </c>
      <c r="H931" t="s">
        <v>45</v>
      </c>
      <c r="I931" t="s">
        <v>44</v>
      </c>
      <c r="J931" t="str">
        <f>PROPER(TRIM(CLEAN(tbl_Original[[#This Row],[Column1]])))</f>
        <v>Wasagu</v>
      </c>
      <c r="K931" t="s">
        <v>1922</v>
      </c>
      <c r="L931" t="s">
        <v>1922</v>
      </c>
      <c r="M931" t="s">
        <v>71</v>
      </c>
      <c r="N931" s="1">
        <v>227.58</v>
      </c>
      <c r="O931">
        <v>5</v>
      </c>
      <c r="P931" t="s">
        <v>78</v>
      </c>
      <c r="Q931">
        <v>4</v>
      </c>
      <c r="R931">
        <v>2</v>
      </c>
      <c r="S931">
        <v>1</v>
      </c>
      <c r="T931" t="s">
        <v>44</v>
      </c>
      <c r="U931" t="s">
        <v>50</v>
      </c>
      <c r="V931">
        <v>0</v>
      </c>
      <c r="W931">
        <v>1</v>
      </c>
      <c r="X931" t="s">
        <v>59</v>
      </c>
      <c r="Y931" t="s">
        <v>38</v>
      </c>
      <c r="Z931" t="s">
        <v>39</v>
      </c>
      <c r="AA931" s="2">
        <v>45486</v>
      </c>
      <c r="AB931" t="b">
        <v>1</v>
      </c>
      <c r="AC931" t="b">
        <v>0</v>
      </c>
      <c r="AD931" t="s">
        <v>40</v>
      </c>
      <c r="AE931" t="s">
        <v>41</v>
      </c>
      <c r="AF931">
        <v>11</v>
      </c>
    </row>
    <row r="932" spans="1:32" x14ac:dyDescent="0.25">
      <c r="A932" t="s">
        <v>1923</v>
      </c>
      <c r="B932">
        <v>930</v>
      </c>
      <c r="C932">
        <v>35</v>
      </c>
      <c r="D932" t="str">
        <f>IF(tbl_Original[[#This Row],[Gender2]]="Female","Female",IF(tbl_Original[[#This Row],[Gender2]]="Male","Male","Other"))</f>
        <v>Female</v>
      </c>
      <c r="E932" t="s">
        <v>29</v>
      </c>
      <c r="F932" t="s">
        <v>44</v>
      </c>
      <c r="G932" t="s">
        <v>76</v>
      </c>
      <c r="H932" t="s">
        <v>32</v>
      </c>
      <c r="I932" t="s">
        <v>44</v>
      </c>
      <c r="J932" t="str">
        <f>PROPER(TRIM(CLEAN(tbl_Original[[#This Row],[Column1]])))</f>
        <v>Wangsi</v>
      </c>
      <c r="K932" t="s">
        <v>1924</v>
      </c>
      <c r="L932" t="s">
        <v>1924</v>
      </c>
      <c r="M932" t="s">
        <v>117</v>
      </c>
      <c r="N932" s="1">
        <v>263.57</v>
      </c>
      <c r="O932">
        <v>2</v>
      </c>
      <c r="P932" t="s">
        <v>35</v>
      </c>
      <c r="Q932">
        <v>2</v>
      </c>
      <c r="R932">
        <v>3</v>
      </c>
      <c r="S932">
        <v>0</v>
      </c>
      <c r="T932" t="s">
        <v>44</v>
      </c>
      <c r="U932" t="s">
        <v>37</v>
      </c>
      <c r="V932">
        <v>1</v>
      </c>
      <c r="W932">
        <v>9</v>
      </c>
      <c r="X932" t="s">
        <v>36</v>
      </c>
      <c r="Y932" t="s">
        <v>38</v>
      </c>
      <c r="Z932" t="s">
        <v>51</v>
      </c>
      <c r="AA932" s="2">
        <v>45617</v>
      </c>
      <c r="AB932" t="b">
        <v>1</v>
      </c>
      <c r="AC932" t="b">
        <v>1</v>
      </c>
      <c r="AD932" t="s">
        <v>62</v>
      </c>
      <c r="AE932" t="s">
        <v>67</v>
      </c>
      <c r="AF932">
        <v>8</v>
      </c>
    </row>
    <row r="933" spans="1:32" x14ac:dyDescent="0.25">
      <c r="A933" t="s">
        <v>1925</v>
      </c>
      <c r="B933">
        <v>931</v>
      </c>
      <c r="C933">
        <v>40</v>
      </c>
      <c r="D933" t="str">
        <f>IF(tbl_Original[[#This Row],[Gender2]]="Female","Female",IF(tbl_Original[[#This Row],[Gender2]]="Male","Male","Other"))</f>
        <v>Male</v>
      </c>
      <c r="E933" t="s">
        <v>43</v>
      </c>
      <c r="F933" t="s">
        <v>44</v>
      </c>
      <c r="G933" t="s">
        <v>31</v>
      </c>
      <c r="H933" t="s">
        <v>45</v>
      </c>
      <c r="I933" t="s">
        <v>44</v>
      </c>
      <c r="J933" t="str">
        <f>PROPER(TRIM(CLEAN(tbl_Original[[#This Row],[Column1]])))</f>
        <v>Esmeralda</v>
      </c>
      <c r="K933" t="s">
        <v>1926</v>
      </c>
      <c r="L933" t="s">
        <v>1926</v>
      </c>
      <c r="M933" t="s">
        <v>123</v>
      </c>
      <c r="N933" s="1">
        <v>422.09</v>
      </c>
      <c r="O933">
        <v>3</v>
      </c>
      <c r="P933" t="s">
        <v>48</v>
      </c>
      <c r="Q933">
        <v>4</v>
      </c>
      <c r="R933">
        <v>1</v>
      </c>
      <c r="S933">
        <v>1</v>
      </c>
      <c r="T933" t="s">
        <v>44</v>
      </c>
      <c r="U933" t="s">
        <v>50</v>
      </c>
      <c r="V933">
        <v>0</v>
      </c>
      <c r="W933">
        <v>9</v>
      </c>
      <c r="X933" t="s">
        <v>49</v>
      </c>
      <c r="Y933" t="s">
        <v>38</v>
      </c>
      <c r="Z933" t="s">
        <v>51</v>
      </c>
      <c r="AA933" s="2">
        <v>45382</v>
      </c>
      <c r="AB933" t="b">
        <v>1</v>
      </c>
      <c r="AC933" t="b">
        <v>0</v>
      </c>
      <c r="AD933" t="s">
        <v>40</v>
      </c>
      <c r="AE933" t="s">
        <v>53</v>
      </c>
      <c r="AF933">
        <v>7</v>
      </c>
    </row>
    <row r="934" spans="1:32" x14ac:dyDescent="0.25">
      <c r="A934" t="s">
        <v>1927</v>
      </c>
      <c r="B934">
        <v>932</v>
      </c>
      <c r="C934">
        <v>35</v>
      </c>
      <c r="D934" t="str">
        <f>IF(tbl_Original[[#This Row],[Gender2]]="Female","Female",IF(tbl_Original[[#This Row],[Gender2]]="Male","Male","Other"))</f>
        <v>Male</v>
      </c>
      <c r="E934" t="s">
        <v>43</v>
      </c>
      <c r="F934" t="s">
        <v>30</v>
      </c>
      <c r="G934" t="s">
        <v>31</v>
      </c>
      <c r="H934" t="s">
        <v>56</v>
      </c>
      <c r="I934" t="s">
        <v>44</v>
      </c>
      <c r="J934" t="str">
        <f>PROPER(TRIM(CLEAN(tbl_Original[[#This Row],[Column1]])))</f>
        <v>Chivilcoy</v>
      </c>
      <c r="K934" t="s">
        <v>1928</v>
      </c>
      <c r="L934" t="s">
        <v>1928</v>
      </c>
      <c r="M934" t="s">
        <v>34</v>
      </c>
      <c r="N934" s="1">
        <v>411.83</v>
      </c>
      <c r="O934">
        <v>2</v>
      </c>
      <c r="P934" t="s">
        <v>48</v>
      </c>
      <c r="Q934">
        <v>2</v>
      </c>
      <c r="R934">
        <v>3</v>
      </c>
      <c r="S934">
        <v>2</v>
      </c>
      <c r="T934" t="s">
        <v>44</v>
      </c>
      <c r="U934" t="s">
        <v>50</v>
      </c>
      <c r="V934">
        <v>1</v>
      </c>
      <c r="W934">
        <v>3</v>
      </c>
      <c r="X934" t="s">
        <v>49</v>
      </c>
      <c r="Y934" t="s">
        <v>38</v>
      </c>
      <c r="Z934" t="s">
        <v>51</v>
      </c>
      <c r="AA934" s="2">
        <v>45410</v>
      </c>
      <c r="AB934" t="b">
        <v>1</v>
      </c>
      <c r="AC934" t="b">
        <v>1</v>
      </c>
      <c r="AD934" t="s">
        <v>62</v>
      </c>
      <c r="AE934" t="s">
        <v>53</v>
      </c>
      <c r="AF934">
        <v>10</v>
      </c>
    </row>
    <row r="935" spans="1:32" x14ac:dyDescent="0.25">
      <c r="A935" t="s">
        <v>1929</v>
      </c>
      <c r="B935">
        <v>933</v>
      </c>
      <c r="C935">
        <v>21</v>
      </c>
      <c r="D935" t="str">
        <f>IF(tbl_Original[[#This Row],[Gender2]]="Female","Female",IF(tbl_Original[[#This Row],[Gender2]]="Male","Male","Other"))</f>
        <v>Male</v>
      </c>
      <c r="E935" t="s">
        <v>43</v>
      </c>
      <c r="F935" t="s">
        <v>30</v>
      </c>
      <c r="G935" t="s">
        <v>55</v>
      </c>
      <c r="H935" t="s">
        <v>56</v>
      </c>
      <c r="I935" t="s">
        <v>30</v>
      </c>
      <c r="J935" t="str">
        <f>PROPER(TRIM(CLEAN(tbl_Original[[#This Row],[Column1]])))</f>
        <v>So Miguel Do Araguaia</v>
      </c>
      <c r="K935" t="s">
        <v>2269</v>
      </c>
      <c r="L935" t="s">
        <v>1930</v>
      </c>
      <c r="M935" t="s">
        <v>120</v>
      </c>
      <c r="N935" s="1">
        <v>242.65</v>
      </c>
      <c r="O935">
        <v>3</v>
      </c>
      <c r="P935" t="s">
        <v>35</v>
      </c>
      <c r="Q935">
        <v>5</v>
      </c>
      <c r="R935">
        <v>3</v>
      </c>
      <c r="S935">
        <v>0.2</v>
      </c>
      <c r="T935" t="s">
        <v>36</v>
      </c>
      <c r="U935" t="s">
        <v>85</v>
      </c>
      <c r="V935">
        <v>2</v>
      </c>
      <c r="W935">
        <v>8</v>
      </c>
      <c r="X935" t="s">
        <v>36</v>
      </c>
      <c r="Y935" t="s">
        <v>38</v>
      </c>
      <c r="Z935" t="s">
        <v>86</v>
      </c>
      <c r="AA935" s="2">
        <v>45482</v>
      </c>
      <c r="AB935" t="b">
        <v>0</v>
      </c>
      <c r="AC935" t="b">
        <v>1</v>
      </c>
      <c r="AD935" t="s">
        <v>74</v>
      </c>
      <c r="AE935" t="s">
        <v>41</v>
      </c>
      <c r="AF935">
        <v>9</v>
      </c>
    </row>
    <row r="936" spans="1:32" x14ac:dyDescent="0.25">
      <c r="A936" t="s">
        <v>1931</v>
      </c>
      <c r="B936">
        <v>934</v>
      </c>
      <c r="C936">
        <v>41</v>
      </c>
      <c r="D936" t="str">
        <f>IF(tbl_Original[[#This Row],[Gender2]]="Female","Female",IF(tbl_Original[[#This Row],[Gender2]]="Male","Male","Other"))</f>
        <v>Male</v>
      </c>
      <c r="E936" t="s">
        <v>43</v>
      </c>
      <c r="F936" t="s">
        <v>30</v>
      </c>
      <c r="G936" t="s">
        <v>69</v>
      </c>
      <c r="H936" t="s">
        <v>56</v>
      </c>
      <c r="I936" t="s">
        <v>30</v>
      </c>
      <c r="J936" t="str">
        <f>PROPER(TRIM(CLEAN(tbl_Original[[#This Row],[Column1]])))</f>
        <v>Libei</v>
      </c>
      <c r="K936" t="s">
        <v>1932</v>
      </c>
      <c r="L936" t="s">
        <v>1932</v>
      </c>
      <c r="M936" t="s">
        <v>90</v>
      </c>
      <c r="N936" s="1">
        <v>298.93</v>
      </c>
      <c r="O936">
        <v>6</v>
      </c>
      <c r="P936" t="s">
        <v>35</v>
      </c>
      <c r="Q936">
        <v>5</v>
      </c>
      <c r="R936">
        <v>2</v>
      </c>
      <c r="S936">
        <v>0.2</v>
      </c>
      <c r="T936" t="s">
        <v>36</v>
      </c>
      <c r="U936" t="s">
        <v>37</v>
      </c>
      <c r="V936">
        <v>2</v>
      </c>
      <c r="W936">
        <v>1</v>
      </c>
      <c r="X936" t="s">
        <v>36</v>
      </c>
      <c r="Y936" t="s">
        <v>38</v>
      </c>
      <c r="Z936" t="s">
        <v>51</v>
      </c>
      <c r="AA936" s="2">
        <v>45557</v>
      </c>
      <c r="AB936" t="b">
        <v>1</v>
      </c>
      <c r="AC936" t="b">
        <v>1</v>
      </c>
      <c r="AD936" t="s">
        <v>74</v>
      </c>
      <c r="AE936" t="s">
        <v>67</v>
      </c>
      <c r="AF936">
        <v>2</v>
      </c>
    </row>
    <row r="937" spans="1:32" x14ac:dyDescent="0.25">
      <c r="A937" t="s">
        <v>1933</v>
      </c>
      <c r="B937">
        <v>935</v>
      </c>
      <c r="C937">
        <v>44</v>
      </c>
      <c r="D937" t="str">
        <f>IF(tbl_Original[[#This Row],[Gender2]]="Female","Female",IF(tbl_Original[[#This Row],[Gender2]]="Male","Male","Other"))</f>
        <v>Female</v>
      </c>
      <c r="E937" t="s">
        <v>29</v>
      </c>
      <c r="F937" t="s">
        <v>44</v>
      </c>
      <c r="G937" t="s">
        <v>55</v>
      </c>
      <c r="H937" t="s">
        <v>32</v>
      </c>
      <c r="I937" t="s">
        <v>44</v>
      </c>
      <c r="J937" t="str">
        <f>PROPER(TRIM(CLEAN(tbl_Original[[#This Row],[Column1]])))</f>
        <v>Araci</v>
      </c>
      <c r="K937" t="s">
        <v>512</v>
      </c>
      <c r="L937" t="s">
        <v>512</v>
      </c>
      <c r="M937" t="s">
        <v>93</v>
      </c>
      <c r="N937" s="1">
        <v>191.21</v>
      </c>
      <c r="O937">
        <v>7</v>
      </c>
      <c r="P937" t="s">
        <v>35</v>
      </c>
      <c r="Q937">
        <v>5</v>
      </c>
      <c r="R937">
        <v>4</v>
      </c>
      <c r="S937">
        <v>1</v>
      </c>
      <c r="T937" t="s">
        <v>59</v>
      </c>
      <c r="U937" t="s">
        <v>85</v>
      </c>
      <c r="V937">
        <v>2</v>
      </c>
      <c r="W937">
        <v>6</v>
      </c>
      <c r="X937" t="s">
        <v>59</v>
      </c>
      <c r="Y937" t="s">
        <v>60</v>
      </c>
      <c r="Z937" t="s">
        <v>61</v>
      </c>
      <c r="AA937" s="2">
        <v>45386</v>
      </c>
      <c r="AB937" t="b">
        <v>0</v>
      </c>
      <c r="AC937" t="b">
        <v>0</v>
      </c>
      <c r="AD937" t="s">
        <v>40</v>
      </c>
      <c r="AE937" t="s">
        <v>41</v>
      </c>
      <c r="AF937">
        <v>13</v>
      </c>
    </row>
    <row r="938" spans="1:32" x14ac:dyDescent="0.25">
      <c r="A938" t="s">
        <v>1934</v>
      </c>
      <c r="B938">
        <v>936</v>
      </c>
      <c r="C938">
        <v>44</v>
      </c>
      <c r="D938" t="str">
        <f>IF(tbl_Original[[#This Row],[Gender2]]="Female","Female",IF(tbl_Original[[#This Row],[Gender2]]="Male","Male","Other"))</f>
        <v>Female</v>
      </c>
      <c r="E938" t="s">
        <v>29</v>
      </c>
      <c r="F938" t="s">
        <v>44</v>
      </c>
      <c r="G938" t="s">
        <v>31</v>
      </c>
      <c r="H938" t="s">
        <v>56</v>
      </c>
      <c r="I938" t="s">
        <v>30</v>
      </c>
      <c r="J938" t="str">
        <f>PROPER(TRIM(CLEAN(tbl_Original[[#This Row],[Column1]])))</f>
        <v>Kusov</v>
      </c>
      <c r="K938" t="s">
        <v>2270</v>
      </c>
      <c r="L938" t="s">
        <v>1935</v>
      </c>
      <c r="M938" t="s">
        <v>117</v>
      </c>
      <c r="N938" s="1">
        <v>136.66999999999999</v>
      </c>
      <c r="O938">
        <v>3</v>
      </c>
      <c r="P938" t="s">
        <v>78</v>
      </c>
      <c r="Q938">
        <v>3</v>
      </c>
      <c r="R938">
        <v>1</v>
      </c>
      <c r="S938">
        <v>1</v>
      </c>
      <c r="T938" t="s">
        <v>59</v>
      </c>
      <c r="U938" t="s">
        <v>37</v>
      </c>
      <c r="V938">
        <v>0</v>
      </c>
      <c r="W938">
        <v>2</v>
      </c>
      <c r="X938" t="s">
        <v>44</v>
      </c>
      <c r="Y938" t="s">
        <v>79</v>
      </c>
      <c r="Z938" t="s">
        <v>51</v>
      </c>
      <c r="AA938" s="2">
        <v>45463</v>
      </c>
      <c r="AB938" t="b">
        <v>0</v>
      </c>
      <c r="AC938" t="b">
        <v>1</v>
      </c>
      <c r="AD938" t="s">
        <v>62</v>
      </c>
      <c r="AE938" t="s">
        <v>53</v>
      </c>
      <c r="AF938">
        <v>1</v>
      </c>
    </row>
    <row r="939" spans="1:32" x14ac:dyDescent="0.25">
      <c r="A939" t="s">
        <v>1936</v>
      </c>
      <c r="B939">
        <v>937</v>
      </c>
      <c r="C939">
        <v>37</v>
      </c>
      <c r="D939" t="str">
        <f>IF(tbl_Original[[#This Row],[Gender2]]="Female","Female",IF(tbl_Original[[#This Row],[Gender2]]="Male","Male","Other"))</f>
        <v>Male</v>
      </c>
      <c r="E939" t="s">
        <v>43</v>
      </c>
      <c r="F939" t="s">
        <v>30</v>
      </c>
      <c r="G939" t="s">
        <v>69</v>
      </c>
      <c r="H939" t="s">
        <v>56</v>
      </c>
      <c r="I939" t="s">
        <v>44</v>
      </c>
      <c r="J939" t="str">
        <f>PROPER(TRIM(CLEAN(tbl_Original[[#This Row],[Column1]])))</f>
        <v>Bokong Timur</v>
      </c>
      <c r="K939" t="s">
        <v>1937</v>
      </c>
      <c r="L939" t="s">
        <v>1937</v>
      </c>
      <c r="M939" t="s">
        <v>90</v>
      </c>
      <c r="N939" s="1">
        <v>324.11</v>
      </c>
      <c r="O939">
        <v>11</v>
      </c>
      <c r="P939" t="s">
        <v>78</v>
      </c>
      <c r="Q939">
        <v>3</v>
      </c>
      <c r="R939">
        <v>3</v>
      </c>
      <c r="S939">
        <v>2</v>
      </c>
      <c r="T939" t="s">
        <v>36</v>
      </c>
      <c r="U939" t="s">
        <v>85</v>
      </c>
      <c r="V939">
        <v>0</v>
      </c>
      <c r="W939">
        <v>2</v>
      </c>
      <c r="X939" t="s">
        <v>59</v>
      </c>
      <c r="Y939" t="s">
        <v>60</v>
      </c>
      <c r="Z939" t="s">
        <v>86</v>
      </c>
      <c r="AA939" s="2">
        <v>45373</v>
      </c>
      <c r="AB939" t="b">
        <v>0</v>
      </c>
      <c r="AC939" t="b">
        <v>0</v>
      </c>
      <c r="AD939" t="s">
        <v>62</v>
      </c>
      <c r="AE939" t="s">
        <v>41</v>
      </c>
      <c r="AF939">
        <v>7</v>
      </c>
    </row>
    <row r="940" spans="1:32" x14ac:dyDescent="0.25">
      <c r="A940" t="s">
        <v>1938</v>
      </c>
      <c r="B940">
        <v>938</v>
      </c>
      <c r="C940">
        <v>40</v>
      </c>
      <c r="D940" t="str">
        <f>IF(tbl_Original[[#This Row],[Gender2]]="Female","Female",IF(tbl_Original[[#This Row],[Gender2]]="Male","Male","Other"))</f>
        <v>Female</v>
      </c>
      <c r="E940" t="s">
        <v>29</v>
      </c>
      <c r="F940" t="s">
        <v>44</v>
      </c>
      <c r="G940" t="s">
        <v>69</v>
      </c>
      <c r="H940" t="s">
        <v>32</v>
      </c>
      <c r="I940" t="s">
        <v>44</v>
      </c>
      <c r="J940" t="str">
        <f>PROPER(TRIM(CLEAN(tbl_Original[[#This Row],[Column1]])))</f>
        <v>Gaowu</v>
      </c>
      <c r="K940" t="s">
        <v>1939</v>
      </c>
      <c r="L940" t="s">
        <v>1939</v>
      </c>
      <c r="M940" t="s">
        <v>101</v>
      </c>
      <c r="N940" s="1">
        <v>105.64</v>
      </c>
      <c r="O940">
        <v>6</v>
      </c>
      <c r="P940" t="s">
        <v>78</v>
      </c>
      <c r="Q940">
        <v>1</v>
      </c>
      <c r="R940">
        <v>3</v>
      </c>
      <c r="S940">
        <v>0</v>
      </c>
      <c r="T940" t="s">
        <v>59</v>
      </c>
      <c r="U940" t="s">
        <v>85</v>
      </c>
      <c r="V940">
        <v>2</v>
      </c>
      <c r="W940">
        <v>1</v>
      </c>
      <c r="X940" t="s">
        <v>36</v>
      </c>
      <c r="Y940" t="s">
        <v>60</v>
      </c>
      <c r="Z940" t="s">
        <v>66</v>
      </c>
      <c r="AA940" s="2">
        <v>45388</v>
      </c>
      <c r="AB940" t="b">
        <v>1</v>
      </c>
      <c r="AC940" t="b">
        <v>1</v>
      </c>
      <c r="AD940" t="s">
        <v>74</v>
      </c>
      <c r="AE940" t="s">
        <v>41</v>
      </c>
      <c r="AF940">
        <v>12</v>
      </c>
    </row>
    <row r="941" spans="1:32" x14ac:dyDescent="0.25">
      <c r="A941" t="s">
        <v>1940</v>
      </c>
      <c r="B941">
        <v>939</v>
      </c>
      <c r="C941">
        <v>43</v>
      </c>
      <c r="D941" t="str">
        <f>IF(tbl_Original[[#This Row],[Gender2]]="Female","Female",IF(tbl_Original[[#This Row],[Gender2]]="Male","Male","Other"))</f>
        <v>Male</v>
      </c>
      <c r="E941" t="s">
        <v>43</v>
      </c>
      <c r="F941" t="s">
        <v>44</v>
      </c>
      <c r="G941" t="s">
        <v>69</v>
      </c>
      <c r="H941" t="s">
        <v>56</v>
      </c>
      <c r="I941" t="s">
        <v>44</v>
      </c>
      <c r="J941" t="str">
        <f>PROPER(TRIM(CLEAN(tbl_Original[[#This Row],[Column1]])))</f>
        <v>Guret</v>
      </c>
      <c r="K941" t="s">
        <v>2271</v>
      </c>
      <c r="L941" t="s">
        <v>1941</v>
      </c>
      <c r="M941" t="s">
        <v>117</v>
      </c>
      <c r="N941" s="1">
        <v>295.60000000000002</v>
      </c>
      <c r="O941">
        <v>10</v>
      </c>
      <c r="P941" t="s">
        <v>78</v>
      </c>
      <c r="Q941">
        <v>1</v>
      </c>
      <c r="R941">
        <v>2</v>
      </c>
      <c r="S941">
        <v>1</v>
      </c>
      <c r="T941" t="s">
        <v>44</v>
      </c>
      <c r="U941" t="s">
        <v>37</v>
      </c>
      <c r="V941">
        <v>0</v>
      </c>
      <c r="W941">
        <v>9</v>
      </c>
      <c r="X941" t="s">
        <v>59</v>
      </c>
      <c r="Y941" t="s">
        <v>79</v>
      </c>
      <c r="Z941" t="s">
        <v>39</v>
      </c>
      <c r="AA941" s="2">
        <v>45432</v>
      </c>
      <c r="AB941" t="b">
        <v>1</v>
      </c>
      <c r="AC941" t="b">
        <v>1</v>
      </c>
      <c r="AD941" t="s">
        <v>40</v>
      </c>
      <c r="AE941" t="s">
        <v>53</v>
      </c>
      <c r="AF941">
        <v>5</v>
      </c>
    </row>
    <row r="942" spans="1:32" x14ac:dyDescent="0.25">
      <c r="A942" t="s">
        <v>1942</v>
      </c>
      <c r="B942">
        <v>940</v>
      </c>
      <c r="C942">
        <v>48</v>
      </c>
      <c r="D942" t="str">
        <f>IF(tbl_Original[[#This Row],[Gender2]]="Female","Female",IF(tbl_Original[[#This Row],[Gender2]]="Male","Male","Other"))</f>
        <v>Male</v>
      </c>
      <c r="E942" t="s">
        <v>43</v>
      </c>
      <c r="F942" t="s">
        <v>30</v>
      </c>
      <c r="G942" t="s">
        <v>55</v>
      </c>
      <c r="H942" t="s">
        <v>56</v>
      </c>
      <c r="I942" t="s">
        <v>44</v>
      </c>
      <c r="J942" t="str">
        <f>PROPER(TRIM(CLEAN(tbl_Original[[#This Row],[Column1]])))</f>
        <v>Postekov</v>
      </c>
      <c r="K942" t="s">
        <v>2272</v>
      </c>
      <c r="L942" t="s">
        <v>1943</v>
      </c>
      <c r="M942" t="s">
        <v>101</v>
      </c>
      <c r="N942" s="1">
        <v>227.03</v>
      </c>
      <c r="O942">
        <v>9</v>
      </c>
      <c r="P942" t="s">
        <v>48</v>
      </c>
      <c r="Q942">
        <v>4</v>
      </c>
      <c r="R942">
        <v>4</v>
      </c>
      <c r="S942">
        <v>2</v>
      </c>
      <c r="T942" t="s">
        <v>59</v>
      </c>
      <c r="U942" t="s">
        <v>50</v>
      </c>
      <c r="V942">
        <v>2</v>
      </c>
      <c r="W942">
        <v>7</v>
      </c>
      <c r="X942" t="s">
        <v>44</v>
      </c>
      <c r="Y942" t="s">
        <v>38</v>
      </c>
      <c r="Z942" t="s">
        <v>66</v>
      </c>
      <c r="AA942" s="2">
        <v>45391</v>
      </c>
      <c r="AB942" t="b">
        <v>1</v>
      </c>
      <c r="AC942" t="b">
        <v>1</v>
      </c>
      <c r="AD942" t="s">
        <v>40</v>
      </c>
      <c r="AE942" t="s">
        <v>41</v>
      </c>
      <c r="AF942">
        <v>4</v>
      </c>
    </row>
    <row r="943" spans="1:32" x14ac:dyDescent="0.25">
      <c r="A943" t="s">
        <v>1944</v>
      </c>
      <c r="B943">
        <v>941</v>
      </c>
      <c r="C943">
        <v>32</v>
      </c>
      <c r="D943" t="str">
        <f>IF(tbl_Original[[#This Row],[Gender2]]="Female","Female",IF(tbl_Original[[#This Row],[Gender2]]="Male","Male","Other"))</f>
        <v>Female</v>
      </c>
      <c r="E943" t="s">
        <v>29</v>
      </c>
      <c r="F943" t="s">
        <v>44</v>
      </c>
      <c r="G943" t="s">
        <v>76</v>
      </c>
      <c r="H943" t="s">
        <v>32</v>
      </c>
      <c r="I943" t="s">
        <v>30</v>
      </c>
      <c r="J943" t="str">
        <f>PROPER(TRIM(CLEAN(tbl_Original[[#This Row],[Column1]])))</f>
        <v>Gobojango</v>
      </c>
      <c r="K943" t="s">
        <v>1945</v>
      </c>
      <c r="L943" t="s">
        <v>1945</v>
      </c>
      <c r="M943" t="s">
        <v>107</v>
      </c>
      <c r="N943" s="1">
        <v>485.77</v>
      </c>
      <c r="O943">
        <v>10</v>
      </c>
      <c r="P943" t="s">
        <v>35</v>
      </c>
      <c r="Q943">
        <v>1</v>
      </c>
      <c r="R943">
        <v>2</v>
      </c>
      <c r="S943">
        <v>0</v>
      </c>
      <c r="T943" t="s">
        <v>59</v>
      </c>
      <c r="U943" t="s">
        <v>50</v>
      </c>
      <c r="V943">
        <v>2</v>
      </c>
      <c r="W943">
        <v>6</v>
      </c>
      <c r="X943" t="s">
        <v>36</v>
      </c>
      <c r="Y943" t="s">
        <v>38</v>
      </c>
      <c r="Z943" t="s">
        <v>86</v>
      </c>
      <c r="AA943" s="2">
        <v>45630</v>
      </c>
      <c r="AB943" t="b">
        <v>0</v>
      </c>
      <c r="AC943" t="b">
        <v>0</v>
      </c>
      <c r="AD943" t="s">
        <v>74</v>
      </c>
      <c r="AE943" t="s">
        <v>41</v>
      </c>
      <c r="AF943">
        <v>6</v>
      </c>
    </row>
    <row r="944" spans="1:32" x14ac:dyDescent="0.25">
      <c r="A944" t="s">
        <v>1946</v>
      </c>
      <c r="B944">
        <v>942</v>
      </c>
      <c r="C944">
        <v>37</v>
      </c>
      <c r="D944" t="str">
        <f>IF(tbl_Original[[#This Row],[Gender2]]="Female","Female",IF(tbl_Original[[#This Row],[Gender2]]="Male","Male","Other"))</f>
        <v>Female</v>
      </c>
      <c r="E944" t="s">
        <v>29</v>
      </c>
      <c r="F944" t="s">
        <v>30</v>
      </c>
      <c r="G944" t="s">
        <v>69</v>
      </c>
      <c r="H944" t="s">
        <v>45</v>
      </c>
      <c r="I944" t="s">
        <v>44</v>
      </c>
      <c r="J944" t="str">
        <f>PROPER(TRIM(CLEAN(tbl_Original[[#This Row],[Column1]])))</f>
        <v>Tandahimba</v>
      </c>
      <c r="K944" t="s">
        <v>1947</v>
      </c>
      <c r="L944" t="s">
        <v>1947</v>
      </c>
      <c r="M944" t="s">
        <v>101</v>
      </c>
      <c r="N944" s="1">
        <v>173.43</v>
      </c>
      <c r="O944">
        <v>4</v>
      </c>
      <c r="P944" t="s">
        <v>48</v>
      </c>
      <c r="Q944">
        <v>3</v>
      </c>
      <c r="R944">
        <v>3</v>
      </c>
      <c r="S944">
        <v>0</v>
      </c>
      <c r="T944" t="s">
        <v>49</v>
      </c>
      <c r="U944" t="s">
        <v>50</v>
      </c>
      <c r="V944">
        <v>2</v>
      </c>
      <c r="W944">
        <v>1</v>
      </c>
      <c r="X944" t="s">
        <v>59</v>
      </c>
      <c r="Y944" t="s">
        <v>79</v>
      </c>
      <c r="Z944" t="s">
        <v>51</v>
      </c>
      <c r="AA944" s="2">
        <v>45439</v>
      </c>
      <c r="AB944" t="b">
        <v>1</v>
      </c>
      <c r="AC944" t="b">
        <v>1</v>
      </c>
      <c r="AD944" t="s">
        <v>40</v>
      </c>
      <c r="AE944" t="s">
        <v>41</v>
      </c>
      <c r="AF944">
        <v>14</v>
      </c>
    </row>
    <row r="945" spans="1:32" x14ac:dyDescent="0.25">
      <c r="A945" t="s">
        <v>1948</v>
      </c>
      <c r="B945">
        <v>943</v>
      </c>
      <c r="C945">
        <v>29</v>
      </c>
      <c r="D945" t="str">
        <f>IF(tbl_Original[[#This Row],[Gender2]]="Female","Female",IF(tbl_Original[[#This Row],[Gender2]]="Male","Male","Other"))</f>
        <v>Female</v>
      </c>
      <c r="E945" t="s">
        <v>29</v>
      </c>
      <c r="F945" t="s">
        <v>30</v>
      </c>
      <c r="G945" t="s">
        <v>69</v>
      </c>
      <c r="H945" t="s">
        <v>45</v>
      </c>
      <c r="I945" t="s">
        <v>30</v>
      </c>
      <c r="J945" t="str">
        <f>PROPER(TRIM(CLEAN(tbl_Original[[#This Row],[Column1]])))</f>
        <v>Iwade</v>
      </c>
      <c r="K945" t="s">
        <v>1949</v>
      </c>
      <c r="L945" t="s">
        <v>1949</v>
      </c>
      <c r="M945" t="s">
        <v>123</v>
      </c>
      <c r="N945" s="1">
        <v>462.96</v>
      </c>
      <c r="O945">
        <v>2</v>
      </c>
      <c r="P945" t="s">
        <v>78</v>
      </c>
      <c r="Q945">
        <v>4</v>
      </c>
      <c r="R945">
        <v>2</v>
      </c>
      <c r="S945">
        <v>0</v>
      </c>
      <c r="T945" t="s">
        <v>44</v>
      </c>
      <c r="U945" t="s">
        <v>85</v>
      </c>
      <c r="V945">
        <v>2</v>
      </c>
      <c r="W945">
        <v>6</v>
      </c>
      <c r="X945" t="s">
        <v>44</v>
      </c>
      <c r="Y945" t="s">
        <v>38</v>
      </c>
      <c r="Z945" t="s">
        <v>86</v>
      </c>
      <c r="AA945" s="2">
        <v>45474</v>
      </c>
      <c r="AB945" t="b">
        <v>1</v>
      </c>
      <c r="AC945" t="b">
        <v>0</v>
      </c>
      <c r="AD945" t="s">
        <v>74</v>
      </c>
      <c r="AE945" t="s">
        <v>41</v>
      </c>
      <c r="AF945">
        <v>3</v>
      </c>
    </row>
    <row r="946" spans="1:32" x14ac:dyDescent="0.25">
      <c r="A946" t="s">
        <v>1950</v>
      </c>
      <c r="B946">
        <v>944</v>
      </c>
      <c r="C946">
        <v>36</v>
      </c>
      <c r="D946" t="str">
        <f>IF(tbl_Original[[#This Row],[Gender2]]="Female","Female",IF(tbl_Original[[#This Row],[Gender2]]="Male","Male","Other"))</f>
        <v>Male</v>
      </c>
      <c r="E946" t="s">
        <v>43</v>
      </c>
      <c r="F946" t="s">
        <v>44</v>
      </c>
      <c r="G946" t="s">
        <v>76</v>
      </c>
      <c r="H946" t="s">
        <v>45</v>
      </c>
      <c r="I946" t="s">
        <v>30</v>
      </c>
      <c r="J946" t="str">
        <f>PROPER(TRIM(CLEAN(tbl_Original[[#This Row],[Column1]])))</f>
        <v>La Guata</v>
      </c>
      <c r="K946" t="s">
        <v>1951</v>
      </c>
      <c r="L946" t="s">
        <v>1951</v>
      </c>
      <c r="M946" t="s">
        <v>93</v>
      </c>
      <c r="N946" s="1">
        <v>203.13</v>
      </c>
      <c r="O946">
        <v>10</v>
      </c>
      <c r="P946" t="s">
        <v>78</v>
      </c>
      <c r="Q946">
        <v>4</v>
      </c>
      <c r="R946">
        <v>3</v>
      </c>
      <c r="S946">
        <v>2</v>
      </c>
      <c r="T946" t="s">
        <v>36</v>
      </c>
      <c r="U946" t="s">
        <v>37</v>
      </c>
      <c r="V946">
        <v>1</v>
      </c>
      <c r="W946">
        <v>5</v>
      </c>
      <c r="X946" t="s">
        <v>44</v>
      </c>
      <c r="Y946" t="s">
        <v>38</v>
      </c>
      <c r="Z946" t="s">
        <v>61</v>
      </c>
      <c r="AA946" s="2">
        <v>45519</v>
      </c>
      <c r="AB946" t="b">
        <v>1</v>
      </c>
      <c r="AC946" t="b">
        <v>0</v>
      </c>
      <c r="AD946" t="s">
        <v>62</v>
      </c>
      <c r="AE946" t="s">
        <v>53</v>
      </c>
      <c r="AF946">
        <v>6</v>
      </c>
    </row>
    <row r="947" spans="1:32" x14ac:dyDescent="0.25">
      <c r="A947" t="s">
        <v>1952</v>
      </c>
      <c r="B947">
        <v>945</v>
      </c>
      <c r="C947">
        <v>50</v>
      </c>
      <c r="D947" t="str">
        <f>IF(tbl_Original[[#This Row],[Gender2]]="Female","Female",IF(tbl_Original[[#This Row],[Gender2]]="Male","Male","Other"))</f>
        <v>Female</v>
      </c>
      <c r="E947" t="s">
        <v>29</v>
      </c>
      <c r="F947" t="s">
        <v>44</v>
      </c>
      <c r="G947" t="s">
        <v>31</v>
      </c>
      <c r="H947" t="s">
        <v>56</v>
      </c>
      <c r="I947" t="s">
        <v>44</v>
      </c>
      <c r="J947" t="str">
        <f>PROPER(TRIM(CLEAN(tbl_Original[[#This Row],[Column1]])))</f>
        <v>Saint-Brieuc</v>
      </c>
      <c r="K947" t="s">
        <v>1953</v>
      </c>
      <c r="L947" t="s">
        <v>1953</v>
      </c>
      <c r="M947" t="s">
        <v>126</v>
      </c>
      <c r="N947" s="1">
        <v>443.11</v>
      </c>
      <c r="O947">
        <v>9</v>
      </c>
      <c r="P947" t="s">
        <v>48</v>
      </c>
      <c r="Q947">
        <v>1</v>
      </c>
      <c r="R947">
        <v>2</v>
      </c>
      <c r="S947">
        <v>1</v>
      </c>
      <c r="T947" t="s">
        <v>36</v>
      </c>
      <c r="U947" t="s">
        <v>85</v>
      </c>
      <c r="V947">
        <v>0</v>
      </c>
      <c r="W947">
        <v>10</v>
      </c>
      <c r="X947" t="s">
        <v>59</v>
      </c>
      <c r="Y947" t="s">
        <v>38</v>
      </c>
      <c r="Z947" t="s">
        <v>66</v>
      </c>
      <c r="AA947" s="2">
        <v>45310</v>
      </c>
      <c r="AB947" t="b">
        <v>1</v>
      </c>
      <c r="AC947" t="b">
        <v>1</v>
      </c>
      <c r="AD947" t="s">
        <v>52</v>
      </c>
      <c r="AE947" t="s">
        <v>41</v>
      </c>
      <c r="AF947">
        <v>1</v>
      </c>
    </row>
    <row r="948" spans="1:32" x14ac:dyDescent="0.25">
      <c r="A948" t="s">
        <v>1954</v>
      </c>
      <c r="B948">
        <v>946</v>
      </c>
      <c r="C948">
        <v>31</v>
      </c>
      <c r="D948" t="str">
        <f>IF(tbl_Original[[#This Row],[Gender2]]="Female","Female",IF(tbl_Original[[#This Row],[Gender2]]="Male","Male","Other"))</f>
        <v>Other</v>
      </c>
      <c r="E948" t="s">
        <v>88</v>
      </c>
      <c r="F948" t="s">
        <v>44</v>
      </c>
      <c r="G948" t="s">
        <v>76</v>
      </c>
      <c r="H948" t="s">
        <v>45</v>
      </c>
      <c r="I948" t="s">
        <v>44</v>
      </c>
      <c r="J948" t="str">
        <f>PROPER(TRIM(CLEAN(tbl_Original[[#This Row],[Column1]])))</f>
        <v>Paya Dapur</v>
      </c>
      <c r="K948" t="s">
        <v>1955</v>
      </c>
      <c r="L948" t="s">
        <v>1955</v>
      </c>
      <c r="M948" t="s">
        <v>142</v>
      </c>
      <c r="N948" s="1">
        <v>254.83</v>
      </c>
      <c r="O948">
        <v>2</v>
      </c>
      <c r="P948" t="s">
        <v>35</v>
      </c>
      <c r="Q948">
        <v>1</v>
      </c>
      <c r="R948">
        <v>2</v>
      </c>
      <c r="S948">
        <v>1</v>
      </c>
      <c r="T948" t="s">
        <v>36</v>
      </c>
      <c r="U948" t="s">
        <v>37</v>
      </c>
      <c r="V948">
        <v>1</v>
      </c>
      <c r="W948">
        <v>2</v>
      </c>
      <c r="X948" t="s">
        <v>59</v>
      </c>
      <c r="Y948" t="s">
        <v>79</v>
      </c>
      <c r="Z948" t="s">
        <v>39</v>
      </c>
      <c r="AA948" s="2">
        <v>45553</v>
      </c>
      <c r="AB948" t="b">
        <v>0</v>
      </c>
      <c r="AC948" t="b">
        <v>0</v>
      </c>
      <c r="AD948" t="s">
        <v>52</v>
      </c>
      <c r="AE948" t="s">
        <v>53</v>
      </c>
      <c r="AF948">
        <v>1</v>
      </c>
    </row>
    <row r="949" spans="1:32" x14ac:dyDescent="0.25">
      <c r="A949" t="s">
        <v>1956</v>
      </c>
      <c r="B949">
        <v>947</v>
      </c>
      <c r="C949">
        <v>29</v>
      </c>
      <c r="D949" t="str">
        <f>IF(tbl_Original[[#This Row],[Gender2]]="Female","Female",IF(tbl_Original[[#This Row],[Gender2]]="Male","Male","Other"))</f>
        <v>Female</v>
      </c>
      <c r="E949" t="s">
        <v>29</v>
      </c>
      <c r="F949" t="s">
        <v>44</v>
      </c>
      <c r="G949" t="s">
        <v>55</v>
      </c>
      <c r="H949" t="s">
        <v>56</v>
      </c>
      <c r="I949" t="s">
        <v>30</v>
      </c>
      <c r="J949" t="str">
        <f>PROPER(TRIM(CLEAN(tbl_Original[[#This Row],[Column1]])))</f>
        <v>Xinzha</v>
      </c>
      <c r="K949" t="s">
        <v>1957</v>
      </c>
      <c r="L949" t="s">
        <v>1957</v>
      </c>
      <c r="M949" t="s">
        <v>98</v>
      </c>
      <c r="N949" s="1">
        <v>336.89</v>
      </c>
      <c r="O949">
        <v>4</v>
      </c>
      <c r="P949" t="s">
        <v>78</v>
      </c>
      <c r="Q949">
        <v>2</v>
      </c>
      <c r="R949">
        <v>1</v>
      </c>
      <c r="S949">
        <v>2</v>
      </c>
      <c r="T949" t="s">
        <v>49</v>
      </c>
      <c r="U949" t="s">
        <v>85</v>
      </c>
      <c r="V949">
        <v>1</v>
      </c>
      <c r="W949">
        <v>7</v>
      </c>
      <c r="X949" t="s">
        <v>44</v>
      </c>
      <c r="Y949" t="s">
        <v>60</v>
      </c>
      <c r="Z949" t="s">
        <v>39</v>
      </c>
      <c r="AA949" s="2">
        <v>45460</v>
      </c>
      <c r="AB949" t="b">
        <v>0</v>
      </c>
      <c r="AC949" t="b">
        <v>0</v>
      </c>
      <c r="AD949" t="s">
        <v>74</v>
      </c>
      <c r="AE949" t="s">
        <v>67</v>
      </c>
      <c r="AF949">
        <v>9</v>
      </c>
    </row>
    <row r="950" spans="1:32" x14ac:dyDescent="0.25">
      <c r="A950" t="s">
        <v>1958</v>
      </c>
      <c r="B950">
        <v>948</v>
      </c>
      <c r="C950">
        <v>26</v>
      </c>
      <c r="D950" t="str">
        <f>IF(tbl_Original[[#This Row],[Gender2]]="Female","Female",IF(tbl_Original[[#This Row],[Gender2]]="Male","Male","Other"))</f>
        <v>Male</v>
      </c>
      <c r="E950" t="s">
        <v>43</v>
      </c>
      <c r="F950" t="s">
        <v>30</v>
      </c>
      <c r="G950" t="s">
        <v>31</v>
      </c>
      <c r="H950" t="s">
        <v>32</v>
      </c>
      <c r="I950" t="s">
        <v>30</v>
      </c>
      <c r="J950" t="str">
        <f>PROPER(TRIM(CLEAN(tbl_Original[[#This Row],[Column1]])))</f>
        <v>Al Qah</v>
      </c>
      <c r="K950" t="s">
        <v>2140</v>
      </c>
      <c r="L950" t="s">
        <v>1959</v>
      </c>
      <c r="M950" t="s">
        <v>123</v>
      </c>
      <c r="N950" s="1">
        <v>337.17</v>
      </c>
      <c r="O950">
        <v>8</v>
      </c>
      <c r="P950" t="s">
        <v>48</v>
      </c>
      <c r="Q950">
        <v>5</v>
      </c>
      <c r="R950">
        <v>5</v>
      </c>
      <c r="S950">
        <v>0</v>
      </c>
      <c r="T950" t="s">
        <v>59</v>
      </c>
      <c r="U950" t="s">
        <v>50</v>
      </c>
      <c r="V950">
        <v>1</v>
      </c>
      <c r="W950">
        <v>6</v>
      </c>
      <c r="X950" t="s">
        <v>49</v>
      </c>
      <c r="Y950" t="s">
        <v>38</v>
      </c>
      <c r="Z950" t="s">
        <v>39</v>
      </c>
      <c r="AA950" s="2">
        <v>45499</v>
      </c>
      <c r="AB950" t="b">
        <v>0</v>
      </c>
      <c r="AC950" t="b">
        <v>1</v>
      </c>
      <c r="AD950" t="s">
        <v>52</v>
      </c>
      <c r="AE950" t="s">
        <v>41</v>
      </c>
      <c r="AF950">
        <v>3</v>
      </c>
    </row>
    <row r="951" spans="1:32" x14ac:dyDescent="0.25">
      <c r="A951" t="s">
        <v>1960</v>
      </c>
      <c r="B951">
        <v>949</v>
      </c>
      <c r="C951">
        <v>22</v>
      </c>
      <c r="D951" t="str">
        <f>IF(tbl_Original[[#This Row],[Gender2]]="Female","Female",IF(tbl_Original[[#This Row],[Gender2]]="Male","Male","Other"))</f>
        <v>Female</v>
      </c>
      <c r="E951" t="s">
        <v>29</v>
      </c>
      <c r="F951" t="s">
        <v>44</v>
      </c>
      <c r="G951" t="s">
        <v>55</v>
      </c>
      <c r="H951" t="s">
        <v>45</v>
      </c>
      <c r="I951" t="s">
        <v>44</v>
      </c>
      <c r="J951" t="str">
        <f>PROPER(TRIM(CLEAN(tbl_Original[[#This Row],[Column1]])))</f>
        <v>Antipolo</v>
      </c>
      <c r="K951" t="s">
        <v>1961</v>
      </c>
      <c r="L951" t="s">
        <v>1961</v>
      </c>
      <c r="M951" t="s">
        <v>47</v>
      </c>
      <c r="N951" s="1">
        <v>429.24</v>
      </c>
      <c r="O951">
        <v>2</v>
      </c>
      <c r="P951" t="s">
        <v>78</v>
      </c>
      <c r="Q951">
        <v>2</v>
      </c>
      <c r="R951">
        <v>2</v>
      </c>
      <c r="S951">
        <v>2</v>
      </c>
      <c r="T951" t="s">
        <v>49</v>
      </c>
      <c r="U951" t="s">
        <v>85</v>
      </c>
      <c r="V951">
        <v>0</v>
      </c>
      <c r="W951">
        <v>3</v>
      </c>
      <c r="X951" t="s">
        <v>36</v>
      </c>
      <c r="Y951" t="s">
        <v>79</v>
      </c>
      <c r="Z951" t="s">
        <v>86</v>
      </c>
      <c r="AA951" s="2">
        <v>45362</v>
      </c>
      <c r="AB951" t="b">
        <v>0</v>
      </c>
      <c r="AC951" t="b">
        <v>0</v>
      </c>
      <c r="AD951" t="s">
        <v>74</v>
      </c>
      <c r="AE951" t="s">
        <v>41</v>
      </c>
      <c r="AF951">
        <v>13</v>
      </c>
    </row>
    <row r="952" spans="1:32" x14ac:dyDescent="0.25">
      <c r="A952" t="s">
        <v>1962</v>
      </c>
      <c r="B952">
        <v>950</v>
      </c>
      <c r="C952">
        <v>35</v>
      </c>
      <c r="D952" t="str">
        <f>IF(tbl_Original[[#This Row],[Gender2]]="Female","Female",IF(tbl_Original[[#This Row],[Gender2]]="Male","Male","Other"))</f>
        <v>Female</v>
      </c>
      <c r="E952" t="s">
        <v>29</v>
      </c>
      <c r="F952" t="s">
        <v>44</v>
      </c>
      <c r="G952" t="s">
        <v>31</v>
      </c>
      <c r="H952" t="s">
        <v>45</v>
      </c>
      <c r="I952" t="s">
        <v>44</v>
      </c>
      <c r="J952" t="str">
        <f>PROPER(TRIM(CLEAN(tbl_Original[[#This Row],[Column1]])))</f>
        <v>Yuyangguan</v>
      </c>
      <c r="K952" t="s">
        <v>1963</v>
      </c>
      <c r="L952" t="s">
        <v>1963</v>
      </c>
      <c r="M952" t="s">
        <v>117</v>
      </c>
      <c r="N952" s="1">
        <v>197.7</v>
      </c>
      <c r="O952">
        <v>7</v>
      </c>
      <c r="P952" t="s">
        <v>35</v>
      </c>
      <c r="Q952">
        <v>3</v>
      </c>
      <c r="R952">
        <v>5</v>
      </c>
      <c r="S952">
        <v>2</v>
      </c>
      <c r="T952" t="s">
        <v>44</v>
      </c>
      <c r="U952" t="s">
        <v>37</v>
      </c>
      <c r="V952">
        <v>1</v>
      </c>
      <c r="W952">
        <v>6</v>
      </c>
      <c r="X952" t="s">
        <v>49</v>
      </c>
      <c r="Y952" t="s">
        <v>79</v>
      </c>
      <c r="Z952" t="s">
        <v>86</v>
      </c>
      <c r="AA952" s="2">
        <v>45562</v>
      </c>
      <c r="AB952" t="b">
        <v>0</v>
      </c>
      <c r="AC952" t="b">
        <v>0</v>
      </c>
      <c r="AD952" t="s">
        <v>40</v>
      </c>
      <c r="AE952" t="s">
        <v>53</v>
      </c>
      <c r="AF952">
        <v>9</v>
      </c>
    </row>
    <row r="953" spans="1:32" x14ac:dyDescent="0.25">
      <c r="A953" t="s">
        <v>1964</v>
      </c>
      <c r="B953">
        <v>951</v>
      </c>
      <c r="C953">
        <v>23</v>
      </c>
      <c r="D953" t="str">
        <f>IF(tbl_Original[[#This Row],[Gender2]]="Female","Female",IF(tbl_Original[[#This Row],[Gender2]]="Male","Male","Other"))</f>
        <v>Male</v>
      </c>
      <c r="E953" t="s">
        <v>43</v>
      </c>
      <c r="F953" t="s">
        <v>30</v>
      </c>
      <c r="G953" t="s">
        <v>31</v>
      </c>
      <c r="H953" t="s">
        <v>32</v>
      </c>
      <c r="I953" t="s">
        <v>30</v>
      </c>
      <c r="J953" t="str">
        <f>PROPER(TRIM(CLEAN(tbl_Original[[#This Row],[Column1]])))</f>
        <v>Qiman</v>
      </c>
      <c r="K953" t="s">
        <v>1965</v>
      </c>
      <c r="L953" t="s">
        <v>1965</v>
      </c>
      <c r="M953" t="s">
        <v>65</v>
      </c>
      <c r="N953" s="1">
        <v>336.96</v>
      </c>
      <c r="O953">
        <v>2</v>
      </c>
      <c r="P953" t="s">
        <v>48</v>
      </c>
      <c r="Q953">
        <v>5</v>
      </c>
      <c r="R953">
        <v>2</v>
      </c>
      <c r="S953">
        <v>2</v>
      </c>
      <c r="T953" t="s">
        <v>44</v>
      </c>
      <c r="U953" t="s">
        <v>50</v>
      </c>
      <c r="V953">
        <v>0</v>
      </c>
      <c r="W953">
        <v>7</v>
      </c>
      <c r="X953" t="s">
        <v>59</v>
      </c>
      <c r="Y953" t="s">
        <v>38</v>
      </c>
      <c r="Z953" t="s">
        <v>51</v>
      </c>
      <c r="AA953" s="2">
        <v>45540</v>
      </c>
      <c r="AB953" t="b">
        <v>1</v>
      </c>
      <c r="AC953" t="b">
        <v>1</v>
      </c>
      <c r="AD953" t="s">
        <v>62</v>
      </c>
      <c r="AE953" t="s">
        <v>41</v>
      </c>
      <c r="AF953">
        <v>7</v>
      </c>
    </row>
    <row r="954" spans="1:32" x14ac:dyDescent="0.25">
      <c r="A954" t="s">
        <v>1966</v>
      </c>
      <c r="B954">
        <v>952</v>
      </c>
      <c r="C954">
        <v>40</v>
      </c>
      <c r="D954" t="str">
        <f>IF(tbl_Original[[#This Row],[Gender2]]="Female","Female",IF(tbl_Original[[#This Row],[Gender2]]="Male","Male","Other"))</f>
        <v>Female</v>
      </c>
      <c r="E954" t="s">
        <v>29</v>
      </c>
      <c r="F954" t="s">
        <v>44</v>
      </c>
      <c r="G954" t="s">
        <v>31</v>
      </c>
      <c r="H954" t="s">
        <v>45</v>
      </c>
      <c r="I954" t="s">
        <v>44</v>
      </c>
      <c r="J954" t="str">
        <f>PROPER(TRIM(CLEAN(tbl_Original[[#This Row],[Column1]])))</f>
        <v>Maguwon</v>
      </c>
      <c r="K954" t="s">
        <v>1967</v>
      </c>
      <c r="L954" t="s">
        <v>1967</v>
      </c>
      <c r="M954" t="s">
        <v>114</v>
      </c>
      <c r="N954" s="1">
        <v>489.81</v>
      </c>
      <c r="O954">
        <v>11</v>
      </c>
      <c r="P954" t="s">
        <v>35</v>
      </c>
      <c r="Q954">
        <v>3</v>
      </c>
      <c r="R954">
        <v>2</v>
      </c>
      <c r="S954">
        <v>1</v>
      </c>
      <c r="T954" t="s">
        <v>59</v>
      </c>
      <c r="U954" t="s">
        <v>85</v>
      </c>
      <c r="V954">
        <v>0</v>
      </c>
      <c r="W954">
        <v>1</v>
      </c>
      <c r="X954" t="s">
        <v>36</v>
      </c>
      <c r="Y954" t="s">
        <v>38</v>
      </c>
      <c r="Z954" t="s">
        <v>39</v>
      </c>
      <c r="AA954" s="2">
        <v>45648</v>
      </c>
      <c r="AB954" t="b">
        <v>0</v>
      </c>
      <c r="AC954" t="b">
        <v>0</v>
      </c>
      <c r="AD954" t="s">
        <v>52</v>
      </c>
      <c r="AE954" t="s">
        <v>41</v>
      </c>
      <c r="AF954">
        <v>3</v>
      </c>
    </row>
    <row r="955" spans="1:32" x14ac:dyDescent="0.25">
      <c r="A955" t="s">
        <v>1968</v>
      </c>
      <c r="B955">
        <v>953</v>
      </c>
      <c r="C955">
        <v>32</v>
      </c>
      <c r="D955" t="str">
        <f>IF(tbl_Original[[#This Row],[Gender2]]="Female","Female",IF(tbl_Original[[#This Row],[Gender2]]="Male","Male","Other"))</f>
        <v>Female</v>
      </c>
      <c r="E955" t="s">
        <v>29</v>
      </c>
      <c r="F955" t="s">
        <v>44</v>
      </c>
      <c r="G955" t="s">
        <v>55</v>
      </c>
      <c r="H955" t="s">
        <v>45</v>
      </c>
      <c r="I955" t="s">
        <v>30</v>
      </c>
      <c r="J955" t="str">
        <f>PROPER(TRIM(CLEAN(tbl_Original[[#This Row],[Column1]])))</f>
        <v>Tsibulev</v>
      </c>
      <c r="K955" t="s">
        <v>1969</v>
      </c>
      <c r="L955" t="s">
        <v>1969</v>
      </c>
      <c r="M955" t="s">
        <v>120</v>
      </c>
      <c r="N955" s="1">
        <v>455.55</v>
      </c>
      <c r="O955">
        <v>8</v>
      </c>
      <c r="P955" t="s">
        <v>35</v>
      </c>
      <c r="Q955">
        <v>4</v>
      </c>
      <c r="R955">
        <v>4</v>
      </c>
      <c r="S955">
        <v>1</v>
      </c>
      <c r="T955" t="s">
        <v>44</v>
      </c>
      <c r="U955" t="s">
        <v>37</v>
      </c>
      <c r="V955">
        <v>0</v>
      </c>
      <c r="W955">
        <v>6</v>
      </c>
      <c r="X955" t="s">
        <v>44</v>
      </c>
      <c r="Y955" t="s">
        <v>79</v>
      </c>
      <c r="Z955" t="s">
        <v>51</v>
      </c>
      <c r="AA955" s="2">
        <v>45594</v>
      </c>
      <c r="AB955" t="b">
        <v>0</v>
      </c>
      <c r="AC955" t="b">
        <v>0</v>
      </c>
      <c r="AD955" t="s">
        <v>74</v>
      </c>
      <c r="AE955" t="s">
        <v>41</v>
      </c>
      <c r="AF955">
        <v>10</v>
      </c>
    </row>
    <row r="956" spans="1:32" x14ac:dyDescent="0.25">
      <c r="A956" t="s">
        <v>1970</v>
      </c>
      <c r="B956">
        <v>954</v>
      </c>
      <c r="C956">
        <v>29</v>
      </c>
      <c r="D956" t="str">
        <f>IF(tbl_Original[[#This Row],[Gender2]]="Female","Female",IF(tbl_Original[[#This Row],[Gender2]]="Male","Male","Other"))</f>
        <v>Male</v>
      </c>
      <c r="E956" t="s">
        <v>43</v>
      </c>
      <c r="F956" t="s">
        <v>30</v>
      </c>
      <c r="G956" t="s">
        <v>76</v>
      </c>
      <c r="H956" t="s">
        <v>56</v>
      </c>
      <c r="I956" t="s">
        <v>30</v>
      </c>
      <c r="J956" t="str">
        <f>PROPER(TRIM(CLEAN(tbl_Original[[#This Row],[Column1]])))</f>
        <v>San Antonio Aguas Calientes</v>
      </c>
      <c r="K956" t="s">
        <v>1971</v>
      </c>
      <c r="L956" t="s">
        <v>1971</v>
      </c>
      <c r="M956" t="s">
        <v>93</v>
      </c>
      <c r="N956" s="1">
        <v>266.61</v>
      </c>
      <c r="O956">
        <v>3</v>
      </c>
      <c r="P956" t="s">
        <v>78</v>
      </c>
      <c r="Q956">
        <v>3</v>
      </c>
      <c r="R956">
        <v>1</v>
      </c>
      <c r="S956">
        <v>1</v>
      </c>
      <c r="T956" t="s">
        <v>49</v>
      </c>
      <c r="U956" t="s">
        <v>85</v>
      </c>
      <c r="V956">
        <v>2</v>
      </c>
      <c r="W956">
        <v>8</v>
      </c>
      <c r="X956" t="s">
        <v>36</v>
      </c>
      <c r="Y956" t="s">
        <v>38</v>
      </c>
      <c r="Z956" t="s">
        <v>61</v>
      </c>
      <c r="AA956" s="2">
        <v>45449</v>
      </c>
      <c r="AB956" t="b">
        <v>1</v>
      </c>
      <c r="AC956" t="b">
        <v>0</v>
      </c>
      <c r="AD956" t="s">
        <v>40</v>
      </c>
      <c r="AE956" t="s">
        <v>53</v>
      </c>
      <c r="AF956">
        <v>7</v>
      </c>
    </row>
    <row r="957" spans="1:32" x14ac:dyDescent="0.25">
      <c r="A957" t="s">
        <v>1972</v>
      </c>
      <c r="B957">
        <v>955</v>
      </c>
      <c r="C957">
        <v>50</v>
      </c>
      <c r="D957" t="str">
        <f>IF(tbl_Original[[#This Row],[Gender2]]="Female","Female",IF(tbl_Original[[#This Row],[Gender2]]="Male","Male","Other"))</f>
        <v>Other</v>
      </c>
      <c r="E957" t="s">
        <v>212</v>
      </c>
      <c r="F957" t="s">
        <v>30</v>
      </c>
      <c r="G957" t="s">
        <v>31</v>
      </c>
      <c r="H957" t="s">
        <v>45</v>
      </c>
      <c r="I957" t="s">
        <v>44</v>
      </c>
      <c r="J957" t="str">
        <f>PROPER(TRIM(CLEAN(tbl_Original[[#This Row],[Column1]])))</f>
        <v>Pombas</v>
      </c>
      <c r="K957" t="s">
        <v>1973</v>
      </c>
      <c r="L957" t="s">
        <v>1973</v>
      </c>
      <c r="M957" t="s">
        <v>194</v>
      </c>
      <c r="N957" s="1">
        <v>460.88</v>
      </c>
      <c r="O957">
        <v>5</v>
      </c>
      <c r="P957" t="s">
        <v>35</v>
      </c>
      <c r="Q957">
        <v>3</v>
      </c>
      <c r="R957">
        <v>4</v>
      </c>
      <c r="S957">
        <v>2</v>
      </c>
      <c r="T957" t="s">
        <v>36</v>
      </c>
      <c r="U957" t="s">
        <v>50</v>
      </c>
      <c r="V957">
        <v>2</v>
      </c>
      <c r="W957">
        <v>4</v>
      </c>
      <c r="X957" t="s">
        <v>44</v>
      </c>
      <c r="Y957" t="s">
        <v>38</v>
      </c>
      <c r="Z957" t="s">
        <v>86</v>
      </c>
      <c r="AA957" s="2">
        <v>45394</v>
      </c>
      <c r="AB957" t="b">
        <v>1</v>
      </c>
      <c r="AC957" t="b">
        <v>0</v>
      </c>
      <c r="AD957" t="s">
        <v>62</v>
      </c>
      <c r="AE957" t="s">
        <v>53</v>
      </c>
      <c r="AF957">
        <v>2</v>
      </c>
    </row>
    <row r="958" spans="1:32" x14ac:dyDescent="0.25">
      <c r="A958" t="s">
        <v>1974</v>
      </c>
      <c r="B958">
        <v>956</v>
      </c>
      <c r="C958">
        <v>42</v>
      </c>
      <c r="D958" t="str">
        <f>IF(tbl_Original[[#This Row],[Gender2]]="Female","Female",IF(tbl_Original[[#This Row],[Gender2]]="Male","Male","Other"))</f>
        <v>Male</v>
      </c>
      <c r="E958" t="s">
        <v>43</v>
      </c>
      <c r="F958" t="s">
        <v>44</v>
      </c>
      <c r="G958" t="s">
        <v>55</v>
      </c>
      <c r="H958" t="s">
        <v>45</v>
      </c>
      <c r="I958" t="s">
        <v>30</v>
      </c>
      <c r="J958" t="str">
        <f>PROPER(TRIM(CLEAN(tbl_Original[[#This Row],[Column1]])))</f>
        <v>Kuaydinah</v>
      </c>
      <c r="K958" t="s">
        <v>2273</v>
      </c>
      <c r="L958" t="s">
        <v>1975</v>
      </c>
      <c r="M958" t="s">
        <v>142</v>
      </c>
      <c r="N958" s="1">
        <v>361.4</v>
      </c>
      <c r="O958">
        <v>2</v>
      </c>
      <c r="P958" t="s">
        <v>48</v>
      </c>
      <c r="Q958">
        <v>2</v>
      </c>
      <c r="R958">
        <v>5</v>
      </c>
      <c r="S958">
        <v>1</v>
      </c>
      <c r="T958" t="s">
        <v>49</v>
      </c>
      <c r="U958" t="s">
        <v>37</v>
      </c>
      <c r="V958">
        <v>0</v>
      </c>
      <c r="W958">
        <v>5</v>
      </c>
      <c r="X958" t="s">
        <v>49</v>
      </c>
      <c r="Y958" t="s">
        <v>79</v>
      </c>
      <c r="Z958" t="s">
        <v>39</v>
      </c>
      <c r="AA958" s="2">
        <v>45647</v>
      </c>
      <c r="AB958" t="b">
        <v>0</v>
      </c>
      <c r="AC958" t="b">
        <v>1</v>
      </c>
      <c r="AD958" t="s">
        <v>62</v>
      </c>
      <c r="AE958" t="s">
        <v>41</v>
      </c>
      <c r="AF958">
        <v>7</v>
      </c>
    </row>
    <row r="959" spans="1:32" x14ac:dyDescent="0.25">
      <c r="A959" t="s">
        <v>1976</v>
      </c>
      <c r="B959">
        <v>957</v>
      </c>
      <c r="C959">
        <v>47</v>
      </c>
      <c r="D959" t="str">
        <f>IF(tbl_Original[[#This Row],[Gender2]]="Female","Female",IF(tbl_Original[[#This Row],[Gender2]]="Male","Male","Other"))</f>
        <v>Female</v>
      </c>
      <c r="E959" t="s">
        <v>29</v>
      </c>
      <c r="F959" t="s">
        <v>30</v>
      </c>
      <c r="G959" t="s">
        <v>76</v>
      </c>
      <c r="H959" t="s">
        <v>56</v>
      </c>
      <c r="I959" t="s">
        <v>30</v>
      </c>
      <c r="J959" t="str">
        <f>PROPER(TRIM(CLEAN(tbl_Original[[#This Row],[Column1]])))</f>
        <v>San Marcos</v>
      </c>
      <c r="K959" t="s">
        <v>1977</v>
      </c>
      <c r="L959" t="s">
        <v>1977</v>
      </c>
      <c r="M959" t="s">
        <v>123</v>
      </c>
      <c r="N959" s="1">
        <v>51.86</v>
      </c>
      <c r="O959">
        <v>4</v>
      </c>
      <c r="P959" t="s">
        <v>35</v>
      </c>
      <c r="Q959">
        <v>3</v>
      </c>
      <c r="R959">
        <v>5</v>
      </c>
      <c r="S959">
        <v>0.2</v>
      </c>
      <c r="T959" t="s">
        <v>49</v>
      </c>
      <c r="U959" t="s">
        <v>50</v>
      </c>
      <c r="V959">
        <v>2</v>
      </c>
      <c r="W959">
        <v>6</v>
      </c>
      <c r="X959" t="s">
        <v>44</v>
      </c>
      <c r="Y959" t="s">
        <v>38</v>
      </c>
      <c r="Z959" t="s">
        <v>39</v>
      </c>
      <c r="AA959" s="2">
        <v>45651</v>
      </c>
      <c r="AB959" t="b">
        <v>0</v>
      </c>
      <c r="AC959" t="b">
        <v>1</v>
      </c>
      <c r="AD959" t="s">
        <v>40</v>
      </c>
      <c r="AE959" t="s">
        <v>41</v>
      </c>
      <c r="AF959">
        <v>6</v>
      </c>
    </row>
    <row r="960" spans="1:32" x14ac:dyDescent="0.25">
      <c r="A960" t="s">
        <v>1978</v>
      </c>
      <c r="B960">
        <v>958</v>
      </c>
      <c r="C960">
        <v>27</v>
      </c>
      <c r="D960" t="str">
        <f>IF(tbl_Original[[#This Row],[Gender2]]="Female","Female",IF(tbl_Original[[#This Row],[Gender2]]="Male","Male","Other"))</f>
        <v>Male</v>
      </c>
      <c r="E960" t="s">
        <v>43</v>
      </c>
      <c r="F960" t="s">
        <v>30</v>
      </c>
      <c r="G960" t="s">
        <v>31</v>
      </c>
      <c r="H960" t="s">
        <v>45</v>
      </c>
      <c r="I960" t="s">
        <v>30</v>
      </c>
      <c r="J960" t="str">
        <f>PROPER(TRIM(CLEAN(tbl_Original[[#This Row],[Column1]])))</f>
        <v>Chum Phae</v>
      </c>
      <c r="K960" t="s">
        <v>1979</v>
      </c>
      <c r="L960" t="s">
        <v>1979</v>
      </c>
      <c r="M960" t="s">
        <v>58</v>
      </c>
      <c r="N960" s="1">
        <v>310.16000000000003</v>
      </c>
      <c r="O960">
        <v>5</v>
      </c>
      <c r="P960" t="s">
        <v>35</v>
      </c>
      <c r="Q960">
        <v>5</v>
      </c>
      <c r="R960">
        <v>3</v>
      </c>
      <c r="S960">
        <v>1</v>
      </c>
      <c r="T960" t="s">
        <v>36</v>
      </c>
      <c r="U960" t="s">
        <v>37</v>
      </c>
      <c r="V960">
        <v>0</v>
      </c>
      <c r="W960">
        <v>4</v>
      </c>
      <c r="X960" t="s">
        <v>44</v>
      </c>
      <c r="Y960" t="s">
        <v>79</v>
      </c>
      <c r="Z960" t="s">
        <v>86</v>
      </c>
      <c r="AA960" s="2">
        <v>45627</v>
      </c>
      <c r="AB960" t="b">
        <v>0</v>
      </c>
      <c r="AC960" t="b">
        <v>0</v>
      </c>
      <c r="AD960" t="s">
        <v>40</v>
      </c>
      <c r="AE960" t="s">
        <v>53</v>
      </c>
      <c r="AF960">
        <v>14</v>
      </c>
    </row>
    <row r="961" spans="1:32" x14ac:dyDescent="0.25">
      <c r="A961" t="s">
        <v>1980</v>
      </c>
      <c r="B961">
        <v>959</v>
      </c>
      <c r="C961">
        <v>40</v>
      </c>
      <c r="D961" t="str">
        <f>IF(tbl_Original[[#This Row],[Gender2]]="Female","Female",IF(tbl_Original[[#This Row],[Gender2]]="Male","Male","Other"))</f>
        <v>Female</v>
      </c>
      <c r="E961" t="s">
        <v>29</v>
      </c>
      <c r="F961" t="s">
        <v>30</v>
      </c>
      <c r="G961" t="s">
        <v>69</v>
      </c>
      <c r="H961" t="s">
        <v>56</v>
      </c>
      <c r="I961" t="s">
        <v>30</v>
      </c>
      <c r="J961" t="str">
        <f>PROPER(TRIM(CLEAN(tbl_Original[[#This Row],[Column1]])))</f>
        <v>La Laja</v>
      </c>
      <c r="K961" t="s">
        <v>1981</v>
      </c>
      <c r="L961" t="s">
        <v>1981</v>
      </c>
      <c r="M961" t="s">
        <v>114</v>
      </c>
      <c r="N961" s="1">
        <v>300.73</v>
      </c>
      <c r="O961">
        <v>8</v>
      </c>
      <c r="P961" t="s">
        <v>78</v>
      </c>
      <c r="Q961">
        <v>4</v>
      </c>
      <c r="R961">
        <v>2</v>
      </c>
      <c r="S961">
        <v>1</v>
      </c>
      <c r="T961" t="s">
        <v>59</v>
      </c>
      <c r="U961" t="s">
        <v>37</v>
      </c>
      <c r="V961">
        <v>2</v>
      </c>
      <c r="W961">
        <v>9</v>
      </c>
      <c r="X961" t="s">
        <v>44</v>
      </c>
      <c r="Y961" t="s">
        <v>79</v>
      </c>
      <c r="Z961" t="s">
        <v>86</v>
      </c>
      <c r="AA961" s="2">
        <v>45382</v>
      </c>
      <c r="AB961" t="b">
        <v>1</v>
      </c>
      <c r="AC961" t="b">
        <v>1</v>
      </c>
      <c r="AD961" t="s">
        <v>40</v>
      </c>
      <c r="AE961" t="s">
        <v>41</v>
      </c>
      <c r="AF961">
        <v>10</v>
      </c>
    </row>
    <row r="962" spans="1:32" x14ac:dyDescent="0.25">
      <c r="A962" t="s">
        <v>1982</v>
      </c>
      <c r="B962">
        <v>960</v>
      </c>
      <c r="C962">
        <v>28</v>
      </c>
      <c r="D962" t="str">
        <f>IF(tbl_Original[[#This Row],[Gender2]]="Female","Female",IF(tbl_Original[[#This Row],[Gender2]]="Male","Male","Other"))</f>
        <v>Female</v>
      </c>
      <c r="E962" t="s">
        <v>29</v>
      </c>
      <c r="F962" t="s">
        <v>44</v>
      </c>
      <c r="G962" t="s">
        <v>31</v>
      </c>
      <c r="H962" t="s">
        <v>45</v>
      </c>
      <c r="I962" t="s">
        <v>30</v>
      </c>
      <c r="J962" t="str">
        <f>PROPER(TRIM(CLEAN(tbl_Original[[#This Row],[Column1]])))</f>
        <v>San Juan Del Cesar</v>
      </c>
      <c r="K962" t="s">
        <v>1983</v>
      </c>
      <c r="L962" t="s">
        <v>1983</v>
      </c>
      <c r="M962" t="s">
        <v>114</v>
      </c>
      <c r="N962" s="1">
        <v>356.87</v>
      </c>
      <c r="O962">
        <v>12</v>
      </c>
      <c r="P962" t="s">
        <v>35</v>
      </c>
      <c r="Q962">
        <v>1</v>
      </c>
      <c r="R962">
        <v>4</v>
      </c>
      <c r="S962">
        <v>0</v>
      </c>
      <c r="T962" t="s">
        <v>44</v>
      </c>
      <c r="U962" t="s">
        <v>50</v>
      </c>
      <c r="V962">
        <v>1</v>
      </c>
      <c r="W962">
        <v>9</v>
      </c>
      <c r="X962" t="s">
        <v>49</v>
      </c>
      <c r="Y962" t="s">
        <v>60</v>
      </c>
      <c r="Z962" t="s">
        <v>61</v>
      </c>
      <c r="AA962" s="2">
        <v>45577</v>
      </c>
      <c r="AB962" t="b">
        <v>0</v>
      </c>
      <c r="AC962" t="b">
        <v>1</v>
      </c>
      <c r="AD962" t="s">
        <v>62</v>
      </c>
      <c r="AE962" t="s">
        <v>53</v>
      </c>
      <c r="AF962">
        <v>10</v>
      </c>
    </row>
    <row r="963" spans="1:32" x14ac:dyDescent="0.25">
      <c r="A963" t="s">
        <v>1984</v>
      </c>
      <c r="B963">
        <v>961</v>
      </c>
      <c r="C963">
        <v>28</v>
      </c>
      <c r="D963" t="str">
        <f>IF(tbl_Original[[#This Row],[Gender2]]="Female","Female",IF(tbl_Original[[#This Row],[Gender2]]="Male","Male","Other"))</f>
        <v>Male</v>
      </c>
      <c r="E963" t="s">
        <v>43</v>
      </c>
      <c r="F963" t="s">
        <v>30</v>
      </c>
      <c r="G963" t="s">
        <v>69</v>
      </c>
      <c r="H963" t="s">
        <v>45</v>
      </c>
      <c r="I963" t="s">
        <v>30</v>
      </c>
      <c r="J963" t="str">
        <f>PROPER(TRIM(CLEAN(tbl_Original[[#This Row],[Column1]])))</f>
        <v>Taiyigong</v>
      </c>
      <c r="K963" t="s">
        <v>1985</v>
      </c>
      <c r="L963" t="s">
        <v>1985</v>
      </c>
      <c r="M963" t="s">
        <v>183</v>
      </c>
      <c r="N963" s="1">
        <v>82.37</v>
      </c>
      <c r="O963">
        <v>6</v>
      </c>
      <c r="P963" t="s">
        <v>35</v>
      </c>
      <c r="Q963">
        <v>1</v>
      </c>
      <c r="R963">
        <v>1</v>
      </c>
      <c r="S963">
        <v>1</v>
      </c>
      <c r="T963" t="s">
        <v>49</v>
      </c>
      <c r="U963" t="s">
        <v>50</v>
      </c>
      <c r="V963">
        <v>0</v>
      </c>
      <c r="W963">
        <v>4</v>
      </c>
      <c r="X963" t="s">
        <v>49</v>
      </c>
      <c r="Y963" t="s">
        <v>60</v>
      </c>
      <c r="Z963" t="s">
        <v>39</v>
      </c>
      <c r="AA963" s="2">
        <v>45651</v>
      </c>
      <c r="AB963" t="b">
        <v>0</v>
      </c>
      <c r="AC963" t="b">
        <v>0</v>
      </c>
      <c r="AD963" t="s">
        <v>62</v>
      </c>
      <c r="AE963" t="s">
        <v>53</v>
      </c>
      <c r="AF963">
        <v>2</v>
      </c>
    </row>
    <row r="964" spans="1:32" x14ac:dyDescent="0.25">
      <c r="A964" t="s">
        <v>1986</v>
      </c>
      <c r="B964">
        <v>962</v>
      </c>
      <c r="C964">
        <v>29</v>
      </c>
      <c r="D964" t="str">
        <f>IF(tbl_Original[[#This Row],[Gender2]]="Female","Female",IF(tbl_Original[[#This Row],[Gender2]]="Male","Male","Other"))</f>
        <v>Female</v>
      </c>
      <c r="E964" t="s">
        <v>29</v>
      </c>
      <c r="F964" t="s">
        <v>44</v>
      </c>
      <c r="G964" t="s">
        <v>76</v>
      </c>
      <c r="H964" t="s">
        <v>32</v>
      </c>
      <c r="I964" t="s">
        <v>44</v>
      </c>
      <c r="J964" t="str">
        <f>PROPER(TRIM(CLEAN(tbl_Original[[#This Row],[Column1]])))</f>
        <v>Govle</v>
      </c>
      <c r="K964" t="s">
        <v>2274</v>
      </c>
      <c r="L964" t="s">
        <v>1696</v>
      </c>
      <c r="M964" t="s">
        <v>183</v>
      </c>
      <c r="N964" s="1">
        <v>372.6</v>
      </c>
      <c r="O964">
        <v>3</v>
      </c>
      <c r="P964" t="s">
        <v>35</v>
      </c>
      <c r="Q964">
        <v>4</v>
      </c>
      <c r="R964">
        <v>5</v>
      </c>
      <c r="S964">
        <v>1</v>
      </c>
      <c r="T964" t="s">
        <v>44</v>
      </c>
      <c r="U964" t="s">
        <v>85</v>
      </c>
      <c r="V964">
        <v>2</v>
      </c>
      <c r="W964">
        <v>6</v>
      </c>
      <c r="X964" t="s">
        <v>59</v>
      </c>
      <c r="Y964" t="s">
        <v>38</v>
      </c>
      <c r="Z964" t="s">
        <v>51</v>
      </c>
      <c r="AA964" s="2">
        <v>45302</v>
      </c>
      <c r="AB964" t="b">
        <v>1</v>
      </c>
      <c r="AC964" t="b">
        <v>1</v>
      </c>
      <c r="AD964" t="s">
        <v>74</v>
      </c>
      <c r="AE964" t="s">
        <v>67</v>
      </c>
      <c r="AF964">
        <v>10</v>
      </c>
    </row>
    <row r="965" spans="1:32" x14ac:dyDescent="0.25">
      <c r="A965" t="s">
        <v>1987</v>
      </c>
      <c r="B965">
        <v>963</v>
      </c>
      <c r="C965">
        <v>29</v>
      </c>
      <c r="D965" t="str">
        <f>IF(tbl_Original[[#This Row],[Gender2]]="Female","Female",IF(tbl_Original[[#This Row],[Gender2]]="Male","Male","Other"))</f>
        <v>Female</v>
      </c>
      <c r="E965" t="s">
        <v>29</v>
      </c>
      <c r="F965" t="s">
        <v>30</v>
      </c>
      <c r="G965" t="s">
        <v>69</v>
      </c>
      <c r="H965" t="s">
        <v>45</v>
      </c>
      <c r="I965" t="s">
        <v>44</v>
      </c>
      <c r="J965" t="str">
        <f>PROPER(TRIM(CLEAN(tbl_Original[[#This Row],[Column1]])))</f>
        <v>Tayabamba</v>
      </c>
      <c r="K965" t="s">
        <v>1988</v>
      </c>
      <c r="L965" t="s">
        <v>1988</v>
      </c>
      <c r="M965" t="s">
        <v>101</v>
      </c>
      <c r="N965" s="1">
        <v>78.319999999999993</v>
      </c>
      <c r="O965">
        <v>9</v>
      </c>
      <c r="P965" t="s">
        <v>78</v>
      </c>
      <c r="Q965">
        <v>2</v>
      </c>
      <c r="R965">
        <v>4</v>
      </c>
      <c r="S965">
        <v>2</v>
      </c>
      <c r="T965" t="s">
        <v>59</v>
      </c>
      <c r="U965" t="s">
        <v>37</v>
      </c>
      <c r="V965">
        <v>2</v>
      </c>
      <c r="W965">
        <v>10</v>
      </c>
      <c r="X965" t="s">
        <v>59</v>
      </c>
      <c r="Y965" t="s">
        <v>60</v>
      </c>
      <c r="Z965" t="s">
        <v>51</v>
      </c>
      <c r="AA965" s="2">
        <v>45502</v>
      </c>
      <c r="AB965" t="b">
        <v>0</v>
      </c>
      <c r="AC965" t="b">
        <v>1</v>
      </c>
      <c r="AD965" t="s">
        <v>40</v>
      </c>
      <c r="AE965" t="s">
        <v>53</v>
      </c>
      <c r="AF965">
        <v>7</v>
      </c>
    </row>
    <row r="966" spans="1:32" x14ac:dyDescent="0.25">
      <c r="A966" t="s">
        <v>1989</v>
      </c>
      <c r="B966">
        <v>964</v>
      </c>
      <c r="C966">
        <v>32</v>
      </c>
      <c r="D966" t="str">
        <f>IF(tbl_Original[[#This Row],[Gender2]]="Female","Female",IF(tbl_Original[[#This Row],[Gender2]]="Male","Male","Other"))</f>
        <v>Female</v>
      </c>
      <c r="E966" t="s">
        <v>29</v>
      </c>
      <c r="F966" t="s">
        <v>44</v>
      </c>
      <c r="G966" t="s">
        <v>55</v>
      </c>
      <c r="H966" t="s">
        <v>56</v>
      </c>
      <c r="I966" t="s">
        <v>44</v>
      </c>
      <c r="J966" t="str">
        <f>PROPER(TRIM(CLEAN(tbl_Original[[#This Row],[Column1]])))</f>
        <v>Majennang</v>
      </c>
      <c r="K966" t="s">
        <v>1990</v>
      </c>
      <c r="L966" t="s">
        <v>1990</v>
      </c>
      <c r="M966" t="s">
        <v>123</v>
      </c>
      <c r="N966" s="1">
        <v>71.72</v>
      </c>
      <c r="O966">
        <v>12</v>
      </c>
      <c r="P966" t="s">
        <v>78</v>
      </c>
      <c r="Q966">
        <v>3</v>
      </c>
      <c r="R966">
        <v>5</v>
      </c>
      <c r="S966">
        <v>1</v>
      </c>
      <c r="T966" t="s">
        <v>44</v>
      </c>
      <c r="U966" t="s">
        <v>37</v>
      </c>
      <c r="V966">
        <v>2</v>
      </c>
      <c r="W966">
        <v>5</v>
      </c>
      <c r="X966" t="s">
        <v>59</v>
      </c>
      <c r="Y966" t="s">
        <v>38</v>
      </c>
      <c r="Z966" t="s">
        <v>51</v>
      </c>
      <c r="AA966" s="2">
        <v>45302</v>
      </c>
      <c r="AB966" t="b">
        <v>1</v>
      </c>
      <c r="AC966" t="b">
        <v>1</v>
      </c>
      <c r="AD966" t="s">
        <v>52</v>
      </c>
      <c r="AE966" t="s">
        <v>67</v>
      </c>
      <c r="AF966">
        <v>13</v>
      </c>
    </row>
    <row r="967" spans="1:32" x14ac:dyDescent="0.25">
      <c r="A967" t="s">
        <v>1991</v>
      </c>
      <c r="B967">
        <v>965</v>
      </c>
      <c r="C967">
        <v>39</v>
      </c>
      <c r="D967" t="str">
        <f>IF(tbl_Original[[#This Row],[Gender2]]="Female","Female",IF(tbl_Original[[#This Row],[Gender2]]="Male","Male","Other"))</f>
        <v>Female</v>
      </c>
      <c r="E967" t="s">
        <v>29</v>
      </c>
      <c r="F967" t="s">
        <v>44</v>
      </c>
      <c r="G967" t="s">
        <v>55</v>
      </c>
      <c r="H967" t="s">
        <v>45</v>
      </c>
      <c r="I967" t="s">
        <v>44</v>
      </c>
      <c r="J967" t="str">
        <f>PROPER(TRIM(CLEAN(tbl_Original[[#This Row],[Column1]])))</f>
        <v>Njeru</v>
      </c>
      <c r="K967" t="s">
        <v>1992</v>
      </c>
      <c r="L967" t="s">
        <v>1992</v>
      </c>
      <c r="M967" t="s">
        <v>98</v>
      </c>
      <c r="N967" s="1">
        <v>241.1</v>
      </c>
      <c r="O967">
        <v>12</v>
      </c>
      <c r="P967" t="s">
        <v>48</v>
      </c>
      <c r="Q967">
        <v>1</v>
      </c>
      <c r="R967">
        <v>5</v>
      </c>
      <c r="S967">
        <v>2</v>
      </c>
      <c r="T967" t="s">
        <v>36</v>
      </c>
      <c r="U967" t="s">
        <v>50</v>
      </c>
      <c r="V967">
        <v>2</v>
      </c>
      <c r="W967">
        <v>2</v>
      </c>
      <c r="X967" t="s">
        <v>49</v>
      </c>
      <c r="Y967" t="s">
        <v>79</v>
      </c>
      <c r="Z967" t="s">
        <v>39</v>
      </c>
      <c r="AA967" s="2">
        <v>45503</v>
      </c>
      <c r="AB967" t="b">
        <v>0</v>
      </c>
      <c r="AC967" t="b">
        <v>1</v>
      </c>
      <c r="AD967" t="s">
        <v>74</v>
      </c>
      <c r="AE967" t="s">
        <v>41</v>
      </c>
      <c r="AF967">
        <v>8</v>
      </c>
    </row>
    <row r="968" spans="1:32" x14ac:dyDescent="0.25">
      <c r="A968" t="s">
        <v>1993</v>
      </c>
      <c r="B968">
        <v>966</v>
      </c>
      <c r="C968">
        <v>22</v>
      </c>
      <c r="D968" t="str">
        <f>IF(tbl_Original[[#This Row],[Gender2]]="Female","Female",IF(tbl_Original[[#This Row],[Gender2]]="Male","Male","Other"))</f>
        <v>Male</v>
      </c>
      <c r="E968" t="s">
        <v>43</v>
      </c>
      <c r="F968" t="s">
        <v>30</v>
      </c>
      <c r="G968" t="s">
        <v>31</v>
      </c>
      <c r="H968" t="s">
        <v>32</v>
      </c>
      <c r="I968" t="s">
        <v>44</v>
      </c>
      <c r="J968" t="str">
        <f>PROPER(TRIM(CLEAN(tbl_Original[[#This Row],[Column1]])))</f>
        <v>Ambatolaona</v>
      </c>
      <c r="K968" t="s">
        <v>1994</v>
      </c>
      <c r="L968" t="s">
        <v>1994</v>
      </c>
      <c r="M968" t="s">
        <v>194</v>
      </c>
      <c r="N968" s="1">
        <v>96.86</v>
      </c>
      <c r="O968">
        <v>9</v>
      </c>
      <c r="P968" t="s">
        <v>35</v>
      </c>
      <c r="Q968">
        <v>5</v>
      </c>
      <c r="R968">
        <v>5</v>
      </c>
      <c r="S968">
        <v>0</v>
      </c>
      <c r="T968" t="s">
        <v>36</v>
      </c>
      <c r="U968" t="s">
        <v>50</v>
      </c>
      <c r="V968">
        <v>2</v>
      </c>
      <c r="W968">
        <v>10</v>
      </c>
      <c r="X968" t="s">
        <v>49</v>
      </c>
      <c r="Y968" t="s">
        <v>79</v>
      </c>
      <c r="Z968" t="s">
        <v>61</v>
      </c>
      <c r="AA968" s="2">
        <v>45501</v>
      </c>
      <c r="AB968" t="b">
        <v>0</v>
      </c>
      <c r="AC968" t="b">
        <v>1</v>
      </c>
      <c r="AD968" t="s">
        <v>52</v>
      </c>
      <c r="AE968" t="s">
        <v>53</v>
      </c>
      <c r="AF968">
        <v>7</v>
      </c>
    </row>
    <row r="969" spans="1:32" x14ac:dyDescent="0.25">
      <c r="A969" t="s">
        <v>1995</v>
      </c>
      <c r="B969">
        <v>967</v>
      </c>
      <c r="C969">
        <v>48</v>
      </c>
      <c r="D969" t="str">
        <f>IF(tbl_Original[[#This Row],[Gender2]]="Female","Female",IF(tbl_Original[[#This Row],[Gender2]]="Male","Male","Other"))</f>
        <v>Male</v>
      </c>
      <c r="E969" t="s">
        <v>43</v>
      </c>
      <c r="F969" t="s">
        <v>30</v>
      </c>
      <c r="G969" t="s">
        <v>76</v>
      </c>
      <c r="H969" t="s">
        <v>56</v>
      </c>
      <c r="I969" t="s">
        <v>44</v>
      </c>
      <c r="J969" t="str">
        <f>PROPER(TRIM(CLEAN(tbl_Original[[#This Row],[Column1]])))</f>
        <v>Jianggang</v>
      </c>
      <c r="K969" t="s">
        <v>1996</v>
      </c>
      <c r="L969" t="s">
        <v>1996</v>
      </c>
      <c r="M969" t="s">
        <v>47</v>
      </c>
      <c r="N969" s="1">
        <v>276.25</v>
      </c>
      <c r="O969">
        <v>11</v>
      </c>
      <c r="P969" t="s">
        <v>48</v>
      </c>
      <c r="Q969">
        <v>2</v>
      </c>
      <c r="R969">
        <v>1</v>
      </c>
      <c r="S969">
        <v>2</v>
      </c>
      <c r="T969" t="s">
        <v>44</v>
      </c>
      <c r="U969" t="s">
        <v>50</v>
      </c>
      <c r="V969">
        <v>2</v>
      </c>
      <c r="W969">
        <v>4</v>
      </c>
      <c r="X969" t="s">
        <v>36</v>
      </c>
      <c r="Y969" t="s">
        <v>60</v>
      </c>
      <c r="Z969" t="s">
        <v>86</v>
      </c>
      <c r="AA969" s="2">
        <v>45607</v>
      </c>
      <c r="AB969" t="b">
        <v>1</v>
      </c>
      <c r="AC969" t="b">
        <v>1</v>
      </c>
      <c r="AD969" t="s">
        <v>62</v>
      </c>
      <c r="AE969" t="s">
        <v>67</v>
      </c>
      <c r="AF969">
        <v>8</v>
      </c>
    </row>
    <row r="970" spans="1:32" x14ac:dyDescent="0.25">
      <c r="A970" t="s">
        <v>1997</v>
      </c>
      <c r="B970">
        <v>968</v>
      </c>
      <c r="C970">
        <v>29</v>
      </c>
      <c r="D970" t="str">
        <f>IF(tbl_Original[[#This Row],[Gender2]]="Female","Female",IF(tbl_Original[[#This Row],[Gender2]]="Male","Male","Other"))</f>
        <v>Male</v>
      </c>
      <c r="E970" t="s">
        <v>43</v>
      </c>
      <c r="F970" t="s">
        <v>30</v>
      </c>
      <c r="G970" t="s">
        <v>69</v>
      </c>
      <c r="H970" t="s">
        <v>56</v>
      </c>
      <c r="I970" t="s">
        <v>30</v>
      </c>
      <c r="J970" t="str">
        <f>PROPER(TRIM(CLEAN(tbl_Original[[#This Row],[Column1]])))</f>
        <v>Langkou</v>
      </c>
      <c r="K970" t="s">
        <v>1998</v>
      </c>
      <c r="L970" t="s">
        <v>1998</v>
      </c>
      <c r="M970" t="s">
        <v>58</v>
      </c>
      <c r="N970" s="1">
        <v>318.45</v>
      </c>
      <c r="O970">
        <v>10</v>
      </c>
      <c r="P970" t="s">
        <v>48</v>
      </c>
      <c r="Q970">
        <v>2</v>
      </c>
      <c r="R970">
        <v>1</v>
      </c>
      <c r="S970">
        <v>2</v>
      </c>
      <c r="T970" t="s">
        <v>36</v>
      </c>
      <c r="U970" t="s">
        <v>37</v>
      </c>
      <c r="V970">
        <v>2</v>
      </c>
      <c r="W970">
        <v>4</v>
      </c>
      <c r="X970" t="s">
        <v>44</v>
      </c>
      <c r="Y970" t="s">
        <v>60</v>
      </c>
      <c r="Z970" t="s">
        <v>66</v>
      </c>
      <c r="AA970" s="2">
        <v>45590</v>
      </c>
      <c r="AB970" t="b">
        <v>0</v>
      </c>
      <c r="AC970" t="b">
        <v>1</v>
      </c>
      <c r="AD970" t="s">
        <v>74</v>
      </c>
      <c r="AE970" t="s">
        <v>41</v>
      </c>
      <c r="AF970">
        <v>5</v>
      </c>
    </row>
    <row r="971" spans="1:32" x14ac:dyDescent="0.25">
      <c r="A971" t="s">
        <v>1999</v>
      </c>
      <c r="B971">
        <v>969</v>
      </c>
      <c r="C971">
        <v>41</v>
      </c>
      <c r="D971" t="str">
        <f>IF(tbl_Original[[#This Row],[Gender2]]="Female","Female",IF(tbl_Original[[#This Row],[Gender2]]="Male","Male","Other"))</f>
        <v>Female</v>
      </c>
      <c r="E971" t="s">
        <v>29</v>
      </c>
      <c r="F971" t="s">
        <v>44</v>
      </c>
      <c r="G971" t="s">
        <v>31</v>
      </c>
      <c r="H971" t="s">
        <v>45</v>
      </c>
      <c r="I971" t="s">
        <v>44</v>
      </c>
      <c r="J971" t="str">
        <f>PROPER(TRIM(CLEAN(tbl_Original[[#This Row],[Column1]])))</f>
        <v>Horn­ Such</v>
      </c>
      <c r="K971" t="s">
        <v>2275</v>
      </c>
      <c r="L971" t="s">
        <v>2000</v>
      </c>
      <c r="M971" t="s">
        <v>101</v>
      </c>
      <c r="N971" s="1">
        <v>117.03</v>
      </c>
      <c r="O971">
        <v>6</v>
      </c>
      <c r="P971" t="s">
        <v>78</v>
      </c>
      <c r="Q971">
        <v>3</v>
      </c>
      <c r="R971">
        <v>2</v>
      </c>
      <c r="S971">
        <v>0</v>
      </c>
      <c r="T971" t="s">
        <v>36</v>
      </c>
      <c r="U971" t="s">
        <v>85</v>
      </c>
      <c r="V971">
        <v>2</v>
      </c>
      <c r="W971">
        <v>9</v>
      </c>
      <c r="X971" t="s">
        <v>49</v>
      </c>
      <c r="Y971" t="s">
        <v>38</v>
      </c>
      <c r="Z971" t="s">
        <v>86</v>
      </c>
      <c r="AA971" s="2">
        <v>45555</v>
      </c>
      <c r="AB971" t="b">
        <v>0</v>
      </c>
      <c r="AC971" t="b">
        <v>0</v>
      </c>
      <c r="AD971" t="s">
        <v>62</v>
      </c>
      <c r="AE971" t="s">
        <v>53</v>
      </c>
      <c r="AF971">
        <v>5</v>
      </c>
    </row>
    <row r="972" spans="1:32" x14ac:dyDescent="0.25">
      <c r="A972" t="s">
        <v>2001</v>
      </c>
      <c r="B972">
        <v>970</v>
      </c>
      <c r="C972">
        <v>50</v>
      </c>
      <c r="D972" t="str">
        <f>IF(tbl_Original[[#This Row],[Gender2]]="Female","Female",IF(tbl_Original[[#This Row],[Gender2]]="Male","Male","Other"))</f>
        <v>Female</v>
      </c>
      <c r="E972" t="s">
        <v>29</v>
      </c>
      <c r="F972" t="s">
        <v>30</v>
      </c>
      <c r="G972" t="s">
        <v>31</v>
      </c>
      <c r="H972" t="s">
        <v>56</v>
      </c>
      <c r="I972" t="s">
        <v>44</v>
      </c>
      <c r="J972" t="str">
        <f>PROPER(TRIM(CLEAN(tbl_Original[[#This Row],[Column1]])))</f>
        <v>Haradok</v>
      </c>
      <c r="K972" t="s">
        <v>2002</v>
      </c>
      <c r="L972" t="s">
        <v>2002</v>
      </c>
      <c r="M972" t="s">
        <v>126</v>
      </c>
      <c r="N972" s="1">
        <v>490.41</v>
      </c>
      <c r="O972">
        <v>7</v>
      </c>
      <c r="P972" t="s">
        <v>78</v>
      </c>
      <c r="Q972">
        <v>3</v>
      </c>
      <c r="R972">
        <v>5</v>
      </c>
      <c r="S972">
        <v>1</v>
      </c>
      <c r="T972" t="s">
        <v>49</v>
      </c>
      <c r="U972" t="s">
        <v>85</v>
      </c>
      <c r="V972">
        <v>1</v>
      </c>
      <c r="W972">
        <v>10</v>
      </c>
      <c r="X972" t="s">
        <v>59</v>
      </c>
      <c r="Y972" t="s">
        <v>38</v>
      </c>
      <c r="Z972" t="s">
        <v>66</v>
      </c>
      <c r="AA972" s="2">
        <v>45587</v>
      </c>
      <c r="AB972" t="b">
        <v>1</v>
      </c>
      <c r="AC972" t="b">
        <v>0</v>
      </c>
      <c r="AD972" t="s">
        <v>74</v>
      </c>
      <c r="AE972" t="s">
        <v>53</v>
      </c>
      <c r="AF972">
        <v>5</v>
      </c>
    </row>
    <row r="973" spans="1:32" x14ac:dyDescent="0.25">
      <c r="A973" t="s">
        <v>2003</v>
      </c>
      <c r="B973">
        <v>971</v>
      </c>
      <c r="C973">
        <v>48</v>
      </c>
      <c r="D973" t="str">
        <f>IF(tbl_Original[[#This Row],[Gender2]]="Female","Female",IF(tbl_Original[[#This Row],[Gender2]]="Male","Male","Other"))</f>
        <v>Male</v>
      </c>
      <c r="E973" t="s">
        <v>43</v>
      </c>
      <c r="F973" t="s">
        <v>30</v>
      </c>
      <c r="G973" t="s">
        <v>76</v>
      </c>
      <c r="H973" t="s">
        <v>32</v>
      </c>
      <c r="I973" t="s">
        <v>44</v>
      </c>
      <c r="J973" t="str">
        <f>PROPER(TRIM(CLEAN(tbl_Original[[#This Row],[Column1]])))</f>
        <v>Vichuga</v>
      </c>
      <c r="K973" t="s">
        <v>2004</v>
      </c>
      <c r="L973" t="s">
        <v>2004</v>
      </c>
      <c r="M973" t="s">
        <v>142</v>
      </c>
      <c r="N973" s="1">
        <v>476.42</v>
      </c>
      <c r="O973">
        <v>7</v>
      </c>
      <c r="P973" t="s">
        <v>48</v>
      </c>
      <c r="Q973">
        <v>1</v>
      </c>
      <c r="R973">
        <v>1</v>
      </c>
      <c r="S973">
        <v>1</v>
      </c>
      <c r="T973" t="s">
        <v>44</v>
      </c>
      <c r="U973" t="s">
        <v>85</v>
      </c>
      <c r="V973">
        <v>0</v>
      </c>
      <c r="W973">
        <v>2</v>
      </c>
      <c r="X973" t="s">
        <v>44</v>
      </c>
      <c r="Y973" t="s">
        <v>79</v>
      </c>
      <c r="Z973" t="s">
        <v>61</v>
      </c>
      <c r="AA973" s="2">
        <v>45544</v>
      </c>
      <c r="AB973" t="b">
        <v>1</v>
      </c>
      <c r="AC973" t="b">
        <v>0</v>
      </c>
      <c r="AD973" t="s">
        <v>40</v>
      </c>
      <c r="AE973" t="s">
        <v>53</v>
      </c>
      <c r="AF973">
        <v>2</v>
      </c>
    </row>
    <row r="974" spans="1:32" x14ac:dyDescent="0.25">
      <c r="A974" t="s">
        <v>2005</v>
      </c>
      <c r="B974">
        <v>972</v>
      </c>
      <c r="C974">
        <v>29</v>
      </c>
      <c r="D974" t="str">
        <f>IF(tbl_Original[[#This Row],[Gender2]]="Female","Female",IF(tbl_Original[[#This Row],[Gender2]]="Male","Male","Other"))</f>
        <v>Female</v>
      </c>
      <c r="E974" t="s">
        <v>29</v>
      </c>
      <c r="F974" t="s">
        <v>44</v>
      </c>
      <c r="G974" t="s">
        <v>76</v>
      </c>
      <c r="H974" t="s">
        <v>56</v>
      </c>
      <c r="I974" t="s">
        <v>44</v>
      </c>
      <c r="J974" t="str">
        <f>PROPER(TRIM(CLEAN(tbl_Original[[#This Row],[Column1]])))</f>
        <v>Luci</v>
      </c>
      <c r="K974" t="s">
        <v>2006</v>
      </c>
      <c r="L974" t="s">
        <v>2006</v>
      </c>
      <c r="M974" t="s">
        <v>188</v>
      </c>
      <c r="N974" s="1">
        <v>392.27</v>
      </c>
      <c r="O974">
        <v>5</v>
      </c>
      <c r="P974" t="s">
        <v>35</v>
      </c>
      <c r="Q974">
        <v>4</v>
      </c>
      <c r="R974">
        <v>5</v>
      </c>
      <c r="S974">
        <v>1</v>
      </c>
      <c r="T974" t="s">
        <v>44</v>
      </c>
      <c r="U974" t="s">
        <v>50</v>
      </c>
      <c r="V974">
        <v>0</v>
      </c>
      <c r="W974">
        <v>2</v>
      </c>
      <c r="X974" t="s">
        <v>59</v>
      </c>
      <c r="Y974" t="s">
        <v>38</v>
      </c>
      <c r="Z974" t="s">
        <v>66</v>
      </c>
      <c r="AA974" s="2">
        <v>45490</v>
      </c>
      <c r="AB974" t="b">
        <v>1</v>
      </c>
      <c r="AC974" t="b">
        <v>0</v>
      </c>
      <c r="AD974" t="s">
        <v>52</v>
      </c>
      <c r="AE974" t="s">
        <v>41</v>
      </c>
      <c r="AF974">
        <v>7</v>
      </c>
    </row>
    <row r="975" spans="1:32" x14ac:dyDescent="0.25">
      <c r="A975" t="s">
        <v>2007</v>
      </c>
      <c r="B975">
        <v>973</v>
      </c>
      <c r="C975">
        <v>36</v>
      </c>
      <c r="D975" t="str">
        <f>IF(tbl_Original[[#This Row],[Gender2]]="Female","Female",IF(tbl_Original[[#This Row],[Gender2]]="Male","Male","Other"))</f>
        <v>Male</v>
      </c>
      <c r="E975" t="s">
        <v>43</v>
      </c>
      <c r="F975" t="s">
        <v>44</v>
      </c>
      <c r="G975" t="s">
        <v>55</v>
      </c>
      <c r="H975" t="s">
        <v>32</v>
      </c>
      <c r="I975" t="s">
        <v>30</v>
      </c>
      <c r="J975" t="str">
        <f>PROPER(TRIM(CLEAN(tbl_Original[[#This Row],[Column1]])))</f>
        <v>Guolemude</v>
      </c>
      <c r="K975" t="s">
        <v>2008</v>
      </c>
      <c r="L975" t="s">
        <v>2008</v>
      </c>
      <c r="M975" t="s">
        <v>107</v>
      </c>
      <c r="N975" s="1">
        <v>207.24</v>
      </c>
      <c r="O975">
        <v>9</v>
      </c>
      <c r="P975" t="s">
        <v>78</v>
      </c>
      <c r="Q975">
        <v>2</v>
      </c>
      <c r="R975">
        <v>2</v>
      </c>
      <c r="S975">
        <v>0</v>
      </c>
      <c r="T975" t="s">
        <v>59</v>
      </c>
      <c r="U975" t="s">
        <v>50</v>
      </c>
      <c r="V975">
        <v>0</v>
      </c>
      <c r="W975">
        <v>6</v>
      </c>
      <c r="X975" t="s">
        <v>36</v>
      </c>
      <c r="Y975" t="s">
        <v>79</v>
      </c>
      <c r="Z975" t="s">
        <v>61</v>
      </c>
      <c r="AA975" s="2">
        <v>45424</v>
      </c>
      <c r="AB975" t="b">
        <v>1</v>
      </c>
      <c r="AC975" t="b">
        <v>0</v>
      </c>
      <c r="AD975" t="s">
        <v>62</v>
      </c>
      <c r="AE975" t="s">
        <v>41</v>
      </c>
      <c r="AF975">
        <v>3</v>
      </c>
    </row>
    <row r="976" spans="1:32" x14ac:dyDescent="0.25">
      <c r="A976" t="s">
        <v>2009</v>
      </c>
      <c r="B976">
        <v>974</v>
      </c>
      <c r="C976">
        <v>43</v>
      </c>
      <c r="D976" t="str">
        <f>IF(tbl_Original[[#This Row],[Gender2]]="Female","Female",IF(tbl_Original[[#This Row],[Gender2]]="Male","Male","Other"))</f>
        <v>Male</v>
      </c>
      <c r="E976" t="s">
        <v>43</v>
      </c>
      <c r="F976" t="s">
        <v>44</v>
      </c>
      <c r="G976" t="s">
        <v>76</v>
      </c>
      <c r="H976" t="s">
        <v>45</v>
      </c>
      <c r="I976" t="s">
        <v>30</v>
      </c>
      <c r="J976" t="str">
        <f>PROPER(TRIM(CLEAN(tbl_Original[[#This Row],[Column1]])))</f>
        <v>Prengtale</v>
      </c>
      <c r="K976" t="s">
        <v>2010</v>
      </c>
      <c r="L976" t="s">
        <v>2010</v>
      </c>
      <c r="M976" t="s">
        <v>34</v>
      </c>
      <c r="N976" s="1">
        <v>141.63</v>
      </c>
      <c r="O976">
        <v>3</v>
      </c>
      <c r="P976" t="s">
        <v>78</v>
      </c>
      <c r="Q976">
        <v>4</v>
      </c>
      <c r="R976">
        <v>1</v>
      </c>
      <c r="S976">
        <v>1</v>
      </c>
      <c r="T976" t="s">
        <v>36</v>
      </c>
      <c r="U976" t="s">
        <v>37</v>
      </c>
      <c r="V976">
        <v>1</v>
      </c>
      <c r="W976">
        <v>8</v>
      </c>
      <c r="X976" t="s">
        <v>59</v>
      </c>
      <c r="Y976" t="s">
        <v>60</v>
      </c>
      <c r="Z976" t="s">
        <v>86</v>
      </c>
      <c r="AA976" s="2">
        <v>45576</v>
      </c>
      <c r="AB976" t="b">
        <v>1</v>
      </c>
      <c r="AC976" t="b">
        <v>1</v>
      </c>
      <c r="AD976" t="s">
        <v>74</v>
      </c>
      <c r="AE976" t="s">
        <v>67</v>
      </c>
      <c r="AF976">
        <v>11</v>
      </c>
    </row>
    <row r="977" spans="1:32" x14ac:dyDescent="0.25">
      <c r="A977" t="s">
        <v>2011</v>
      </c>
      <c r="B977">
        <v>975</v>
      </c>
      <c r="C977">
        <v>30</v>
      </c>
      <c r="D977" t="str">
        <f>IF(tbl_Original[[#This Row],[Gender2]]="Female","Female",IF(tbl_Original[[#This Row],[Gender2]]="Male","Male","Other"))</f>
        <v>Male</v>
      </c>
      <c r="E977" t="s">
        <v>43</v>
      </c>
      <c r="F977" t="s">
        <v>44</v>
      </c>
      <c r="G977" t="s">
        <v>69</v>
      </c>
      <c r="H977" t="s">
        <v>32</v>
      </c>
      <c r="I977" t="s">
        <v>44</v>
      </c>
      <c r="J977" t="str">
        <f>PROPER(TRIM(CLEAN(tbl_Original[[#This Row],[Column1]])))</f>
        <v>Cabanas</v>
      </c>
      <c r="K977" t="s">
        <v>2012</v>
      </c>
      <c r="L977" t="s">
        <v>2012</v>
      </c>
      <c r="M977" t="s">
        <v>65</v>
      </c>
      <c r="N977" s="1">
        <v>244.47</v>
      </c>
      <c r="O977">
        <v>5</v>
      </c>
      <c r="P977" t="s">
        <v>78</v>
      </c>
      <c r="Q977">
        <v>3</v>
      </c>
      <c r="R977">
        <v>4</v>
      </c>
      <c r="S977">
        <v>1</v>
      </c>
      <c r="T977" t="s">
        <v>44</v>
      </c>
      <c r="U977" t="s">
        <v>85</v>
      </c>
      <c r="V977">
        <v>1</v>
      </c>
      <c r="W977">
        <v>5</v>
      </c>
      <c r="X977" t="s">
        <v>59</v>
      </c>
      <c r="Y977" t="s">
        <v>60</v>
      </c>
      <c r="Z977" t="s">
        <v>86</v>
      </c>
      <c r="AA977" s="2">
        <v>45466</v>
      </c>
      <c r="AB977" t="b">
        <v>0</v>
      </c>
      <c r="AC977" t="b">
        <v>0</v>
      </c>
      <c r="AD977" t="s">
        <v>62</v>
      </c>
      <c r="AE977" t="s">
        <v>41</v>
      </c>
      <c r="AF977">
        <v>4</v>
      </c>
    </row>
    <row r="978" spans="1:32" x14ac:dyDescent="0.25">
      <c r="A978" t="s">
        <v>2013</v>
      </c>
      <c r="B978">
        <v>976</v>
      </c>
      <c r="C978">
        <v>24</v>
      </c>
      <c r="D978" t="str">
        <f>IF(tbl_Original[[#This Row],[Gender2]]="Female","Female",IF(tbl_Original[[#This Row],[Gender2]]="Male","Male","Other"))</f>
        <v>Male</v>
      </c>
      <c r="E978" t="s">
        <v>43</v>
      </c>
      <c r="F978" t="s">
        <v>44</v>
      </c>
      <c r="G978" t="s">
        <v>31</v>
      </c>
      <c r="H978" t="s">
        <v>56</v>
      </c>
      <c r="I978" t="s">
        <v>44</v>
      </c>
      <c r="J978" t="str">
        <f>PROPER(TRIM(CLEAN(tbl_Original[[#This Row],[Column1]])))</f>
        <v>Fabd</v>
      </c>
      <c r="K978" t="s">
        <v>2276</v>
      </c>
      <c r="L978" t="s">
        <v>2014</v>
      </c>
      <c r="M978" t="s">
        <v>34</v>
      </c>
      <c r="N978" s="1">
        <v>251.63</v>
      </c>
      <c r="O978">
        <v>9</v>
      </c>
      <c r="P978" t="s">
        <v>78</v>
      </c>
      <c r="Q978">
        <v>3</v>
      </c>
      <c r="R978">
        <v>1</v>
      </c>
      <c r="S978">
        <v>0</v>
      </c>
      <c r="T978" t="s">
        <v>59</v>
      </c>
      <c r="U978" t="s">
        <v>50</v>
      </c>
      <c r="V978">
        <v>0</v>
      </c>
      <c r="W978">
        <v>2</v>
      </c>
      <c r="X978" t="s">
        <v>44</v>
      </c>
      <c r="Y978" t="s">
        <v>79</v>
      </c>
      <c r="Z978" t="s">
        <v>39</v>
      </c>
      <c r="AA978" s="2">
        <v>45527</v>
      </c>
      <c r="AB978" t="b">
        <v>1</v>
      </c>
      <c r="AC978" t="b">
        <v>1</v>
      </c>
      <c r="AD978" t="s">
        <v>40</v>
      </c>
      <c r="AE978" t="s">
        <v>67</v>
      </c>
      <c r="AF978">
        <v>10</v>
      </c>
    </row>
    <row r="979" spans="1:32" x14ac:dyDescent="0.25">
      <c r="A979" t="s">
        <v>2015</v>
      </c>
      <c r="B979">
        <v>977</v>
      </c>
      <c r="C979">
        <v>30</v>
      </c>
      <c r="D979" t="str">
        <f>IF(tbl_Original[[#This Row],[Gender2]]="Female","Female",IF(tbl_Original[[#This Row],[Gender2]]="Male","Male","Other"))</f>
        <v>Male</v>
      </c>
      <c r="E979" t="s">
        <v>43</v>
      </c>
      <c r="F979" t="s">
        <v>30</v>
      </c>
      <c r="G979" t="s">
        <v>76</v>
      </c>
      <c r="H979" t="s">
        <v>32</v>
      </c>
      <c r="I979" t="s">
        <v>30</v>
      </c>
      <c r="J979" t="str">
        <f>PROPER(TRIM(CLEAN(tbl_Original[[#This Row],[Column1]])))</f>
        <v>Sukumo</v>
      </c>
      <c r="K979" t="s">
        <v>2016</v>
      </c>
      <c r="L979" t="s">
        <v>2016</v>
      </c>
      <c r="M979" t="s">
        <v>126</v>
      </c>
      <c r="N979" s="1">
        <v>431.78</v>
      </c>
      <c r="O979">
        <v>12</v>
      </c>
      <c r="P979" t="s">
        <v>78</v>
      </c>
      <c r="Q979">
        <v>1</v>
      </c>
      <c r="R979">
        <v>3</v>
      </c>
      <c r="S979">
        <v>1</v>
      </c>
      <c r="T979" t="s">
        <v>49</v>
      </c>
      <c r="U979" t="s">
        <v>85</v>
      </c>
      <c r="V979">
        <v>1</v>
      </c>
      <c r="W979">
        <v>8</v>
      </c>
      <c r="X979" t="s">
        <v>59</v>
      </c>
      <c r="Y979" t="s">
        <v>60</v>
      </c>
      <c r="Z979" t="s">
        <v>51</v>
      </c>
      <c r="AA979" s="2">
        <v>45337</v>
      </c>
      <c r="AB979" t="b">
        <v>1</v>
      </c>
      <c r="AC979" t="b">
        <v>0</v>
      </c>
      <c r="AD979" t="s">
        <v>62</v>
      </c>
      <c r="AE979" t="s">
        <v>41</v>
      </c>
      <c r="AF979">
        <v>7</v>
      </c>
    </row>
    <row r="980" spans="1:32" x14ac:dyDescent="0.25">
      <c r="A980" t="s">
        <v>2017</v>
      </c>
      <c r="B980">
        <v>978</v>
      </c>
      <c r="C980">
        <v>37</v>
      </c>
      <c r="D980" t="str">
        <f>IF(tbl_Original[[#This Row],[Gender2]]="Female","Female",IF(tbl_Original[[#This Row],[Gender2]]="Male","Male","Other"))</f>
        <v>Female</v>
      </c>
      <c r="E980" t="s">
        <v>29</v>
      </c>
      <c r="F980" t="s">
        <v>30</v>
      </c>
      <c r="G980" t="s">
        <v>31</v>
      </c>
      <c r="H980" t="s">
        <v>56</v>
      </c>
      <c r="I980" t="s">
        <v>44</v>
      </c>
      <c r="J980" t="str">
        <f>PROPER(TRIM(CLEAN(tbl_Original[[#This Row],[Column1]])))</f>
        <v>Fenglu</v>
      </c>
      <c r="K980" t="s">
        <v>2018</v>
      </c>
      <c r="L980" t="s">
        <v>2018</v>
      </c>
      <c r="M980" t="s">
        <v>246</v>
      </c>
      <c r="N980" s="1">
        <v>303.08999999999997</v>
      </c>
      <c r="O980">
        <v>2</v>
      </c>
      <c r="P980" t="s">
        <v>78</v>
      </c>
      <c r="Q980">
        <v>2</v>
      </c>
      <c r="R980">
        <v>5</v>
      </c>
      <c r="S980">
        <v>1</v>
      </c>
      <c r="T980" t="s">
        <v>36</v>
      </c>
      <c r="U980" t="s">
        <v>85</v>
      </c>
      <c r="V980">
        <v>2</v>
      </c>
      <c r="W980">
        <v>9</v>
      </c>
      <c r="X980" t="s">
        <v>36</v>
      </c>
      <c r="Y980" t="s">
        <v>38</v>
      </c>
      <c r="Z980" t="s">
        <v>66</v>
      </c>
      <c r="AA980" s="2">
        <v>45301</v>
      </c>
      <c r="AB980" t="b">
        <v>0</v>
      </c>
      <c r="AC980" t="b">
        <v>0</v>
      </c>
      <c r="AD980" t="s">
        <v>62</v>
      </c>
      <c r="AE980" t="s">
        <v>41</v>
      </c>
      <c r="AF980">
        <v>11</v>
      </c>
    </row>
    <row r="981" spans="1:32" x14ac:dyDescent="0.25">
      <c r="A981" t="s">
        <v>2019</v>
      </c>
      <c r="B981">
        <v>979</v>
      </c>
      <c r="C981">
        <v>40</v>
      </c>
      <c r="D981" t="str">
        <f>IF(tbl_Original[[#This Row],[Gender2]]="Female","Female",IF(tbl_Original[[#This Row],[Gender2]]="Male","Male","Other"))</f>
        <v>Male</v>
      </c>
      <c r="E981" t="s">
        <v>43</v>
      </c>
      <c r="F981" t="s">
        <v>44</v>
      </c>
      <c r="G981" t="s">
        <v>31</v>
      </c>
      <c r="H981" t="s">
        <v>32</v>
      </c>
      <c r="I981" t="s">
        <v>44</v>
      </c>
      <c r="J981" t="str">
        <f>PROPER(TRIM(CLEAN(tbl_Original[[#This Row],[Column1]])))</f>
        <v>Tanjungbalai</v>
      </c>
      <c r="K981" t="s">
        <v>2020</v>
      </c>
      <c r="L981" t="s">
        <v>2020</v>
      </c>
      <c r="M981" t="s">
        <v>194</v>
      </c>
      <c r="N981" s="1">
        <v>341.24</v>
      </c>
      <c r="O981">
        <v>9</v>
      </c>
      <c r="P981" t="s">
        <v>35</v>
      </c>
      <c r="Q981">
        <v>5</v>
      </c>
      <c r="R981">
        <v>5</v>
      </c>
      <c r="S981">
        <v>2</v>
      </c>
      <c r="T981" t="s">
        <v>59</v>
      </c>
      <c r="U981" t="s">
        <v>37</v>
      </c>
      <c r="V981">
        <v>1</v>
      </c>
      <c r="W981">
        <v>3</v>
      </c>
      <c r="X981" t="s">
        <v>36</v>
      </c>
      <c r="Y981" t="s">
        <v>38</v>
      </c>
      <c r="Z981" t="s">
        <v>39</v>
      </c>
      <c r="AA981" s="2">
        <v>45614</v>
      </c>
      <c r="AB981" t="b">
        <v>1</v>
      </c>
      <c r="AC981" t="b">
        <v>0</v>
      </c>
      <c r="AD981" t="s">
        <v>40</v>
      </c>
      <c r="AE981" t="s">
        <v>53</v>
      </c>
      <c r="AF981">
        <v>4</v>
      </c>
    </row>
    <row r="982" spans="1:32" x14ac:dyDescent="0.25">
      <c r="A982" t="s">
        <v>2021</v>
      </c>
      <c r="B982">
        <v>980</v>
      </c>
      <c r="C982">
        <v>30</v>
      </c>
      <c r="D982" t="str">
        <f>IF(tbl_Original[[#This Row],[Gender2]]="Female","Female",IF(tbl_Original[[#This Row],[Gender2]]="Male","Male","Other"))</f>
        <v>Female</v>
      </c>
      <c r="E982" t="s">
        <v>29</v>
      </c>
      <c r="F982" t="s">
        <v>30</v>
      </c>
      <c r="G982" t="s">
        <v>76</v>
      </c>
      <c r="H982" t="s">
        <v>56</v>
      </c>
      <c r="I982" t="s">
        <v>44</v>
      </c>
      <c r="J982" t="str">
        <f>PROPER(TRIM(CLEAN(tbl_Original[[#This Row],[Column1]])))</f>
        <v>Carrefour</v>
      </c>
      <c r="K982" t="s">
        <v>2022</v>
      </c>
      <c r="L982" t="s">
        <v>2022</v>
      </c>
      <c r="M982" t="s">
        <v>117</v>
      </c>
      <c r="N982" s="1">
        <v>211.39</v>
      </c>
      <c r="O982">
        <v>10</v>
      </c>
      <c r="P982" t="s">
        <v>78</v>
      </c>
      <c r="Q982">
        <v>4</v>
      </c>
      <c r="R982">
        <v>5</v>
      </c>
      <c r="S982">
        <v>1</v>
      </c>
      <c r="T982" t="s">
        <v>49</v>
      </c>
      <c r="U982" t="s">
        <v>50</v>
      </c>
      <c r="V982">
        <v>0</v>
      </c>
      <c r="W982">
        <v>1</v>
      </c>
      <c r="X982" t="s">
        <v>59</v>
      </c>
      <c r="Y982" t="s">
        <v>79</v>
      </c>
      <c r="Z982" t="s">
        <v>66</v>
      </c>
      <c r="AA982" s="2">
        <v>45422</v>
      </c>
      <c r="AB982" t="b">
        <v>1</v>
      </c>
      <c r="AC982" t="b">
        <v>0</v>
      </c>
      <c r="AD982" t="s">
        <v>74</v>
      </c>
      <c r="AE982" t="s">
        <v>67</v>
      </c>
      <c r="AF982">
        <v>1</v>
      </c>
    </row>
    <row r="983" spans="1:32" x14ac:dyDescent="0.25">
      <c r="A983" t="s">
        <v>2023</v>
      </c>
      <c r="B983">
        <v>981</v>
      </c>
      <c r="C983">
        <v>39</v>
      </c>
      <c r="D983" t="str">
        <f>IF(tbl_Original[[#This Row],[Gender2]]="Female","Female",IF(tbl_Original[[#This Row],[Gender2]]="Male","Male","Other"))</f>
        <v>Female</v>
      </c>
      <c r="E983" t="s">
        <v>29</v>
      </c>
      <c r="F983" t="s">
        <v>30</v>
      </c>
      <c r="G983" t="s">
        <v>31</v>
      </c>
      <c r="H983" t="s">
        <v>32</v>
      </c>
      <c r="I983" t="s">
        <v>30</v>
      </c>
      <c r="J983" t="str">
        <f>PROPER(TRIM(CLEAN(tbl_Original[[#This Row],[Column1]])))</f>
        <v>Tewulike</v>
      </c>
      <c r="K983" t="s">
        <v>1328</v>
      </c>
      <c r="L983" t="s">
        <v>1328</v>
      </c>
      <c r="M983" t="s">
        <v>117</v>
      </c>
      <c r="N983" s="1">
        <v>379.21</v>
      </c>
      <c r="O983">
        <v>9</v>
      </c>
      <c r="P983" t="s">
        <v>35</v>
      </c>
      <c r="Q983">
        <v>1</v>
      </c>
      <c r="R983">
        <v>5</v>
      </c>
      <c r="S983">
        <v>1</v>
      </c>
      <c r="T983" t="s">
        <v>59</v>
      </c>
      <c r="U983" t="s">
        <v>37</v>
      </c>
      <c r="V983">
        <v>1</v>
      </c>
      <c r="W983">
        <v>1</v>
      </c>
      <c r="X983" t="s">
        <v>44</v>
      </c>
      <c r="Y983" t="s">
        <v>60</v>
      </c>
      <c r="Z983" t="s">
        <v>51</v>
      </c>
      <c r="AA983" s="2">
        <v>45553</v>
      </c>
      <c r="AB983" t="b">
        <v>1</v>
      </c>
      <c r="AC983" t="b">
        <v>1</v>
      </c>
      <c r="AD983" t="s">
        <v>62</v>
      </c>
      <c r="AE983" t="s">
        <v>41</v>
      </c>
      <c r="AF983">
        <v>1</v>
      </c>
    </row>
    <row r="984" spans="1:32" x14ac:dyDescent="0.25">
      <c r="A984" t="s">
        <v>2024</v>
      </c>
      <c r="B984">
        <v>982</v>
      </c>
      <c r="C984">
        <v>46</v>
      </c>
      <c r="D984" t="str">
        <f>IF(tbl_Original[[#This Row],[Gender2]]="Female","Female",IF(tbl_Original[[#This Row],[Gender2]]="Male","Male","Other"))</f>
        <v>Female</v>
      </c>
      <c r="E984" t="s">
        <v>29</v>
      </c>
      <c r="F984" t="s">
        <v>44</v>
      </c>
      <c r="G984" t="s">
        <v>69</v>
      </c>
      <c r="H984" t="s">
        <v>56</v>
      </c>
      <c r="I984" t="s">
        <v>44</v>
      </c>
      <c r="J984" t="str">
        <f>PROPER(TRIM(CLEAN(tbl_Original[[#This Row],[Column1]])))</f>
        <v>Hejiang</v>
      </c>
      <c r="K984" t="s">
        <v>2025</v>
      </c>
      <c r="L984" t="s">
        <v>2025</v>
      </c>
      <c r="M984" t="s">
        <v>93</v>
      </c>
      <c r="N984" s="1">
        <v>309.52999999999997</v>
      </c>
      <c r="O984">
        <v>8</v>
      </c>
      <c r="P984" t="s">
        <v>35</v>
      </c>
      <c r="Q984">
        <v>2</v>
      </c>
      <c r="R984">
        <v>1</v>
      </c>
      <c r="S984">
        <v>1</v>
      </c>
      <c r="T984" t="s">
        <v>36</v>
      </c>
      <c r="U984" t="s">
        <v>85</v>
      </c>
      <c r="V984">
        <v>2</v>
      </c>
      <c r="W984">
        <v>6</v>
      </c>
      <c r="X984" t="s">
        <v>36</v>
      </c>
      <c r="Y984" t="s">
        <v>60</v>
      </c>
      <c r="Z984" t="s">
        <v>86</v>
      </c>
      <c r="AA984" s="2">
        <v>45396</v>
      </c>
      <c r="AB984" t="b">
        <v>0</v>
      </c>
      <c r="AC984" t="b">
        <v>1</v>
      </c>
      <c r="AD984" t="s">
        <v>74</v>
      </c>
      <c r="AE984" t="s">
        <v>53</v>
      </c>
      <c r="AF984">
        <v>5</v>
      </c>
    </row>
    <row r="985" spans="1:32" x14ac:dyDescent="0.25">
      <c r="A985" t="s">
        <v>2026</v>
      </c>
      <c r="B985">
        <v>983</v>
      </c>
      <c r="C985">
        <v>48</v>
      </c>
      <c r="D985" t="str">
        <f>IF(tbl_Original[[#This Row],[Gender2]]="Female","Female",IF(tbl_Original[[#This Row],[Gender2]]="Male","Male","Other"))</f>
        <v>Male</v>
      </c>
      <c r="E985" t="s">
        <v>43</v>
      </c>
      <c r="F985" t="s">
        <v>30</v>
      </c>
      <c r="G985" t="s">
        <v>76</v>
      </c>
      <c r="H985" t="s">
        <v>56</v>
      </c>
      <c r="I985" t="s">
        <v>44</v>
      </c>
      <c r="J985" t="str">
        <f>PROPER(TRIM(CLEAN(tbl_Original[[#This Row],[Column1]])))</f>
        <v>Yaizu</v>
      </c>
      <c r="K985" t="s">
        <v>2027</v>
      </c>
      <c r="L985" t="s">
        <v>2027</v>
      </c>
      <c r="M985" t="s">
        <v>82</v>
      </c>
      <c r="N985" s="1">
        <v>359.45</v>
      </c>
      <c r="O985">
        <v>6</v>
      </c>
      <c r="P985" t="s">
        <v>78</v>
      </c>
      <c r="Q985">
        <v>4</v>
      </c>
      <c r="R985">
        <v>1</v>
      </c>
      <c r="S985">
        <v>2</v>
      </c>
      <c r="T985" t="s">
        <v>59</v>
      </c>
      <c r="U985" t="s">
        <v>50</v>
      </c>
      <c r="V985">
        <v>1</v>
      </c>
      <c r="W985">
        <v>8</v>
      </c>
      <c r="X985" t="s">
        <v>49</v>
      </c>
      <c r="Y985" t="s">
        <v>79</v>
      </c>
      <c r="Z985" t="s">
        <v>66</v>
      </c>
      <c r="AA985" s="2">
        <v>45357</v>
      </c>
      <c r="AB985" t="b">
        <v>0</v>
      </c>
      <c r="AC985" t="b">
        <v>0</v>
      </c>
      <c r="AD985" t="s">
        <v>62</v>
      </c>
      <c r="AE985" t="s">
        <v>53</v>
      </c>
      <c r="AF985">
        <v>11</v>
      </c>
    </row>
    <row r="986" spans="1:32" x14ac:dyDescent="0.25">
      <c r="A986" t="s">
        <v>2028</v>
      </c>
      <c r="B986">
        <v>984</v>
      </c>
      <c r="C986">
        <v>20</v>
      </c>
      <c r="D986" t="str">
        <f>IF(tbl_Original[[#This Row],[Gender2]]="Female","Female",IF(tbl_Original[[#This Row],[Gender2]]="Male","Male","Other"))</f>
        <v>Female</v>
      </c>
      <c r="E986" t="s">
        <v>29</v>
      </c>
      <c r="F986" t="s">
        <v>44</v>
      </c>
      <c r="G986" t="s">
        <v>69</v>
      </c>
      <c r="H986" t="s">
        <v>45</v>
      </c>
      <c r="I986" t="s">
        <v>30</v>
      </c>
      <c r="J986" t="str">
        <f>PROPER(TRIM(CLEAN(tbl_Original[[#This Row],[Column1]])))</f>
        <v>Kemb</v>
      </c>
      <c r="K986" t="s">
        <v>2277</v>
      </c>
      <c r="L986" t="s">
        <v>2029</v>
      </c>
      <c r="M986" t="s">
        <v>107</v>
      </c>
      <c r="N986" s="1">
        <v>479.62</v>
      </c>
      <c r="O986">
        <v>8</v>
      </c>
      <c r="P986" t="s">
        <v>48</v>
      </c>
      <c r="Q986">
        <v>3</v>
      </c>
      <c r="R986">
        <v>1</v>
      </c>
      <c r="S986">
        <v>2</v>
      </c>
      <c r="T986" t="s">
        <v>44</v>
      </c>
      <c r="U986" t="s">
        <v>50</v>
      </c>
      <c r="V986">
        <v>1</v>
      </c>
      <c r="W986">
        <v>3</v>
      </c>
      <c r="X986" t="s">
        <v>59</v>
      </c>
      <c r="Y986" t="s">
        <v>38</v>
      </c>
      <c r="Z986" t="s">
        <v>66</v>
      </c>
      <c r="AA986" s="2">
        <v>45401</v>
      </c>
      <c r="AB986" t="b">
        <v>0</v>
      </c>
      <c r="AC986" t="b">
        <v>0</v>
      </c>
      <c r="AD986" t="s">
        <v>74</v>
      </c>
      <c r="AE986" t="s">
        <v>67</v>
      </c>
      <c r="AF986">
        <v>10</v>
      </c>
    </row>
    <row r="987" spans="1:32" x14ac:dyDescent="0.25">
      <c r="A987" t="s">
        <v>2030</v>
      </c>
      <c r="B987">
        <v>985</v>
      </c>
      <c r="C987">
        <v>34</v>
      </c>
      <c r="D987" t="str">
        <f>IF(tbl_Original[[#This Row],[Gender2]]="Female","Female",IF(tbl_Original[[#This Row],[Gender2]]="Male","Male","Other"))</f>
        <v>Male</v>
      </c>
      <c r="E987" t="s">
        <v>43</v>
      </c>
      <c r="F987" t="s">
        <v>44</v>
      </c>
      <c r="G987" t="s">
        <v>31</v>
      </c>
      <c r="H987" t="s">
        <v>32</v>
      </c>
      <c r="I987" t="s">
        <v>30</v>
      </c>
      <c r="J987" t="str">
        <f>PROPER(TRIM(CLEAN(tbl_Original[[#This Row],[Column1]])))</f>
        <v>Novokayakent</v>
      </c>
      <c r="K987" t="s">
        <v>2031</v>
      </c>
      <c r="L987" t="s">
        <v>2031</v>
      </c>
      <c r="M987" t="s">
        <v>117</v>
      </c>
      <c r="N987" s="1">
        <v>208.6</v>
      </c>
      <c r="O987">
        <v>2</v>
      </c>
      <c r="P987" t="s">
        <v>35</v>
      </c>
      <c r="Q987">
        <v>5</v>
      </c>
      <c r="R987">
        <v>1</v>
      </c>
      <c r="S987">
        <v>2</v>
      </c>
      <c r="T987" t="s">
        <v>36</v>
      </c>
      <c r="U987" t="s">
        <v>37</v>
      </c>
      <c r="V987">
        <v>0</v>
      </c>
      <c r="W987">
        <v>5</v>
      </c>
      <c r="X987" t="s">
        <v>44</v>
      </c>
      <c r="Y987" t="s">
        <v>60</v>
      </c>
      <c r="Z987" t="s">
        <v>39</v>
      </c>
      <c r="AA987" s="2">
        <v>45351</v>
      </c>
      <c r="AB987" t="b">
        <v>1</v>
      </c>
      <c r="AC987" t="b">
        <v>1</v>
      </c>
      <c r="AD987" t="s">
        <v>62</v>
      </c>
      <c r="AE987" t="s">
        <v>53</v>
      </c>
      <c r="AF987">
        <v>3</v>
      </c>
    </row>
    <row r="988" spans="1:32" x14ac:dyDescent="0.25">
      <c r="A988" t="s">
        <v>2032</v>
      </c>
      <c r="B988">
        <v>986</v>
      </c>
      <c r="C988">
        <v>50</v>
      </c>
      <c r="D988" t="str">
        <f>IF(tbl_Original[[#This Row],[Gender2]]="Female","Female",IF(tbl_Original[[#This Row],[Gender2]]="Male","Male","Other"))</f>
        <v>Female</v>
      </c>
      <c r="E988" t="s">
        <v>29</v>
      </c>
      <c r="F988" t="s">
        <v>30</v>
      </c>
      <c r="G988" t="s">
        <v>55</v>
      </c>
      <c r="H988" t="s">
        <v>56</v>
      </c>
      <c r="I988" t="s">
        <v>44</v>
      </c>
      <c r="J988" t="str">
        <f>PROPER(TRIM(CLEAN(tbl_Original[[#This Row],[Column1]])))</f>
        <v>Hekou</v>
      </c>
      <c r="K988" t="s">
        <v>2033</v>
      </c>
      <c r="L988" t="s">
        <v>2033</v>
      </c>
      <c r="M988" t="s">
        <v>120</v>
      </c>
      <c r="N988" s="1">
        <v>180.21</v>
      </c>
      <c r="O988">
        <v>2</v>
      </c>
      <c r="P988" t="s">
        <v>35</v>
      </c>
      <c r="Q988">
        <v>5</v>
      </c>
      <c r="R988">
        <v>5</v>
      </c>
      <c r="S988">
        <v>0</v>
      </c>
      <c r="T988" t="s">
        <v>36</v>
      </c>
      <c r="U988" t="s">
        <v>85</v>
      </c>
      <c r="V988">
        <v>1</v>
      </c>
      <c r="W988">
        <v>1</v>
      </c>
      <c r="X988" t="s">
        <v>49</v>
      </c>
      <c r="Y988" t="s">
        <v>79</v>
      </c>
      <c r="Z988" t="s">
        <v>86</v>
      </c>
      <c r="AA988" s="2">
        <v>45313</v>
      </c>
      <c r="AB988" t="b">
        <v>0</v>
      </c>
      <c r="AC988" t="b">
        <v>1</v>
      </c>
      <c r="AD988" t="s">
        <v>40</v>
      </c>
      <c r="AE988" t="s">
        <v>67</v>
      </c>
      <c r="AF988">
        <v>14</v>
      </c>
    </row>
    <row r="989" spans="1:32" x14ac:dyDescent="0.25">
      <c r="A989" t="s">
        <v>2034</v>
      </c>
      <c r="B989">
        <v>987</v>
      </c>
      <c r="C989">
        <v>25</v>
      </c>
      <c r="D989" t="str">
        <f>IF(tbl_Original[[#This Row],[Gender2]]="Female","Female",IF(tbl_Original[[#This Row],[Gender2]]="Male","Male","Other"))</f>
        <v>Male</v>
      </c>
      <c r="E989" t="s">
        <v>43</v>
      </c>
      <c r="F989" t="s">
        <v>30</v>
      </c>
      <c r="G989" t="s">
        <v>55</v>
      </c>
      <c r="H989" t="s">
        <v>45</v>
      </c>
      <c r="I989" t="s">
        <v>44</v>
      </c>
      <c r="J989" t="str">
        <f>PROPER(TRIM(CLEAN(tbl_Original[[#This Row],[Column1]])))</f>
        <v>Bailadores</v>
      </c>
      <c r="K989" t="s">
        <v>2035</v>
      </c>
      <c r="L989" t="s">
        <v>2035</v>
      </c>
      <c r="M989" t="s">
        <v>117</v>
      </c>
      <c r="N989" s="1">
        <v>197.9</v>
      </c>
      <c r="O989">
        <v>3</v>
      </c>
      <c r="P989" t="s">
        <v>35</v>
      </c>
      <c r="Q989">
        <v>2</v>
      </c>
      <c r="R989">
        <v>1</v>
      </c>
      <c r="S989">
        <v>2</v>
      </c>
      <c r="T989" t="s">
        <v>49</v>
      </c>
      <c r="U989" t="s">
        <v>50</v>
      </c>
      <c r="V989">
        <v>0</v>
      </c>
      <c r="W989">
        <v>8</v>
      </c>
      <c r="X989" t="s">
        <v>44</v>
      </c>
      <c r="Y989" t="s">
        <v>79</v>
      </c>
      <c r="Z989" t="s">
        <v>61</v>
      </c>
      <c r="AA989" s="2">
        <v>45309</v>
      </c>
      <c r="AB989" t="b">
        <v>1</v>
      </c>
      <c r="AC989" t="b">
        <v>1</v>
      </c>
      <c r="AD989" t="s">
        <v>52</v>
      </c>
      <c r="AE989" t="s">
        <v>53</v>
      </c>
      <c r="AF989">
        <v>14</v>
      </c>
    </row>
    <row r="990" spans="1:32" x14ac:dyDescent="0.25">
      <c r="A990" t="s">
        <v>2036</v>
      </c>
      <c r="B990">
        <v>988</v>
      </c>
      <c r="C990">
        <v>49</v>
      </c>
      <c r="D990" t="str">
        <f>IF(tbl_Original[[#This Row],[Gender2]]="Female","Female",IF(tbl_Original[[#This Row],[Gender2]]="Male","Male","Other"))</f>
        <v>Male</v>
      </c>
      <c r="E990" t="s">
        <v>43</v>
      </c>
      <c r="F990" t="s">
        <v>30</v>
      </c>
      <c r="G990" t="s">
        <v>55</v>
      </c>
      <c r="H990" t="s">
        <v>32</v>
      </c>
      <c r="I990" t="s">
        <v>44</v>
      </c>
      <c r="J990" t="str">
        <f>PROPER(TRIM(CLEAN(tbl_Original[[#This Row],[Column1]])))</f>
        <v>Masuda</v>
      </c>
      <c r="K990" t="s">
        <v>2037</v>
      </c>
      <c r="L990" t="s">
        <v>2037</v>
      </c>
      <c r="M990" t="s">
        <v>65</v>
      </c>
      <c r="N990" s="1">
        <v>362.3</v>
      </c>
      <c r="O990">
        <v>7</v>
      </c>
      <c r="P990" t="s">
        <v>78</v>
      </c>
      <c r="Q990">
        <v>4</v>
      </c>
      <c r="R990">
        <v>2</v>
      </c>
      <c r="S990">
        <v>0.2</v>
      </c>
      <c r="T990" t="s">
        <v>59</v>
      </c>
      <c r="U990" t="s">
        <v>50</v>
      </c>
      <c r="V990">
        <v>0</v>
      </c>
      <c r="W990">
        <v>4</v>
      </c>
      <c r="X990" t="s">
        <v>59</v>
      </c>
      <c r="Y990" t="s">
        <v>38</v>
      </c>
      <c r="Z990" t="s">
        <v>66</v>
      </c>
      <c r="AA990" s="2">
        <v>45565</v>
      </c>
      <c r="AB990" t="b">
        <v>1</v>
      </c>
      <c r="AC990" t="b">
        <v>1</v>
      </c>
      <c r="AD990" t="s">
        <v>74</v>
      </c>
      <c r="AE990" t="s">
        <v>53</v>
      </c>
      <c r="AF990">
        <v>6</v>
      </c>
    </row>
    <row r="991" spans="1:32" x14ac:dyDescent="0.25">
      <c r="A991" t="s">
        <v>2038</v>
      </c>
      <c r="B991">
        <v>989</v>
      </c>
      <c r="C991">
        <v>25</v>
      </c>
      <c r="D991" t="str">
        <f>IF(tbl_Original[[#This Row],[Gender2]]="Female","Female",IF(tbl_Original[[#This Row],[Gender2]]="Male","Male","Other"))</f>
        <v>Female</v>
      </c>
      <c r="E991" t="s">
        <v>29</v>
      </c>
      <c r="F991" t="s">
        <v>44</v>
      </c>
      <c r="G991" t="s">
        <v>76</v>
      </c>
      <c r="H991" t="s">
        <v>32</v>
      </c>
      <c r="I991" t="s">
        <v>44</v>
      </c>
      <c r="J991" t="str">
        <f>PROPER(TRIM(CLEAN(tbl_Original[[#This Row],[Column1]])))</f>
        <v>Martanesh</v>
      </c>
      <c r="K991" t="s">
        <v>2039</v>
      </c>
      <c r="L991" t="s">
        <v>2039</v>
      </c>
      <c r="M991" t="s">
        <v>142</v>
      </c>
      <c r="N991" s="1">
        <v>159.53</v>
      </c>
      <c r="O991">
        <v>11</v>
      </c>
      <c r="P991" t="s">
        <v>35</v>
      </c>
      <c r="Q991">
        <v>3</v>
      </c>
      <c r="R991">
        <v>4</v>
      </c>
      <c r="S991">
        <v>2</v>
      </c>
      <c r="T991" t="s">
        <v>59</v>
      </c>
      <c r="U991" t="s">
        <v>85</v>
      </c>
      <c r="V991">
        <v>0</v>
      </c>
      <c r="W991">
        <v>3</v>
      </c>
      <c r="X991" t="s">
        <v>59</v>
      </c>
      <c r="Y991" t="s">
        <v>79</v>
      </c>
      <c r="Z991" t="s">
        <v>86</v>
      </c>
      <c r="AA991" s="2">
        <v>45409</v>
      </c>
      <c r="AB991" t="b">
        <v>1</v>
      </c>
      <c r="AC991" t="b">
        <v>1</v>
      </c>
      <c r="AD991" t="s">
        <v>62</v>
      </c>
      <c r="AE991" t="s">
        <v>67</v>
      </c>
      <c r="AF991">
        <v>7</v>
      </c>
    </row>
    <row r="992" spans="1:32" x14ac:dyDescent="0.25">
      <c r="A992" t="s">
        <v>2040</v>
      </c>
      <c r="B992">
        <v>990</v>
      </c>
      <c r="C992">
        <v>40</v>
      </c>
      <c r="D992" t="str">
        <f>IF(tbl_Original[[#This Row],[Gender2]]="Female","Female",IF(tbl_Original[[#This Row],[Gender2]]="Male","Male","Other"))</f>
        <v>Female</v>
      </c>
      <c r="E992" t="s">
        <v>29</v>
      </c>
      <c r="F992" t="s">
        <v>44</v>
      </c>
      <c r="G992" t="s">
        <v>69</v>
      </c>
      <c r="H992" t="s">
        <v>45</v>
      </c>
      <c r="I992" t="s">
        <v>44</v>
      </c>
      <c r="J992" t="str">
        <f>PROPER(TRIM(CLEAN(tbl_Original[[#This Row],[Column1]])))</f>
        <v>Xinzhou</v>
      </c>
      <c r="K992" t="s">
        <v>2041</v>
      </c>
      <c r="L992" t="s">
        <v>2041</v>
      </c>
      <c r="M992" t="s">
        <v>246</v>
      </c>
      <c r="N992" s="1">
        <v>149.52000000000001</v>
      </c>
      <c r="O992">
        <v>9</v>
      </c>
      <c r="P992" t="s">
        <v>48</v>
      </c>
      <c r="Q992">
        <v>2</v>
      </c>
      <c r="R992">
        <v>5</v>
      </c>
      <c r="S992">
        <v>1</v>
      </c>
      <c r="T992" t="s">
        <v>36</v>
      </c>
      <c r="U992" t="s">
        <v>37</v>
      </c>
      <c r="V992">
        <v>0</v>
      </c>
      <c r="W992">
        <v>6</v>
      </c>
      <c r="X992" t="s">
        <v>36</v>
      </c>
      <c r="Y992" t="s">
        <v>60</v>
      </c>
      <c r="Z992" t="s">
        <v>86</v>
      </c>
      <c r="AA992" s="2">
        <v>45361</v>
      </c>
      <c r="AB992" t="b">
        <v>0</v>
      </c>
      <c r="AC992" t="b">
        <v>0</v>
      </c>
      <c r="AD992" t="s">
        <v>52</v>
      </c>
      <c r="AE992" t="s">
        <v>41</v>
      </c>
      <c r="AF992">
        <v>8</v>
      </c>
    </row>
    <row r="993" spans="1:32" x14ac:dyDescent="0.25">
      <c r="A993" t="s">
        <v>2042</v>
      </c>
      <c r="B993">
        <v>991</v>
      </c>
      <c r="C993">
        <v>19</v>
      </c>
      <c r="D993" t="str">
        <f>IF(tbl_Original[[#This Row],[Gender2]]="Female","Female",IF(tbl_Original[[#This Row],[Gender2]]="Male","Male","Other"))</f>
        <v>Female</v>
      </c>
      <c r="E993" t="s">
        <v>29</v>
      </c>
      <c r="F993" t="s">
        <v>44</v>
      </c>
      <c r="G993" t="s">
        <v>69</v>
      </c>
      <c r="H993" t="s">
        <v>32</v>
      </c>
      <c r="I993" t="s">
        <v>44</v>
      </c>
      <c r="J993" t="str">
        <f>PROPER(TRIM(CLEAN(tbl_Original[[#This Row],[Column1]])))</f>
        <v>Nanfeng</v>
      </c>
      <c r="K993" t="s">
        <v>2043</v>
      </c>
      <c r="L993" t="s">
        <v>2043</v>
      </c>
      <c r="M993" t="s">
        <v>126</v>
      </c>
      <c r="N993" s="1">
        <v>206.32</v>
      </c>
      <c r="O993">
        <v>5</v>
      </c>
      <c r="P993" t="s">
        <v>78</v>
      </c>
      <c r="Q993">
        <v>3</v>
      </c>
      <c r="R993">
        <v>3</v>
      </c>
      <c r="S993">
        <v>1</v>
      </c>
      <c r="T993" t="s">
        <v>59</v>
      </c>
      <c r="U993" t="s">
        <v>50</v>
      </c>
      <c r="V993">
        <v>0</v>
      </c>
      <c r="W993">
        <v>4</v>
      </c>
      <c r="X993" t="s">
        <v>36</v>
      </c>
      <c r="Y993" t="s">
        <v>79</v>
      </c>
      <c r="Z993" t="s">
        <v>51</v>
      </c>
      <c r="AA993" s="2">
        <v>45577</v>
      </c>
      <c r="AB993" t="b">
        <v>1</v>
      </c>
      <c r="AC993" t="b">
        <v>0</v>
      </c>
      <c r="AD993" t="s">
        <v>52</v>
      </c>
      <c r="AE993" t="s">
        <v>67</v>
      </c>
      <c r="AF993">
        <v>12</v>
      </c>
    </row>
    <row r="994" spans="1:32" x14ac:dyDescent="0.25">
      <c r="A994" t="s">
        <v>2044</v>
      </c>
      <c r="B994">
        <v>992</v>
      </c>
      <c r="C994">
        <v>40</v>
      </c>
      <c r="D994" t="str">
        <f>IF(tbl_Original[[#This Row],[Gender2]]="Female","Female",IF(tbl_Original[[#This Row],[Gender2]]="Male","Male","Other"))</f>
        <v>Other</v>
      </c>
      <c r="E994" t="s">
        <v>88</v>
      </c>
      <c r="F994" t="s">
        <v>44</v>
      </c>
      <c r="G994" t="s">
        <v>55</v>
      </c>
      <c r="H994" t="s">
        <v>32</v>
      </c>
      <c r="I994" t="s">
        <v>44</v>
      </c>
      <c r="J994" t="str">
        <f>PROPER(TRIM(CLEAN(tbl_Original[[#This Row],[Column1]])))</f>
        <v>Oke Ila</v>
      </c>
      <c r="K994" t="s">
        <v>2045</v>
      </c>
      <c r="L994" t="s">
        <v>2045</v>
      </c>
      <c r="M994" t="s">
        <v>123</v>
      </c>
      <c r="N994" s="1">
        <v>308.58</v>
      </c>
      <c r="O994">
        <v>11</v>
      </c>
      <c r="P994" t="s">
        <v>78</v>
      </c>
      <c r="Q994">
        <v>2</v>
      </c>
      <c r="R994">
        <v>5</v>
      </c>
      <c r="S994">
        <v>2</v>
      </c>
      <c r="T994" t="s">
        <v>49</v>
      </c>
      <c r="U994" t="s">
        <v>50</v>
      </c>
      <c r="V994">
        <v>0</v>
      </c>
      <c r="W994">
        <v>7</v>
      </c>
      <c r="X994" t="s">
        <v>49</v>
      </c>
      <c r="Y994" t="s">
        <v>60</v>
      </c>
      <c r="Z994" t="s">
        <v>61</v>
      </c>
      <c r="AA994" s="2">
        <v>45433</v>
      </c>
      <c r="AB994" t="b">
        <v>0</v>
      </c>
      <c r="AC994" t="b">
        <v>1</v>
      </c>
      <c r="AD994" t="s">
        <v>40</v>
      </c>
      <c r="AE994" t="s">
        <v>67</v>
      </c>
      <c r="AF994">
        <v>12</v>
      </c>
    </row>
    <row r="995" spans="1:32" x14ac:dyDescent="0.25">
      <c r="A995" t="s">
        <v>2046</v>
      </c>
      <c r="B995">
        <v>993</v>
      </c>
      <c r="C995">
        <v>22</v>
      </c>
      <c r="D995" t="str">
        <f>IF(tbl_Original[[#This Row],[Gender2]]="Female","Female",IF(tbl_Original[[#This Row],[Gender2]]="Male","Male","Other"))</f>
        <v>Female</v>
      </c>
      <c r="E995" t="s">
        <v>29</v>
      </c>
      <c r="F995" t="s">
        <v>44</v>
      </c>
      <c r="G995" t="s">
        <v>55</v>
      </c>
      <c r="H995" t="s">
        <v>45</v>
      </c>
      <c r="I995" t="s">
        <v>30</v>
      </c>
      <c r="J995" t="str">
        <f>PROPER(TRIM(CLEAN(tbl_Original[[#This Row],[Column1]])))</f>
        <v>Rio Pardo</v>
      </c>
      <c r="K995" t="s">
        <v>2047</v>
      </c>
      <c r="L995" t="s">
        <v>2047</v>
      </c>
      <c r="M995" t="s">
        <v>158</v>
      </c>
      <c r="N995" s="1">
        <v>91.34</v>
      </c>
      <c r="O995">
        <v>5</v>
      </c>
      <c r="P995" t="s">
        <v>78</v>
      </c>
      <c r="Q995">
        <v>2</v>
      </c>
      <c r="R995">
        <v>1</v>
      </c>
      <c r="S995">
        <v>1</v>
      </c>
      <c r="T995" t="s">
        <v>36</v>
      </c>
      <c r="U995" t="s">
        <v>50</v>
      </c>
      <c r="V995">
        <v>0</v>
      </c>
      <c r="W995">
        <v>1</v>
      </c>
      <c r="X995" t="s">
        <v>36</v>
      </c>
      <c r="Y995" t="s">
        <v>60</v>
      </c>
      <c r="Z995" t="s">
        <v>61</v>
      </c>
      <c r="AA995" s="2">
        <v>45301</v>
      </c>
      <c r="AB995" t="b">
        <v>1</v>
      </c>
      <c r="AC995" t="b">
        <v>1</v>
      </c>
      <c r="AD995" t="s">
        <v>62</v>
      </c>
      <c r="AE995" t="s">
        <v>67</v>
      </c>
      <c r="AF995">
        <v>6</v>
      </c>
    </row>
    <row r="996" spans="1:32" x14ac:dyDescent="0.25">
      <c r="A996" t="s">
        <v>2048</v>
      </c>
      <c r="B996">
        <v>994</v>
      </c>
      <c r="C996">
        <v>25</v>
      </c>
      <c r="D996" t="str">
        <f>IF(tbl_Original[[#This Row],[Gender2]]="Female","Female",IF(tbl_Original[[#This Row],[Gender2]]="Male","Male","Other"))</f>
        <v>Female</v>
      </c>
      <c r="E996" t="s">
        <v>29</v>
      </c>
      <c r="F996" t="s">
        <v>44</v>
      </c>
      <c r="G996" t="s">
        <v>76</v>
      </c>
      <c r="H996" t="s">
        <v>45</v>
      </c>
      <c r="I996" t="s">
        <v>30</v>
      </c>
      <c r="J996" t="str">
        <f>PROPER(TRIM(CLEAN(tbl_Original[[#This Row],[Column1]])))</f>
        <v>Pingtang</v>
      </c>
      <c r="K996" t="s">
        <v>2049</v>
      </c>
      <c r="L996" t="s">
        <v>2049</v>
      </c>
      <c r="M996" t="s">
        <v>98</v>
      </c>
      <c r="N996" s="1">
        <v>455.44</v>
      </c>
      <c r="O996">
        <v>7</v>
      </c>
      <c r="P996" t="s">
        <v>35</v>
      </c>
      <c r="Q996">
        <v>4</v>
      </c>
      <c r="R996">
        <v>2</v>
      </c>
      <c r="S996">
        <v>1</v>
      </c>
      <c r="T996" t="s">
        <v>59</v>
      </c>
      <c r="U996" t="s">
        <v>85</v>
      </c>
      <c r="V996">
        <v>2</v>
      </c>
      <c r="W996">
        <v>3</v>
      </c>
      <c r="X996" t="s">
        <v>59</v>
      </c>
      <c r="Y996" t="s">
        <v>60</v>
      </c>
      <c r="Z996" t="s">
        <v>66</v>
      </c>
      <c r="AA996" s="2">
        <v>45419</v>
      </c>
      <c r="AB996" t="b">
        <v>0</v>
      </c>
      <c r="AC996" t="b">
        <v>0</v>
      </c>
      <c r="AD996" t="s">
        <v>40</v>
      </c>
      <c r="AE996" t="s">
        <v>41</v>
      </c>
      <c r="AF996">
        <v>3</v>
      </c>
    </row>
    <row r="997" spans="1:32" x14ac:dyDescent="0.25">
      <c r="A997" t="s">
        <v>2050</v>
      </c>
      <c r="B997">
        <v>995</v>
      </c>
      <c r="C997">
        <v>32</v>
      </c>
      <c r="D997" t="str">
        <f>IF(tbl_Original[[#This Row],[Gender2]]="Female","Female",IF(tbl_Original[[#This Row],[Gender2]]="Male","Male","Other"))</f>
        <v>Female</v>
      </c>
      <c r="E997" t="s">
        <v>29</v>
      </c>
      <c r="F997" t="s">
        <v>44</v>
      </c>
      <c r="G997" t="s">
        <v>76</v>
      </c>
      <c r="H997" t="s">
        <v>56</v>
      </c>
      <c r="I997" t="s">
        <v>30</v>
      </c>
      <c r="J997" t="str">
        <f>PROPER(TRIM(CLEAN(tbl_Original[[#This Row],[Column1]])))</f>
        <v>Podbrdo</v>
      </c>
      <c r="K997" t="s">
        <v>2051</v>
      </c>
      <c r="L997" t="s">
        <v>2051</v>
      </c>
      <c r="M997" t="s">
        <v>123</v>
      </c>
      <c r="N997" s="1">
        <v>468.16</v>
      </c>
      <c r="O997">
        <v>8</v>
      </c>
      <c r="P997" t="s">
        <v>78</v>
      </c>
      <c r="Q997">
        <v>3</v>
      </c>
      <c r="R997">
        <v>5</v>
      </c>
      <c r="S997">
        <v>1</v>
      </c>
      <c r="T997" t="s">
        <v>59</v>
      </c>
      <c r="U997" t="s">
        <v>37</v>
      </c>
      <c r="V997">
        <v>1</v>
      </c>
      <c r="W997">
        <v>5</v>
      </c>
      <c r="X997" t="s">
        <v>44</v>
      </c>
      <c r="Y997" t="s">
        <v>79</v>
      </c>
      <c r="Z997" t="s">
        <v>39</v>
      </c>
      <c r="AA997" s="2">
        <v>45313</v>
      </c>
      <c r="AB997" t="b">
        <v>0</v>
      </c>
      <c r="AC997" t="b">
        <v>0</v>
      </c>
      <c r="AD997" t="s">
        <v>74</v>
      </c>
      <c r="AE997" t="s">
        <v>53</v>
      </c>
      <c r="AF997">
        <v>2</v>
      </c>
    </row>
    <row r="998" spans="1:32" x14ac:dyDescent="0.25">
      <c r="A998" t="s">
        <v>2052</v>
      </c>
      <c r="B998">
        <v>996</v>
      </c>
      <c r="C998">
        <v>44</v>
      </c>
      <c r="D998" t="str">
        <f>IF(tbl_Original[[#This Row],[Gender2]]="Female","Female",IF(tbl_Original[[#This Row],[Gender2]]="Male","Male","Other"))</f>
        <v>Female</v>
      </c>
      <c r="E998" t="s">
        <v>29</v>
      </c>
      <c r="F998" t="s">
        <v>44</v>
      </c>
      <c r="G998" t="s">
        <v>76</v>
      </c>
      <c r="H998" t="s">
        <v>32</v>
      </c>
      <c r="I998" t="s">
        <v>44</v>
      </c>
      <c r="J998" t="str">
        <f>PROPER(TRIM(CLEAN(tbl_Original[[#This Row],[Column1]])))</f>
        <v>Aramayuan</v>
      </c>
      <c r="K998" t="s">
        <v>2053</v>
      </c>
      <c r="L998" t="s">
        <v>2053</v>
      </c>
      <c r="M998" t="s">
        <v>93</v>
      </c>
      <c r="N998" s="1">
        <v>463.67</v>
      </c>
      <c r="O998">
        <v>5</v>
      </c>
      <c r="P998" t="s">
        <v>78</v>
      </c>
      <c r="Q998">
        <v>2</v>
      </c>
      <c r="R998">
        <v>4</v>
      </c>
      <c r="S998">
        <v>0.3</v>
      </c>
      <c r="T998" t="s">
        <v>44</v>
      </c>
      <c r="U998" t="s">
        <v>50</v>
      </c>
      <c r="V998">
        <v>2</v>
      </c>
      <c r="W998">
        <v>4</v>
      </c>
      <c r="X998" t="s">
        <v>36</v>
      </c>
      <c r="Y998" t="s">
        <v>38</v>
      </c>
      <c r="Z998" t="s">
        <v>51</v>
      </c>
      <c r="AA998" s="2">
        <v>45480</v>
      </c>
      <c r="AB998" t="b">
        <v>1</v>
      </c>
      <c r="AC998" t="b">
        <v>0</v>
      </c>
      <c r="AD998" t="s">
        <v>40</v>
      </c>
      <c r="AE998" t="s">
        <v>53</v>
      </c>
      <c r="AF998">
        <v>5</v>
      </c>
    </row>
    <row r="999" spans="1:32" x14ac:dyDescent="0.25">
      <c r="A999" t="s">
        <v>2054</v>
      </c>
      <c r="B999">
        <v>997</v>
      </c>
      <c r="C999">
        <v>50</v>
      </c>
      <c r="D999" t="str">
        <f>IF(tbl_Original[[#This Row],[Gender2]]="Female","Female",IF(tbl_Original[[#This Row],[Gender2]]="Male","Male","Other"))</f>
        <v>Female</v>
      </c>
      <c r="E999" t="s">
        <v>29</v>
      </c>
      <c r="F999" t="s">
        <v>44</v>
      </c>
      <c r="G999" t="s">
        <v>55</v>
      </c>
      <c r="H999" t="s">
        <v>45</v>
      </c>
      <c r="I999" t="s">
        <v>30</v>
      </c>
      <c r="J999" t="str">
        <f>PROPER(TRIM(CLEAN(tbl_Original[[#This Row],[Column1]])))</f>
        <v>Paquera</v>
      </c>
      <c r="K999" t="s">
        <v>2055</v>
      </c>
      <c r="L999" t="s">
        <v>2055</v>
      </c>
      <c r="M999" t="s">
        <v>34</v>
      </c>
      <c r="N999" s="1">
        <v>69.78</v>
      </c>
      <c r="O999">
        <v>9</v>
      </c>
      <c r="P999" t="s">
        <v>35</v>
      </c>
      <c r="Q999">
        <v>4</v>
      </c>
      <c r="R999">
        <v>3</v>
      </c>
      <c r="S999">
        <v>2</v>
      </c>
      <c r="T999" t="s">
        <v>59</v>
      </c>
      <c r="U999" t="s">
        <v>85</v>
      </c>
      <c r="V999">
        <v>0</v>
      </c>
      <c r="W999">
        <v>6</v>
      </c>
      <c r="X999" t="s">
        <v>59</v>
      </c>
      <c r="Y999" t="s">
        <v>38</v>
      </c>
      <c r="Z999" t="s">
        <v>86</v>
      </c>
      <c r="AA999" s="2">
        <v>45379</v>
      </c>
      <c r="AB999" t="b">
        <v>1</v>
      </c>
      <c r="AC999" t="b">
        <v>0</v>
      </c>
      <c r="AD999" t="s">
        <v>52</v>
      </c>
      <c r="AE999" t="s">
        <v>41</v>
      </c>
      <c r="AF999">
        <v>9</v>
      </c>
    </row>
    <row r="1000" spans="1:32" x14ac:dyDescent="0.25">
      <c r="A1000" t="s">
        <v>2056</v>
      </c>
      <c r="B1000">
        <v>998</v>
      </c>
      <c r="C1000">
        <v>26</v>
      </c>
      <c r="D1000" t="str">
        <f>IF(tbl_Original[[#This Row],[Gender2]]="Female","Female",IF(tbl_Original[[#This Row],[Gender2]]="Male","Male","Other"))</f>
        <v>Male</v>
      </c>
      <c r="E1000" t="s">
        <v>43</v>
      </c>
      <c r="F1000" t="s">
        <v>44</v>
      </c>
      <c r="G1000" t="s">
        <v>31</v>
      </c>
      <c r="H1000" t="s">
        <v>32</v>
      </c>
      <c r="I1000" t="s">
        <v>44</v>
      </c>
      <c r="J1000" t="str">
        <f>PROPER(TRIM(CLEAN(tbl_Original[[#This Row],[Column1]])))</f>
        <v>Warudoyong</v>
      </c>
      <c r="K1000" t="s">
        <v>2057</v>
      </c>
      <c r="L1000" t="s">
        <v>2057</v>
      </c>
      <c r="M1000" t="s">
        <v>47</v>
      </c>
      <c r="N1000" s="1">
        <v>453.37</v>
      </c>
      <c r="O1000">
        <v>10</v>
      </c>
      <c r="P1000" t="s">
        <v>35</v>
      </c>
      <c r="Q1000">
        <v>1</v>
      </c>
      <c r="R1000">
        <v>1</v>
      </c>
      <c r="S1000">
        <v>2</v>
      </c>
      <c r="T1000" t="s">
        <v>59</v>
      </c>
      <c r="U1000" t="s">
        <v>85</v>
      </c>
      <c r="V1000">
        <v>0</v>
      </c>
      <c r="W1000">
        <v>6</v>
      </c>
      <c r="X1000" t="s">
        <v>44</v>
      </c>
      <c r="Y1000" t="s">
        <v>79</v>
      </c>
      <c r="Z1000" t="s">
        <v>39</v>
      </c>
      <c r="AA1000" s="2">
        <v>45362</v>
      </c>
      <c r="AB1000" t="b">
        <v>1</v>
      </c>
      <c r="AC1000" t="b">
        <v>1</v>
      </c>
      <c r="AD1000" t="s">
        <v>52</v>
      </c>
      <c r="AE1000" t="s">
        <v>67</v>
      </c>
      <c r="AF1000">
        <v>9</v>
      </c>
    </row>
    <row r="1001" spans="1:32" x14ac:dyDescent="0.25">
      <c r="A1001" t="s">
        <v>2058</v>
      </c>
      <c r="B1001">
        <v>999</v>
      </c>
      <c r="C1001">
        <v>21</v>
      </c>
      <c r="D1001" t="str">
        <f>IF(tbl_Original[[#This Row],[Gender2]]="Female","Female",IF(tbl_Original[[#This Row],[Gender2]]="Male","Male","Other"))</f>
        <v>Female</v>
      </c>
      <c r="E1001" t="s">
        <v>29</v>
      </c>
      <c r="F1001" t="s">
        <v>44</v>
      </c>
      <c r="G1001" t="s">
        <v>69</v>
      </c>
      <c r="H1001" t="s">
        <v>32</v>
      </c>
      <c r="I1001" t="s">
        <v>30</v>
      </c>
      <c r="J1001" t="str">
        <f>PROPER(TRIM(CLEAN(tbl_Original[[#This Row],[Column1]])))</f>
        <v>Bziers</v>
      </c>
      <c r="K1001" t="s">
        <v>2278</v>
      </c>
      <c r="L1001" t="s">
        <v>2059</v>
      </c>
      <c r="M1001" t="s">
        <v>123</v>
      </c>
      <c r="N1001" s="1">
        <v>106.15</v>
      </c>
      <c r="O1001">
        <v>12</v>
      </c>
      <c r="P1001" t="s">
        <v>48</v>
      </c>
      <c r="Q1001">
        <v>4</v>
      </c>
      <c r="R1001">
        <v>4</v>
      </c>
      <c r="S1001">
        <v>0.3</v>
      </c>
      <c r="T1001" t="s">
        <v>59</v>
      </c>
      <c r="U1001" t="s">
        <v>37</v>
      </c>
      <c r="V1001">
        <v>0</v>
      </c>
      <c r="W1001">
        <v>5</v>
      </c>
      <c r="X1001" t="s">
        <v>49</v>
      </c>
      <c r="Y1001" t="s">
        <v>79</v>
      </c>
      <c r="Z1001" t="s">
        <v>86</v>
      </c>
      <c r="AA1001" s="2">
        <v>45381</v>
      </c>
      <c r="AB1001" t="b">
        <v>1</v>
      </c>
      <c r="AC1001" t="b">
        <v>1</v>
      </c>
      <c r="AD1001" t="s">
        <v>62</v>
      </c>
      <c r="AE1001" t="s">
        <v>53</v>
      </c>
      <c r="AF1001">
        <v>8</v>
      </c>
    </row>
    <row r="1002" spans="1:32" x14ac:dyDescent="0.25">
      <c r="A1002" t="s">
        <v>2060</v>
      </c>
      <c r="B1002">
        <v>1000</v>
      </c>
      <c r="C1002">
        <v>21</v>
      </c>
      <c r="D1002" t="str">
        <f>IF(tbl_Original[[#This Row],[Gender2]]="Female","Female",IF(tbl_Original[[#This Row],[Gender2]]="Male","Male","Other"))</f>
        <v>Female</v>
      </c>
      <c r="E1002" t="s">
        <v>29</v>
      </c>
      <c r="F1002" t="s">
        <v>30</v>
      </c>
      <c r="G1002" t="s">
        <v>55</v>
      </c>
      <c r="H1002" t="s">
        <v>45</v>
      </c>
      <c r="I1002" t="s">
        <v>44</v>
      </c>
      <c r="J1002" t="str">
        <f>PROPER(TRIM(CLEAN(tbl_Original[[#This Row],[Column1]])))</f>
        <v>Dongzhou</v>
      </c>
      <c r="K1002" t="s">
        <v>2061</v>
      </c>
      <c r="L1002" t="s">
        <v>2061</v>
      </c>
      <c r="M1002" t="s">
        <v>104</v>
      </c>
      <c r="N1002" s="1">
        <v>378.47</v>
      </c>
      <c r="O1002">
        <v>6</v>
      </c>
      <c r="P1002" t="s">
        <v>78</v>
      </c>
      <c r="Q1002">
        <v>5</v>
      </c>
      <c r="R1002">
        <v>2</v>
      </c>
      <c r="S1002">
        <v>0.33</v>
      </c>
      <c r="T1002" t="s">
        <v>49</v>
      </c>
      <c r="U1002" t="s">
        <v>50</v>
      </c>
      <c r="V1002">
        <v>1</v>
      </c>
      <c r="W1002">
        <v>10</v>
      </c>
      <c r="X1002" t="s">
        <v>59</v>
      </c>
      <c r="Y1002" t="s">
        <v>38</v>
      </c>
      <c r="Z1002" t="s">
        <v>66</v>
      </c>
      <c r="AA1002" s="2">
        <v>45634</v>
      </c>
      <c r="AB1002" t="b">
        <v>0</v>
      </c>
      <c r="AC1002" t="b">
        <v>0</v>
      </c>
      <c r="AD1002" t="s">
        <v>74</v>
      </c>
      <c r="AE1002" t="s">
        <v>67</v>
      </c>
      <c r="AF1002">
        <v>2</v>
      </c>
    </row>
  </sheetData>
  <phoneticPr fontId="18" type="noConversion"/>
  <conditionalFormatting sqref="A1:B1">
    <cfRule type="cellIs" dxfId="1" priority="1" operator="greaterThan">
      <formula>0</formula>
    </cfRule>
  </conditionalFormatting>
  <conditionalFormatting sqref="A3:B100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54C-1005-42FB-85B7-608C43EBAD31}">
  <dimension ref="A1:M1003"/>
  <sheetViews>
    <sheetView showGridLines="0" topLeftCell="A13" zoomScaleNormal="100" workbookViewId="0">
      <selection activeCell="A2" sqref="A2"/>
    </sheetView>
  </sheetViews>
  <sheetFormatPr defaultRowHeight="15" x14ac:dyDescent="0.25"/>
  <cols>
    <col min="1" max="1" width="19.28515625" customWidth="1"/>
    <col min="2" max="2" width="15.5703125" customWidth="1"/>
    <col min="3" max="4" width="14" customWidth="1"/>
    <col min="5" max="5" width="37" bestFit="1" customWidth="1"/>
    <col min="6" max="6" width="26" bestFit="1" customWidth="1"/>
    <col min="7" max="7" width="24.28515625" bestFit="1" customWidth="1"/>
    <col min="8" max="8" width="18.140625" bestFit="1" customWidth="1"/>
    <col min="9" max="11" width="24.28515625" bestFit="1" customWidth="1"/>
    <col min="12" max="12" width="21.5703125" bestFit="1" customWidth="1"/>
    <col min="13" max="13" width="24.28515625" bestFit="1" customWidth="1"/>
  </cols>
  <sheetData>
    <row r="1" spans="1:13" x14ac:dyDescent="0.25">
      <c r="A1" t="s">
        <v>2323</v>
      </c>
      <c r="B1" s="7">
        <f>AVERAGE(tbl_Original[Purchase_Amount])</f>
        <v>275.06388000000004</v>
      </c>
      <c r="C1" t="s">
        <v>2324</v>
      </c>
      <c r="D1" s="7">
        <f>_xlfn.STDEV.S(tbl_Original[Purchase_Amount])</f>
        <v>131.53299803896616</v>
      </c>
    </row>
    <row r="2" spans="1:13" x14ac:dyDescent="0.25">
      <c r="A2">
        <f>_xlfn.NORM.INV(0.9,B1,D1)</f>
        <v>443.630199557612</v>
      </c>
    </row>
    <row r="3" spans="1:13" x14ac:dyDescent="0.25">
      <c r="A3" t="s">
        <v>9</v>
      </c>
      <c r="B3" t="s">
        <v>2322</v>
      </c>
      <c r="C3" t="s">
        <v>2325</v>
      </c>
      <c r="E3" s="5" t="s">
        <v>2317</v>
      </c>
      <c r="F3" t="s">
        <v>2316</v>
      </c>
      <c r="H3" s="5" t="s">
        <v>1</v>
      </c>
      <c r="I3" t="s">
        <v>2310</v>
      </c>
      <c r="K3" s="5" t="s">
        <v>2</v>
      </c>
      <c r="L3" t="s">
        <v>2310</v>
      </c>
      <c r="M3" t="s">
        <v>2316</v>
      </c>
    </row>
    <row r="4" spans="1:13" x14ac:dyDescent="0.25">
      <c r="A4" s="1">
        <v>50.71</v>
      </c>
      <c r="B4">
        <f t="shared" ref="B4:B67" si="0">_xlfn.NORM.DIST(A4,$B$1,$D$1,FALSE)</f>
        <v>7.081340223052165E-4</v>
      </c>
      <c r="C4">
        <f t="shared" ref="C4:C67" si="1">IF(A4&gt;=$A$2,B4,-100)</f>
        <v>-100</v>
      </c>
      <c r="E4">
        <v>361</v>
      </c>
      <c r="F4" s="1">
        <v>498.33</v>
      </c>
      <c r="H4" t="s">
        <v>2311</v>
      </c>
      <c r="I4" s="6">
        <v>0.29899999999999999</v>
      </c>
      <c r="K4" t="s">
        <v>29</v>
      </c>
      <c r="L4" s="6">
        <v>0.45200000000000001</v>
      </c>
      <c r="M4" s="1">
        <v>127503.70999999995</v>
      </c>
    </row>
    <row r="5" spans="1:13" x14ac:dyDescent="0.25">
      <c r="A5" s="1">
        <v>50.78</v>
      </c>
      <c r="B5">
        <f t="shared" si="0"/>
        <v>7.0877701640524842E-4</v>
      </c>
      <c r="C5">
        <f t="shared" si="1"/>
        <v>-100</v>
      </c>
      <c r="E5">
        <v>708</v>
      </c>
      <c r="F5" s="1">
        <v>498.23</v>
      </c>
      <c r="H5" t="s">
        <v>2312</v>
      </c>
      <c r="I5" s="6">
        <v>0.3</v>
      </c>
      <c r="K5" t="s">
        <v>43</v>
      </c>
      <c r="L5" s="6">
        <v>0.44900000000000001</v>
      </c>
      <c r="M5" s="1">
        <v>120160.69000000003</v>
      </c>
    </row>
    <row r="6" spans="1:13" x14ac:dyDescent="0.25">
      <c r="A6" s="1">
        <v>50.79</v>
      </c>
      <c r="B6">
        <f t="shared" si="0"/>
        <v>7.0886890396466156E-4</v>
      </c>
      <c r="C6">
        <f t="shared" si="1"/>
        <v>-100</v>
      </c>
      <c r="E6">
        <v>474</v>
      </c>
      <c r="F6" s="1">
        <v>497.8</v>
      </c>
      <c r="H6" t="s">
        <v>2313</v>
      </c>
      <c r="I6" s="6">
        <v>0.30499999999999999</v>
      </c>
      <c r="K6" t="s">
        <v>66</v>
      </c>
      <c r="L6" s="6">
        <v>9.9000000000000005E-2</v>
      </c>
      <c r="M6" s="1">
        <v>27399.480000000003</v>
      </c>
    </row>
    <row r="7" spans="1:13" x14ac:dyDescent="0.25">
      <c r="A7" s="1">
        <v>51.22</v>
      </c>
      <c r="B7">
        <f t="shared" si="0"/>
        <v>7.1282746105833092E-4</v>
      </c>
      <c r="C7">
        <f t="shared" si="1"/>
        <v>-100</v>
      </c>
      <c r="E7">
        <v>928</v>
      </c>
      <c r="F7" s="1">
        <v>497.76</v>
      </c>
      <c r="H7" t="s">
        <v>2314</v>
      </c>
      <c r="I7" s="6">
        <v>9.6000000000000002E-2</v>
      </c>
      <c r="K7" t="s">
        <v>2309</v>
      </c>
      <c r="L7" s="6">
        <v>1</v>
      </c>
      <c r="M7" s="1">
        <v>275063.87999999954</v>
      </c>
    </row>
    <row r="8" spans="1:13" x14ac:dyDescent="0.25">
      <c r="A8" s="1">
        <v>51.44</v>
      </c>
      <c r="B8">
        <f t="shared" si="0"/>
        <v>7.1485835551053189E-4</v>
      </c>
      <c r="C8">
        <f t="shared" si="1"/>
        <v>-100</v>
      </c>
      <c r="E8">
        <v>848</v>
      </c>
      <c r="F8" s="1">
        <v>497.75</v>
      </c>
      <c r="H8" t="s">
        <v>2309</v>
      </c>
      <c r="I8" s="6">
        <v>1</v>
      </c>
    </row>
    <row r="9" spans="1:13" x14ac:dyDescent="0.25">
      <c r="A9" s="1">
        <v>51.86</v>
      </c>
      <c r="B9">
        <f t="shared" si="0"/>
        <v>7.1874601535939781E-4</v>
      </c>
      <c r="C9">
        <f t="shared" si="1"/>
        <v>-100</v>
      </c>
      <c r="E9" t="s">
        <v>2309</v>
      </c>
      <c r="F9" s="1">
        <v>2489.87</v>
      </c>
    </row>
    <row r="10" spans="1:13" x14ac:dyDescent="0.25">
      <c r="A10" s="1">
        <v>52.24</v>
      </c>
      <c r="B10">
        <f t="shared" si="0"/>
        <v>7.2227529109408068E-4</v>
      </c>
      <c r="C10">
        <f t="shared" si="1"/>
        <v>-100</v>
      </c>
    </row>
    <row r="11" spans="1:13" x14ac:dyDescent="0.25">
      <c r="A11" s="1">
        <v>52.34</v>
      </c>
      <c r="B11">
        <f t="shared" si="0"/>
        <v>7.2320592147534957E-4</v>
      </c>
      <c r="C11">
        <f t="shared" si="1"/>
        <v>-100</v>
      </c>
      <c r="E11" s="5" t="s">
        <v>2317</v>
      </c>
      <c r="F11" t="s">
        <v>2316</v>
      </c>
      <c r="G11" t="s">
        <v>2326</v>
      </c>
      <c r="H11" s="1">
        <f>MAX(tbl_Original[Purchase_Amount])</f>
        <v>498.33</v>
      </c>
      <c r="I11" s="5" t="s">
        <v>4</v>
      </c>
      <c r="J11" t="s">
        <v>2316</v>
      </c>
    </row>
    <row r="12" spans="1:13" x14ac:dyDescent="0.25">
      <c r="A12" s="1">
        <v>52.79</v>
      </c>
      <c r="B12">
        <f t="shared" si="0"/>
        <v>7.274034162646284E-4</v>
      </c>
      <c r="C12">
        <f t="shared" si="1"/>
        <v>-100</v>
      </c>
      <c r="E12">
        <v>615</v>
      </c>
      <c r="F12" s="1">
        <v>51.44</v>
      </c>
      <c r="G12" t="s">
        <v>2327</v>
      </c>
      <c r="H12" s="1">
        <f>MIN(tbl_Original[Purchase_Amount])</f>
        <v>50.71</v>
      </c>
      <c r="I12" t="s">
        <v>31</v>
      </c>
      <c r="J12" s="1">
        <v>70981.160000000018</v>
      </c>
    </row>
    <row r="13" spans="1:13" x14ac:dyDescent="0.25">
      <c r="A13" s="1">
        <v>53.45</v>
      </c>
      <c r="B13">
        <f t="shared" si="0"/>
        <v>7.3358831851668446E-4</v>
      </c>
      <c r="C13">
        <f t="shared" si="1"/>
        <v>-100</v>
      </c>
      <c r="E13">
        <v>48</v>
      </c>
      <c r="F13" s="1">
        <v>51.22</v>
      </c>
      <c r="G13" t="s">
        <v>2323</v>
      </c>
      <c r="H13" s="1">
        <f>AVERAGE(tbl_Original[Purchase_Amount])</f>
        <v>275.06388000000004</v>
      </c>
      <c r="I13" t="s">
        <v>69</v>
      </c>
      <c r="J13" s="1">
        <v>69899.87999999999</v>
      </c>
    </row>
    <row r="14" spans="1:13" x14ac:dyDescent="0.25">
      <c r="A14" s="1">
        <v>53.67</v>
      </c>
      <c r="B14">
        <f t="shared" si="0"/>
        <v>7.3565750084841745E-4</v>
      </c>
      <c r="C14">
        <f t="shared" si="1"/>
        <v>-100</v>
      </c>
      <c r="E14">
        <v>382</v>
      </c>
      <c r="F14" s="1">
        <v>50.79</v>
      </c>
      <c r="G14" t="s">
        <v>2328</v>
      </c>
      <c r="H14" s="1">
        <f>SUM(tbl_Original[Purchase_Amount])</f>
        <v>275063.88000000006</v>
      </c>
      <c r="I14" t="s">
        <v>76</v>
      </c>
      <c r="J14" s="1">
        <v>67261.210000000006</v>
      </c>
    </row>
    <row r="15" spans="1:13" x14ac:dyDescent="0.25">
      <c r="A15" s="1">
        <v>53.87</v>
      </c>
      <c r="B15">
        <f t="shared" si="0"/>
        <v>7.3754184943829973E-4</v>
      </c>
      <c r="C15">
        <f t="shared" si="1"/>
        <v>-100</v>
      </c>
      <c r="E15">
        <v>589</v>
      </c>
      <c r="F15" s="1">
        <v>50.78</v>
      </c>
      <c r="G15" t="s">
        <v>2329</v>
      </c>
      <c r="H15">
        <f>COUNT(tbl_Original[Purchase_Amount])</f>
        <v>1000</v>
      </c>
      <c r="I15" t="s">
        <v>55</v>
      </c>
      <c r="J15" s="1">
        <v>66921.630000000048</v>
      </c>
    </row>
    <row r="16" spans="1:13" x14ac:dyDescent="0.25">
      <c r="A16" s="1">
        <v>54.17</v>
      </c>
      <c r="B16">
        <f t="shared" si="0"/>
        <v>7.4037421662607442E-4</v>
      </c>
      <c r="C16">
        <f t="shared" si="1"/>
        <v>-100</v>
      </c>
      <c r="E16">
        <v>243</v>
      </c>
      <c r="F16" s="1">
        <v>50.71</v>
      </c>
      <c r="I16" t="s">
        <v>2309</v>
      </c>
      <c r="J16" s="1">
        <v>275063.88000000006</v>
      </c>
    </row>
    <row r="17" spans="1:13" x14ac:dyDescent="0.25">
      <c r="A17" s="1">
        <v>54.46</v>
      </c>
      <c r="B17">
        <f t="shared" si="0"/>
        <v>7.4311883580644442E-4</v>
      </c>
      <c r="C17">
        <f t="shared" si="1"/>
        <v>-100</v>
      </c>
      <c r="E17" t="s">
        <v>2309</v>
      </c>
      <c r="F17" s="1">
        <v>254.94</v>
      </c>
    </row>
    <row r="18" spans="1:13" x14ac:dyDescent="0.25">
      <c r="A18" s="1">
        <v>54.71</v>
      </c>
      <c r="B18">
        <f t="shared" si="0"/>
        <v>7.4549014309245338E-4</v>
      </c>
      <c r="C18">
        <f t="shared" si="1"/>
        <v>-100</v>
      </c>
      <c r="I18" s="5" t="s">
        <v>6</v>
      </c>
      <c r="J18" t="s">
        <v>2316</v>
      </c>
    </row>
    <row r="19" spans="1:13" x14ac:dyDescent="0.25">
      <c r="A19" s="1">
        <v>54.74</v>
      </c>
      <c r="B19">
        <f t="shared" si="0"/>
        <v>7.4577502694100255E-4</v>
      </c>
      <c r="C19">
        <f t="shared" si="1"/>
        <v>-100</v>
      </c>
      <c r="E19" s="5" t="s">
        <v>3</v>
      </c>
      <c r="F19" t="s">
        <v>2316</v>
      </c>
      <c r="I19" t="s">
        <v>44</v>
      </c>
      <c r="J19" s="1">
        <v>140776.66999999993</v>
      </c>
    </row>
    <row r="20" spans="1:13" x14ac:dyDescent="0.25">
      <c r="A20" s="1">
        <v>55.73</v>
      </c>
      <c r="B20">
        <f t="shared" si="0"/>
        <v>7.5521547758700353E-4</v>
      </c>
      <c r="C20">
        <f t="shared" si="1"/>
        <v>-100</v>
      </c>
      <c r="E20" t="s">
        <v>44</v>
      </c>
      <c r="F20" s="1">
        <v>141888.49</v>
      </c>
      <c r="I20" t="s">
        <v>30</v>
      </c>
      <c r="J20" s="1">
        <v>134287.20999999993</v>
      </c>
    </row>
    <row r="21" spans="1:13" x14ac:dyDescent="0.25">
      <c r="A21" s="1">
        <v>56.02</v>
      </c>
      <c r="B21">
        <f t="shared" si="0"/>
        <v>7.579952933731885E-4</v>
      </c>
      <c r="C21">
        <f t="shared" si="1"/>
        <v>-100</v>
      </c>
      <c r="E21" t="s">
        <v>30</v>
      </c>
      <c r="F21" s="1">
        <v>133175.38999999987</v>
      </c>
      <c r="I21" t="s">
        <v>2309</v>
      </c>
      <c r="J21" s="1">
        <v>275063.87999999989</v>
      </c>
    </row>
    <row r="22" spans="1:13" x14ac:dyDescent="0.25">
      <c r="A22" s="1">
        <v>56.74</v>
      </c>
      <c r="B22">
        <f t="shared" si="0"/>
        <v>7.6492514683996159E-4</v>
      </c>
      <c r="C22">
        <f t="shared" si="1"/>
        <v>-100</v>
      </c>
      <c r="E22" t="s">
        <v>2309</v>
      </c>
      <c r="F22" s="1">
        <v>275063.87999999989</v>
      </c>
    </row>
    <row r="23" spans="1:13" x14ac:dyDescent="0.25">
      <c r="A23" s="1">
        <v>56.85</v>
      </c>
      <c r="B23">
        <f t="shared" si="0"/>
        <v>7.6598741799553964E-4</v>
      </c>
      <c r="C23">
        <f t="shared" si="1"/>
        <v>-100</v>
      </c>
      <c r="I23" s="5" t="s">
        <v>2319</v>
      </c>
      <c r="J23" t="s">
        <v>2316</v>
      </c>
      <c r="L23" s="5" t="s">
        <v>2318</v>
      </c>
      <c r="M23" t="s">
        <v>2316</v>
      </c>
    </row>
    <row r="24" spans="1:13" x14ac:dyDescent="0.25">
      <c r="A24" s="1">
        <v>57.39</v>
      </c>
      <c r="B24">
        <f t="shared" si="0"/>
        <v>7.7121581574277119E-4</v>
      </c>
      <c r="C24">
        <f t="shared" si="1"/>
        <v>-100</v>
      </c>
      <c r="E24" s="5" t="s">
        <v>5</v>
      </c>
      <c r="F24" t="s">
        <v>2316</v>
      </c>
      <c r="I24" t="s">
        <v>2195</v>
      </c>
      <c r="J24" s="1">
        <v>1161.29</v>
      </c>
      <c r="L24" t="s">
        <v>1306</v>
      </c>
      <c r="M24" s="1">
        <v>51.44</v>
      </c>
    </row>
    <row r="25" spans="1:13" x14ac:dyDescent="0.25">
      <c r="A25" s="1">
        <v>57.5</v>
      </c>
      <c r="B25">
        <f t="shared" si="0"/>
        <v>7.7228363126830588E-4</v>
      </c>
      <c r="C25">
        <f t="shared" si="1"/>
        <v>-100</v>
      </c>
      <c r="E25" t="s">
        <v>32</v>
      </c>
      <c r="F25" s="1">
        <v>96786.120000000083</v>
      </c>
      <c r="I25" t="s">
        <v>311</v>
      </c>
      <c r="J25" s="1">
        <v>1021.55</v>
      </c>
      <c r="L25" t="s">
        <v>2295</v>
      </c>
      <c r="M25" s="1">
        <v>51.22</v>
      </c>
    </row>
    <row r="26" spans="1:13" x14ac:dyDescent="0.25">
      <c r="A26" s="1">
        <v>58.27</v>
      </c>
      <c r="B26">
        <f t="shared" si="0"/>
        <v>7.7978458183968261E-4</v>
      </c>
      <c r="C26">
        <f t="shared" si="1"/>
        <v>-100</v>
      </c>
      <c r="E26" t="s">
        <v>45</v>
      </c>
      <c r="F26" s="1">
        <v>90763.60000000002</v>
      </c>
      <c r="I26" t="s">
        <v>92</v>
      </c>
      <c r="J26" s="1">
        <v>820.45</v>
      </c>
      <c r="L26" t="s">
        <v>848</v>
      </c>
      <c r="M26" s="1">
        <v>50.79</v>
      </c>
    </row>
    <row r="27" spans="1:13" x14ac:dyDescent="0.25">
      <c r="A27" s="1">
        <v>58.29</v>
      </c>
      <c r="B27">
        <f t="shared" si="0"/>
        <v>7.7998002325789127E-4</v>
      </c>
      <c r="C27">
        <f t="shared" si="1"/>
        <v>-100</v>
      </c>
      <c r="E27" t="s">
        <v>56</v>
      </c>
      <c r="F27" s="1">
        <v>87514.160000000018</v>
      </c>
      <c r="I27" t="s">
        <v>277</v>
      </c>
      <c r="J27" s="1">
        <v>804.74</v>
      </c>
      <c r="L27" t="s">
        <v>1257</v>
      </c>
      <c r="M27" s="1">
        <v>50.78</v>
      </c>
    </row>
    <row r="28" spans="1:13" x14ac:dyDescent="0.25">
      <c r="A28" s="1">
        <v>58.32</v>
      </c>
      <c r="B28">
        <f t="shared" si="0"/>
        <v>7.8027324340989679E-4</v>
      </c>
      <c r="C28">
        <f t="shared" si="1"/>
        <v>-100</v>
      </c>
      <c r="E28" t="s">
        <v>2309</v>
      </c>
      <c r="F28" s="1">
        <v>275063.88000000012</v>
      </c>
      <c r="I28" t="s">
        <v>710</v>
      </c>
      <c r="J28" s="1">
        <v>780.6</v>
      </c>
      <c r="L28" t="s">
        <v>574</v>
      </c>
      <c r="M28" s="1">
        <v>50.71</v>
      </c>
    </row>
    <row r="29" spans="1:13" x14ac:dyDescent="0.25">
      <c r="A29" s="1">
        <v>58.49</v>
      </c>
      <c r="B29">
        <f t="shared" si="0"/>
        <v>7.8193613929667879E-4</v>
      </c>
      <c r="C29">
        <f t="shared" si="1"/>
        <v>-100</v>
      </c>
      <c r="I29" t="s">
        <v>2309</v>
      </c>
      <c r="J29" s="1">
        <v>4588.63</v>
      </c>
      <c r="L29" t="s">
        <v>2309</v>
      </c>
      <c r="M29" s="1">
        <v>254.94</v>
      </c>
    </row>
    <row r="30" spans="1:13" x14ac:dyDescent="0.25">
      <c r="A30" s="1">
        <v>58.51</v>
      </c>
      <c r="B30">
        <f t="shared" si="0"/>
        <v>7.8213192105773034E-4</v>
      </c>
      <c r="C30">
        <f t="shared" si="1"/>
        <v>-100</v>
      </c>
      <c r="E30" s="5" t="s">
        <v>2</v>
      </c>
      <c r="F30" t="s">
        <v>2315</v>
      </c>
    </row>
    <row r="31" spans="1:13" x14ac:dyDescent="0.25">
      <c r="A31" s="1">
        <v>59.15</v>
      </c>
      <c r="B31">
        <f t="shared" si="0"/>
        <v>7.884132624909597E-4</v>
      </c>
      <c r="C31">
        <f t="shared" si="1"/>
        <v>-100</v>
      </c>
      <c r="E31" t="s">
        <v>29</v>
      </c>
      <c r="F31" s="6">
        <v>0.45200000000000001</v>
      </c>
    </row>
    <row r="32" spans="1:13" x14ac:dyDescent="0.25">
      <c r="A32" s="1">
        <v>61.19</v>
      </c>
      <c r="B32">
        <f t="shared" si="0"/>
        <v>8.0864590231714232E-4</v>
      </c>
      <c r="C32">
        <f t="shared" si="1"/>
        <v>-100</v>
      </c>
      <c r="E32" t="s">
        <v>43</v>
      </c>
      <c r="F32" s="6">
        <v>0.44900000000000001</v>
      </c>
    </row>
    <row r="33" spans="1:6" x14ac:dyDescent="0.25">
      <c r="A33" s="1">
        <v>61.21</v>
      </c>
      <c r="B33">
        <f t="shared" si="0"/>
        <v>8.0884584709940059E-4</v>
      </c>
      <c r="C33">
        <f t="shared" si="1"/>
        <v>-100</v>
      </c>
      <c r="E33" t="s">
        <v>66</v>
      </c>
      <c r="F33" s="6">
        <v>9.9000000000000005E-2</v>
      </c>
    </row>
    <row r="34" spans="1:6" x14ac:dyDescent="0.25">
      <c r="A34" s="1">
        <v>61.22</v>
      </c>
      <c r="B34">
        <f t="shared" si="0"/>
        <v>8.0894583101544855E-4</v>
      </c>
      <c r="C34">
        <f t="shared" si="1"/>
        <v>-100</v>
      </c>
      <c r="E34" t="s">
        <v>2309</v>
      </c>
      <c r="F34" s="6">
        <v>1</v>
      </c>
    </row>
    <row r="35" spans="1:6" x14ac:dyDescent="0.25">
      <c r="A35" s="1">
        <v>61.5</v>
      </c>
      <c r="B35">
        <f t="shared" si="0"/>
        <v>8.1174849920693625E-4</v>
      </c>
      <c r="C35">
        <f t="shared" si="1"/>
        <v>-100</v>
      </c>
    </row>
    <row r="36" spans="1:6" x14ac:dyDescent="0.25">
      <c r="A36" s="1">
        <v>61.71</v>
      </c>
      <c r="B36">
        <f t="shared" si="0"/>
        <v>8.1385445050192193E-4</v>
      </c>
      <c r="C36">
        <f t="shared" si="1"/>
        <v>-100</v>
      </c>
      <c r="E36" s="5" t="s">
        <v>24</v>
      </c>
      <c r="F36" t="s">
        <v>2310</v>
      </c>
    </row>
    <row r="37" spans="1:6" x14ac:dyDescent="0.25">
      <c r="A37" s="1">
        <v>61.86</v>
      </c>
      <c r="B37">
        <f t="shared" si="0"/>
        <v>8.153607731724951E-4</v>
      </c>
      <c r="C37">
        <f t="shared" si="1"/>
        <v>-100</v>
      </c>
      <c r="E37" t="s">
        <v>2320</v>
      </c>
      <c r="F37" s="6">
        <v>0.50900000000000001</v>
      </c>
    </row>
    <row r="38" spans="1:6" x14ac:dyDescent="0.25">
      <c r="A38" s="1">
        <v>63.6</v>
      </c>
      <c r="B38">
        <f t="shared" si="0"/>
        <v>8.3296003069085892E-4</v>
      </c>
      <c r="C38">
        <f t="shared" si="1"/>
        <v>-100</v>
      </c>
      <c r="E38" t="s">
        <v>2321</v>
      </c>
      <c r="F38" s="6">
        <v>0.49099999999999999</v>
      </c>
    </row>
    <row r="39" spans="1:6" x14ac:dyDescent="0.25">
      <c r="A39" s="1">
        <v>63.91</v>
      </c>
      <c r="B39">
        <f t="shared" si="0"/>
        <v>8.3611980890677996E-4</v>
      </c>
      <c r="C39">
        <f t="shared" si="1"/>
        <v>-100</v>
      </c>
      <c r="E39" t="s">
        <v>2309</v>
      </c>
      <c r="F39" s="6">
        <v>1</v>
      </c>
    </row>
    <row r="40" spans="1:6" x14ac:dyDescent="0.25">
      <c r="A40" s="1">
        <v>64.09</v>
      </c>
      <c r="B40">
        <f t="shared" si="0"/>
        <v>8.3795788049803273E-4</v>
      </c>
      <c r="C40">
        <f t="shared" si="1"/>
        <v>-100</v>
      </c>
    </row>
    <row r="41" spans="1:6" x14ac:dyDescent="0.25">
      <c r="A41" s="1">
        <v>64.22</v>
      </c>
      <c r="B41">
        <f t="shared" si="0"/>
        <v>8.3928691160174457E-4</v>
      </c>
      <c r="C41">
        <f t="shared" si="1"/>
        <v>-100</v>
      </c>
    </row>
    <row r="42" spans="1:6" x14ac:dyDescent="0.25">
      <c r="A42" s="1">
        <v>64.489999999999995</v>
      </c>
      <c r="B42">
        <f t="shared" si="0"/>
        <v>8.4205131784691016E-4</v>
      </c>
      <c r="C42">
        <f t="shared" si="1"/>
        <v>-100</v>
      </c>
    </row>
    <row r="43" spans="1:6" x14ac:dyDescent="0.25">
      <c r="A43" s="1">
        <v>64.5</v>
      </c>
      <c r="B43">
        <f t="shared" si="0"/>
        <v>8.4215380979264049E-4</v>
      </c>
      <c r="C43">
        <f t="shared" si="1"/>
        <v>-100</v>
      </c>
    </row>
    <row r="44" spans="1:6" x14ac:dyDescent="0.25">
      <c r="A44" s="1">
        <v>65.45</v>
      </c>
      <c r="B44">
        <f t="shared" si="0"/>
        <v>8.5192519379304076E-4</v>
      </c>
      <c r="C44">
        <f t="shared" si="1"/>
        <v>-100</v>
      </c>
    </row>
    <row r="45" spans="1:6" x14ac:dyDescent="0.25">
      <c r="A45" s="1">
        <v>65.680000000000007</v>
      </c>
      <c r="B45">
        <f t="shared" si="0"/>
        <v>8.5430119403867642E-4</v>
      </c>
      <c r="C45">
        <f t="shared" si="1"/>
        <v>-100</v>
      </c>
    </row>
    <row r="46" spans="1:6" x14ac:dyDescent="0.25">
      <c r="A46" s="1">
        <v>66.86</v>
      </c>
      <c r="B46">
        <f t="shared" si="0"/>
        <v>8.6655405029195827E-4</v>
      </c>
      <c r="C46">
        <f t="shared" si="1"/>
        <v>-100</v>
      </c>
    </row>
    <row r="47" spans="1:6" x14ac:dyDescent="0.25">
      <c r="A47" s="1">
        <v>67.92</v>
      </c>
      <c r="B47">
        <f t="shared" si="0"/>
        <v>8.7765039239039134E-4</v>
      </c>
      <c r="C47">
        <f t="shared" si="1"/>
        <v>-100</v>
      </c>
    </row>
    <row r="48" spans="1:6" x14ac:dyDescent="0.25">
      <c r="A48" s="1">
        <v>68.02</v>
      </c>
      <c r="B48">
        <f t="shared" si="0"/>
        <v>8.7870157781712885E-4</v>
      </c>
      <c r="C48">
        <f t="shared" si="1"/>
        <v>-100</v>
      </c>
    </row>
    <row r="49" spans="1:3" x14ac:dyDescent="0.25">
      <c r="A49" s="1">
        <v>68.59</v>
      </c>
      <c r="B49">
        <f t="shared" si="0"/>
        <v>8.847076565925763E-4</v>
      </c>
      <c r="C49">
        <f t="shared" si="1"/>
        <v>-100</v>
      </c>
    </row>
    <row r="50" spans="1:3" x14ac:dyDescent="0.25">
      <c r="A50" s="1">
        <v>69.41</v>
      </c>
      <c r="B50">
        <f t="shared" si="0"/>
        <v>8.9339063264707252E-4</v>
      </c>
      <c r="C50">
        <f t="shared" si="1"/>
        <v>-100</v>
      </c>
    </row>
    <row r="51" spans="1:3" x14ac:dyDescent="0.25">
      <c r="A51" s="1">
        <v>69.78</v>
      </c>
      <c r="B51">
        <f t="shared" si="0"/>
        <v>8.9732499420966351E-4</v>
      </c>
      <c r="C51">
        <f t="shared" si="1"/>
        <v>-100</v>
      </c>
    </row>
    <row r="52" spans="1:3" x14ac:dyDescent="0.25">
      <c r="A52" s="1">
        <v>70.3</v>
      </c>
      <c r="B52">
        <f t="shared" si="0"/>
        <v>9.0287159511357373E-4</v>
      </c>
      <c r="C52">
        <f t="shared" si="1"/>
        <v>-100</v>
      </c>
    </row>
    <row r="53" spans="1:3" x14ac:dyDescent="0.25">
      <c r="A53" s="1">
        <v>70.42</v>
      </c>
      <c r="B53">
        <f t="shared" si="0"/>
        <v>9.0415443431286432E-4</v>
      </c>
      <c r="C53">
        <f t="shared" si="1"/>
        <v>-100</v>
      </c>
    </row>
    <row r="54" spans="1:3" x14ac:dyDescent="0.25">
      <c r="A54" s="1">
        <v>71</v>
      </c>
      <c r="B54">
        <f t="shared" si="0"/>
        <v>9.1036988380948617E-4</v>
      </c>
      <c r="C54">
        <f t="shared" si="1"/>
        <v>-100</v>
      </c>
    </row>
    <row r="55" spans="1:3" x14ac:dyDescent="0.25">
      <c r="A55" s="1">
        <v>71.72</v>
      </c>
      <c r="B55">
        <f t="shared" si="0"/>
        <v>9.1812025289442721E-4</v>
      </c>
      <c r="C55">
        <f t="shared" si="1"/>
        <v>-100</v>
      </c>
    </row>
    <row r="56" spans="1:3" x14ac:dyDescent="0.25">
      <c r="A56" s="1">
        <v>71.95</v>
      </c>
      <c r="B56">
        <f t="shared" si="0"/>
        <v>9.2060413052895624E-4</v>
      </c>
      <c r="C56">
        <f t="shared" si="1"/>
        <v>-100</v>
      </c>
    </row>
    <row r="57" spans="1:3" x14ac:dyDescent="0.25">
      <c r="A57" s="1">
        <v>72.8</v>
      </c>
      <c r="B57">
        <f t="shared" si="0"/>
        <v>9.2981745810230402E-4</v>
      </c>
      <c r="C57">
        <f t="shared" si="1"/>
        <v>-100</v>
      </c>
    </row>
    <row r="58" spans="1:3" x14ac:dyDescent="0.25">
      <c r="A58" s="1">
        <v>73.19</v>
      </c>
      <c r="B58">
        <f t="shared" si="0"/>
        <v>9.3406249817778455E-4</v>
      </c>
      <c r="C58">
        <f t="shared" si="1"/>
        <v>-100</v>
      </c>
    </row>
    <row r="59" spans="1:3" x14ac:dyDescent="0.25">
      <c r="A59" s="1">
        <v>73.23</v>
      </c>
      <c r="B59">
        <f t="shared" si="0"/>
        <v>9.3449851669624598E-4</v>
      </c>
      <c r="C59">
        <f t="shared" si="1"/>
        <v>-100</v>
      </c>
    </row>
    <row r="60" spans="1:3" x14ac:dyDescent="0.25">
      <c r="A60" s="1">
        <v>73.319999999999993</v>
      </c>
      <c r="B60">
        <f t="shared" si="0"/>
        <v>9.3547998635763036E-4</v>
      </c>
      <c r="C60">
        <f t="shared" si="1"/>
        <v>-100</v>
      </c>
    </row>
    <row r="61" spans="1:3" x14ac:dyDescent="0.25">
      <c r="A61" s="1">
        <v>73.739999999999995</v>
      </c>
      <c r="B61">
        <f t="shared" si="0"/>
        <v>9.4006800567555959E-4</v>
      </c>
      <c r="C61">
        <f t="shared" si="1"/>
        <v>-100</v>
      </c>
    </row>
    <row r="62" spans="1:3" x14ac:dyDescent="0.25">
      <c r="A62" s="1">
        <v>74.09</v>
      </c>
      <c r="B62">
        <f t="shared" si="0"/>
        <v>9.4390118755822549E-4</v>
      </c>
      <c r="C62">
        <f t="shared" si="1"/>
        <v>-100</v>
      </c>
    </row>
    <row r="63" spans="1:3" x14ac:dyDescent="0.25">
      <c r="A63" s="1">
        <v>74.69</v>
      </c>
      <c r="B63">
        <f t="shared" si="0"/>
        <v>9.5049309781733416E-4</v>
      </c>
      <c r="C63">
        <f t="shared" si="1"/>
        <v>-100</v>
      </c>
    </row>
    <row r="64" spans="1:3" x14ac:dyDescent="0.25">
      <c r="A64" s="1">
        <v>75.27</v>
      </c>
      <c r="B64">
        <f t="shared" si="0"/>
        <v>9.5689010717685632E-4</v>
      </c>
      <c r="C64">
        <f t="shared" si="1"/>
        <v>-100</v>
      </c>
    </row>
    <row r="65" spans="1:3" x14ac:dyDescent="0.25">
      <c r="A65" s="1">
        <v>75.91</v>
      </c>
      <c r="B65">
        <f t="shared" si="0"/>
        <v>9.6397709924975553E-4</v>
      </c>
      <c r="C65">
        <f t="shared" si="1"/>
        <v>-100</v>
      </c>
    </row>
    <row r="66" spans="1:3" x14ac:dyDescent="0.25">
      <c r="A66" s="1">
        <v>76.27</v>
      </c>
      <c r="B66">
        <f t="shared" si="0"/>
        <v>9.6797650261193889E-4</v>
      </c>
      <c r="C66">
        <f t="shared" si="1"/>
        <v>-100</v>
      </c>
    </row>
    <row r="67" spans="1:3" x14ac:dyDescent="0.25">
      <c r="A67" s="1">
        <v>77.08</v>
      </c>
      <c r="B67">
        <f t="shared" si="0"/>
        <v>9.7700917368739241E-4</v>
      </c>
      <c r="C67">
        <f t="shared" si="1"/>
        <v>-100</v>
      </c>
    </row>
    <row r="68" spans="1:3" x14ac:dyDescent="0.25">
      <c r="A68" s="1">
        <v>77.650000000000006</v>
      </c>
      <c r="B68">
        <f t="shared" ref="B68:B131" si="2">_xlfn.NORM.DIST(A68,$B$1,$D$1,FALSE)</f>
        <v>9.8339362248901449E-4</v>
      </c>
      <c r="C68">
        <f t="shared" ref="C68:C131" si="3">IF(A68&gt;=$A$2,B68,-100)</f>
        <v>-100</v>
      </c>
    </row>
    <row r="69" spans="1:3" x14ac:dyDescent="0.25">
      <c r="A69" s="1">
        <v>78</v>
      </c>
      <c r="B69">
        <f t="shared" si="2"/>
        <v>9.8732536676622053E-4</v>
      </c>
      <c r="C69">
        <f t="shared" si="3"/>
        <v>-100</v>
      </c>
    </row>
    <row r="70" spans="1:3" x14ac:dyDescent="0.25">
      <c r="A70" s="1">
        <v>78.319999999999993</v>
      </c>
      <c r="B70">
        <f t="shared" si="2"/>
        <v>9.9092771912341181E-4</v>
      </c>
      <c r="C70">
        <f t="shared" si="3"/>
        <v>-100</v>
      </c>
    </row>
    <row r="71" spans="1:3" x14ac:dyDescent="0.25">
      <c r="A71" s="1">
        <v>78.64</v>
      </c>
      <c r="B71">
        <f t="shared" si="2"/>
        <v>9.9453732857024608E-4</v>
      </c>
      <c r="C71">
        <f t="shared" si="3"/>
        <v>-100</v>
      </c>
    </row>
    <row r="72" spans="1:3" x14ac:dyDescent="0.25">
      <c r="A72" s="1">
        <v>78.709999999999994</v>
      </c>
      <c r="B72">
        <f t="shared" si="2"/>
        <v>9.9532789640207633E-4</v>
      </c>
      <c r="C72">
        <f t="shared" si="3"/>
        <v>-100</v>
      </c>
    </row>
    <row r="73" spans="1:3" x14ac:dyDescent="0.25">
      <c r="A73" s="1">
        <v>78.900000000000006</v>
      </c>
      <c r="B73">
        <f t="shared" si="2"/>
        <v>9.9747546854979103E-4</v>
      </c>
      <c r="C73">
        <f t="shared" si="3"/>
        <v>-100</v>
      </c>
    </row>
    <row r="74" spans="1:3" x14ac:dyDescent="0.25">
      <c r="A74" s="1">
        <v>79</v>
      </c>
      <c r="B74">
        <f t="shared" si="2"/>
        <v>9.9860679329624204E-4</v>
      </c>
      <c r="C74">
        <f t="shared" si="3"/>
        <v>-100</v>
      </c>
    </row>
    <row r="75" spans="1:3" x14ac:dyDescent="0.25">
      <c r="A75" s="1">
        <v>79.099999999999994</v>
      </c>
      <c r="B75">
        <f t="shared" si="2"/>
        <v>9.9973882332485948E-4</v>
      </c>
      <c r="C75">
        <f t="shared" si="3"/>
        <v>-100</v>
      </c>
    </row>
    <row r="76" spans="1:3" x14ac:dyDescent="0.25">
      <c r="A76" s="1">
        <v>79.3</v>
      </c>
      <c r="B76">
        <f t="shared" si="2"/>
        <v>1.0020049971873441E-3</v>
      </c>
      <c r="C76">
        <f t="shared" si="3"/>
        <v>-100</v>
      </c>
    </row>
    <row r="77" spans="1:3" x14ac:dyDescent="0.25">
      <c r="A77" s="1">
        <v>79.430000000000007</v>
      </c>
      <c r="B77">
        <f t="shared" si="2"/>
        <v>1.0034795199924226E-3</v>
      </c>
      <c r="C77">
        <f t="shared" si="3"/>
        <v>-100</v>
      </c>
    </row>
    <row r="78" spans="1:3" x14ac:dyDescent="0.25">
      <c r="A78" s="1">
        <v>79.81</v>
      </c>
      <c r="B78">
        <f t="shared" si="2"/>
        <v>1.0077964722051724E-3</v>
      </c>
      <c r="C78">
        <f t="shared" si="3"/>
        <v>-100</v>
      </c>
    </row>
    <row r="79" spans="1:3" x14ac:dyDescent="0.25">
      <c r="A79" s="1">
        <v>80.17</v>
      </c>
      <c r="B79">
        <f t="shared" si="2"/>
        <v>1.0118955555042635E-3</v>
      </c>
      <c r="C79">
        <f t="shared" si="3"/>
        <v>-100</v>
      </c>
    </row>
    <row r="80" spans="1:3" x14ac:dyDescent="0.25">
      <c r="A80" s="1">
        <v>81.180000000000007</v>
      </c>
      <c r="B80">
        <f t="shared" si="2"/>
        <v>1.0234440555793685E-3</v>
      </c>
      <c r="C80">
        <f t="shared" si="3"/>
        <v>-100</v>
      </c>
    </row>
    <row r="81" spans="1:3" x14ac:dyDescent="0.25">
      <c r="A81" s="1">
        <v>81.23</v>
      </c>
      <c r="B81">
        <f t="shared" si="2"/>
        <v>1.0240176065735621E-3</v>
      </c>
      <c r="C81">
        <f t="shared" si="3"/>
        <v>-100</v>
      </c>
    </row>
    <row r="82" spans="1:3" x14ac:dyDescent="0.25">
      <c r="A82" s="1">
        <v>81.25</v>
      </c>
      <c r="B82">
        <f t="shared" si="2"/>
        <v>1.0242470755189221E-3</v>
      </c>
      <c r="C82">
        <f t="shared" si="3"/>
        <v>-100</v>
      </c>
    </row>
    <row r="83" spans="1:3" x14ac:dyDescent="0.25">
      <c r="A83" s="1">
        <v>81.91</v>
      </c>
      <c r="B83">
        <f t="shared" si="2"/>
        <v>1.0318350835602061E-3</v>
      </c>
      <c r="C83">
        <f t="shared" si="3"/>
        <v>-100</v>
      </c>
    </row>
    <row r="84" spans="1:3" x14ac:dyDescent="0.25">
      <c r="A84" s="1">
        <v>82.13</v>
      </c>
      <c r="B84">
        <f t="shared" si="2"/>
        <v>1.0343711038535148E-3</v>
      </c>
      <c r="C84">
        <f t="shared" si="3"/>
        <v>-100</v>
      </c>
    </row>
    <row r="85" spans="1:3" x14ac:dyDescent="0.25">
      <c r="A85" s="1">
        <v>82.37</v>
      </c>
      <c r="B85">
        <f t="shared" si="2"/>
        <v>1.0371414715657651E-3</v>
      </c>
      <c r="C85">
        <f t="shared" si="3"/>
        <v>-100</v>
      </c>
    </row>
    <row r="86" spans="1:3" x14ac:dyDescent="0.25">
      <c r="A86" s="1">
        <v>82.39</v>
      </c>
      <c r="B86">
        <f t="shared" si="2"/>
        <v>1.0373725142970632E-3</v>
      </c>
      <c r="C86">
        <f t="shared" si="3"/>
        <v>-100</v>
      </c>
    </row>
    <row r="87" spans="1:3" x14ac:dyDescent="0.25">
      <c r="A87" s="1">
        <v>83.21</v>
      </c>
      <c r="B87">
        <f t="shared" si="2"/>
        <v>1.046868873447856E-3</v>
      </c>
      <c r="C87">
        <f t="shared" si="3"/>
        <v>-100</v>
      </c>
    </row>
    <row r="88" spans="1:3" x14ac:dyDescent="0.25">
      <c r="A88" s="1">
        <v>83.33</v>
      </c>
      <c r="B88">
        <f t="shared" si="2"/>
        <v>1.0482624400863689E-3</v>
      </c>
      <c r="C88">
        <f t="shared" si="3"/>
        <v>-100</v>
      </c>
    </row>
    <row r="89" spans="1:3" x14ac:dyDescent="0.25">
      <c r="A89" s="1">
        <v>83.5</v>
      </c>
      <c r="B89">
        <f t="shared" si="2"/>
        <v>1.050238339259682E-3</v>
      </c>
      <c r="C89">
        <f t="shared" si="3"/>
        <v>-100</v>
      </c>
    </row>
    <row r="90" spans="1:3" x14ac:dyDescent="0.25">
      <c r="A90" s="1">
        <v>83.88</v>
      </c>
      <c r="B90">
        <f t="shared" si="2"/>
        <v>1.0546621624092738E-3</v>
      </c>
      <c r="C90">
        <f t="shared" si="3"/>
        <v>-100</v>
      </c>
    </row>
    <row r="91" spans="1:3" x14ac:dyDescent="0.25">
      <c r="A91" s="1">
        <v>84.15</v>
      </c>
      <c r="B91">
        <f t="shared" si="2"/>
        <v>1.0578113590434394E-3</v>
      </c>
      <c r="C91">
        <f t="shared" si="3"/>
        <v>-100</v>
      </c>
    </row>
    <row r="92" spans="1:3" x14ac:dyDescent="0.25">
      <c r="A92" s="1">
        <v>85.03</v>
      </c>
      <c r="B92">
        <f t="shared" si="2"/>
        <v>1.0681095841353861E-3</v>
      </c>
      <c r="C92">
        <f t="shared" si="3"/>
        <v>-100</v>
      </c>
    </row>
    <row r="93" spans="1:3" x14ac:dyDescent="0.25">
      <c r="A93" s="1">
        <v>85.52</v>
      </c>
      <c r="B93">
        <f t="shared" si="2"/>
        <v>1.0738663816853866E-3</v>
      </c>
      <c r="C93">
        <f t="shared" si="3"/>
        <v>-100</v>
      </c>
    </row>
    <row r="94" spans="1:3" x14ac:dyDescent="0.25">
      <c r="A94" s="1">
        <v>85.57</v>
      </c>
      <c r="B94">
        <f t="shared" si="2"/>
        <v>1.0744547133642065E-3</v>
      </c>
      <c r="C94">
        <f t="shared" si="3"/>
        <v>-100</v>
      </c>
    </row>
    <row r="95" spans="1:3" x14ac:dyDescent="0.25">
      <c r="A95" s="1">
        <v>85.61</v>
      </c>
      <c r="B95">
        <f t="shared" si="2"/>
        <v>1.0749254989369543E-3</v>
      </c>
      <c r="C95">
        <f t="shared" si="3"/>
        <v>-100</v>
      </c>
    </row>
    <row r="96" spans="1:3" x14ac:dyDescent="0.25">
      <c r="A96" s="1">
        <v>86.39</v>
      </c>
      <c r="B96">
        <f t="shared" si="2"/>
        <v>1.0841271197451151E-3</v>
      </c>
      <c r="C96">
        <f t="shared" si="3"/>
        <v>-100</v>
      </c>
    </row>
    <row r="97" spans="1:3" x14ac:dyDescent="0.25">
      <c r="A97" s="1">
        <v>86.63</v>
      </c>
      <c r="B97">
        <f t="shared" si="2"/>
        <v>1.086966513269438E-3</v>
      </c>
      <c r="C97">
        <f t="shared" si="3"/>
        <v>-100</v>
      </c>
    </row>
    <row r="98" spans="1:3" x14ac:dyDescent="0.25">
      <c r="A98" s="1">
        <v>87.03</v>
      </c>
      <c r="B98">
        <f t="shared" si="2"/>
        <v>1.0917072941045306E-3</v>
      </c>
      <c r="C98">
        <f t="shared" si="3"/>
        <v>-100</v>
      </c>
    </row>
    <row r="99" spans="1:3" x14ac:dyDescent="0.25">
      <c r="A99" s="1">
        <v>88.4</v>
      </c>
      <c r="B99">
        <f t="shared" si="2"/>
        <v>1.1080240536285515E-3</v>
      </c>
      <c r="C99">
        <f t="shared" si="3"/>
        <v>-100</v>
      </c>
    </row>
    <row r="100" spans="1:3" x14ac:dyDescent="0.25">
      <c r="A100" s="1">
        <v>88.78</v>
      </c>
      <c r="B100">
        <f t="shared" si="2"/>
        <v>1.1125715361228348E-3</v>
      </c>
      <c r="C100">
        <f t="shared" si="3"/>
        <v>-100</v>
      </c>
    </row>
    <row r="101" spans="1:3" x14ac:dyDescent="0.25">
      <c r="A101" s="1">
        <v>89.32</v>
      </c>
      <c r="B101">
        <f t="shared" si="2"/>
        <v>1.1190498049152733E-3</v>
      </c>
      <c r="C101">
        <f t="shared" si="3"/>
        <v>-100</v>
      </c>
    </row>
    <row r="102" spans="1:3" x14ac:dyDescent="0.25">
      <c r="A102" s="1">
        <v>89.6</v>
      </c>
      <c r="B102">
        <f t="shared" si="2"/>
        <v>1.1224162962182901E-3</v>
      </c>
      <c r="C102">
        <f t="shared" si="3"/>
        <v>-100</v>
      </c>
    </row>
    <row r="103" spans="1:3" x14ac:dyDescent="0.25">
      <c r="A103" s="1">
        <v>90.79</v>
      </c>
      <c r="B103">
        <f t="shared" si="2"/>
        <v>1.1367797674396857E-3</v>
      </c>
      <c r="C103">
        <f t="shared" si="3"/>
        <v>-100</v>
      </c>
    </row>
    <row r="104" spans="1:3" x14ac:dyDescent="0.25">
      <c r="A104" s="1">
        <v>91.24</v>
      </c>
      <c r="B104">
        <f t="shared" si="2"/>
        <v>1.1422347393561685E-3</v>
      </c>
      <c r="C104">
        <f t="shared" si="3"/>
        <v>-100</v>
      </c>
    </row>
    <row r="105" spans="1:3" x14ac:dyDescent="0.25">
      <c r="A105" s="1">
        <v>91.27</v>
      </c>
      <c r="B105">
        <f t="shared" si="2"/>
        <v>1.1425988579711662E-3</v>
      </c>
      <c r="C105">
        <f t="shared" si="3"/>
        <v>-100</v>
      </c>
    </row>
    <row r="106" spans="1:3" x14ac:dyDescent="0.25">
      <c r="A106" s="1">
        <v>91.34</v>
      </c>
      <c r="B106">
        <f t="shared" si="2"/>
        <v>1.1434486882097976E-3</v>
      </c>
      <c r="C106">
        <f t="shared" si="3"/>
        <v>-100</v>
      </c>
    </row>
    <row r="107" spans="1:3" x14ac:dyDescent="0.25">
      <c r="A107" s="1">
        <v>91.63</v>
      </c>
      <c r="B107">
        <f t="shared" si="2"/>
        <v>1.146972691669957E-3</v>
      </c>
      <c r="C107">
        <f t="shared" si="3"/>
        <v>-100</v>
      </c>
    </row>
    <row r="108" spans="1:3" x14ac:dyDescent="0.25">
      <c r="A108" s="1">
        <v>92.43</v>
      </c>
      <c r="B108">
        <f t="shared" si="2"/>
        <v>1.1567213363898481E-3</v>
      </c>
      <c r="C108">
        <f t="shared" si="3"/>
        <v>-100</v>
      </c>
    </row>
    <row r="109" spans="1:3" x14ac:dyDescent="0.25">
      <c r="A109" s="1">
        <v>92.97</v>
      </c>
      <c r="B109">
        <f t="shared" si="2"/>
        <v>1.1633241414459585E-3</v>
      </c>
      <c r="C109">
        <f t="shared" si="3"/>
        <v>-100</v>
      </c>
    </row>
    <row r="110" spans="1:3" x14ac:dyDescent="0.25">
      <c r="A110" s="1">
        <v>93.29</v>
      </c>
      <c r="B110">
        <f t="shared" si="2"/>
        <v>1.167245402743553E-3</v>
      </c>
      <c r="C110">
        <f t="shared" si="3"/>
        <v>-100</v>
      </c>
    </row>
    <row r="111" spans="1:3" x14ac:dyDescent="0.25">
      <c r="A111" s="1">
        <v>93.52</v>
      </c>
      <c r="B111">
        <f t="shared" si="2"/>
        <v>1.1700676932553833E-3</v>
      </c>
      <c r="C111">
        <f t="shared" si="3"/>
        <v>-100</v>
      </c>
    </row>
    <row r="112" spans="1:3" x14ac:dyDescent="0.25">
      <c r="A112" s="1">
        <v>96.18</v>
      </c>
      <c r="B112">
        <f t="shared" si="2"/>
        <v>1.2029408920409481E-3</v>
      </c>
      <c r="C112">
        <f t="shared" si="3"/>
        <v>-100</v>
      </c>
    </row>
    <row r="113" spans="1:3" x14ac:dyDescent="0.25">
      <c r="A113" s="1">
        <v>96.52</v>
      </c>
      <c r="B113">
        <f t="shared" si="2"/>
        <v>1.2071731771698079E-3</v>
      </c>
      <c r="C113">
        <f t="shared" si="3"/>
        <v>-100</v>
      </c>
    </row>
    <row r="114" spans="1:3" x14ac:dyDescent="0.25">
      <c r="A114" s="1">
        <v>96.68</v>
      </c>
      <c r="B114">
        <f t="shared" si="2"/>
        <v>1.2091671943277311E-3</v>
      </c>
      <c r="C114">
        <f t="shared" si="3"/>
        <v>-100</v>
      </c>
    </row>
    <row r="115" spans="1:3" x14ac:dyDescent="0.25">
      <c r="A115" s="1">
        <v>96.86</v>
      </c>
      <c r="B115">
        <f t="shared" si="2"/>
        <v>1.2114122583238404E-3</v>
      </c>
      <c r="C115">
        <f t="shared" si="3"/>
        <v>-100</v>
      </c>
    </row>
    <row r="116" spans="1:3" x14ac:dyDescent="0.25">
      <c r="A116" s="1">
        <v>97.97</v>
      </c>
      <c r="B116">
        <f t="shared" si="2"/>
        <v>1.2252985186038867E-3</v>
      </c>
      <c r="C116">
        <f t="shared" si="3"/>
        <v>-100</v>
      </c>
    </row>
    <row r="117" spans="1:3" x14ac:dyDescent="0.25">
      <c r="A117" s="1">
        <v>98.02</v>
      </c>
      <c r="B117">
        <f t="shared" si="2"/>
        <v>1.2259257038606012E-3</v>
      </c>
      <c r="C117">
        <f t="shared" si="3"/>
        <v>-100</v>
      </c>
    </row>
    <row r="118" spans="1:3" x14ac:dyDescent="0.25">
      <c r="A118" s="1">
        <v>98.63</v>
      </c>
      <c r="B118">
        <f t="shared" si="2"/>
        <v>1.2335889098841755E-3</v>
      </c>
      <c r="C118">
        <f t="shared" si="3"/>
        <v>-100</v>
      </c>
    </row>
    <row r="119" spans="1:3" x14ac:dyDescent="0.25">
      <c r="A119" s="1">
        <v>98.97</v>
      </c>
      <c r="B119">
        <f t="shared" si="2"/>
        <v>1.2378694213757537E-3</v>
      </c>
      <c r="C119">
        <f t="shared" si="3"/>
        <v>-100</v>
      </c>
    </row>
    <row r="120" spans="1:3" x14ac:dyDescent="0.25">
      <c r="A120" s="1">
        <v>100.32</v>
      </c>
      <c r="B120">
        <f t="shared" si="2"/>
        <v>1.2549298997805566E-3</v>
      </c>
      <c r="C120">
        <f t="shared" si="3"/>
        <v>-100</v>
      </c>
    </row>
    <row r="121" spans="1:3" x14ac:dyDescent="0.25">
      <c r="A121" s="1">
        <v>101.29</v>
      </c>
      <c r="B121">
        <f t="shared" si="2"/>
        <v>1.267250729347896E-3</v>
      </c>
      <c r="C121">
        <f t="shared" si="3"/>
        <v>-100</v>
      </c>
    </row>
    <row r="122" spans="1:3" x14ac:dyDescent="0.25">
      <c r="A122" s="1">
        <v>101.31</v>
      </c>
      <c r="B122">
        <f t="shared" si="2"/>
        <v>1.2675053104910612E-3</v>
      </c>
      <c r="C122">
        <f t="shared" si="3"/>
        <v>-100</v>
      </c>
    </row>
    <row r="123" spans="1:3" x14ac:dyDescent="0.25">
      <c r="A123" s="1">
        <v>101.7</v>
      </c>
      <c r="B123">
        <f t="shared" si="2"/>
        <v>1.272473997459473E-3</v>
      </c>
      <c r="C123">
        <f t="shared" si="3"/>
        <v>-100</v>
      </c>
    </row>
    <row r="124" spans="1:3" x14ac:dyDescent="0.25">
      <c r="A124" s="1">
        <v>102.09</v>
      </c>
      <c r="B124">
        <f t="shared" si="2"/>
        <v>1.2774509312637595E-3</v>
      </c>
      <c r="C124">
        <f t="shared" si="3"/>
        <v>-100</v>
      </c>
    </row>
    <row r="125" spans="1:3" x14ac:dyDescent="0.25">
      <c r="A125" s="1">
        <v>102.73</v>
      </c>
      <c r="B125">
        <f t="shared" si="2"/>
        <v>1.2856359321556979E-3</v>
      </c>
      <c r="C125">
        <f t="shared" si="3"/>
        <v>-100</v>
      </c>
    </row>
    <row r="126" spans="1:3" x14ac:dyDescent="0.25">
      <c r="A126" s="1">
        <v>102.91</v>
      </c>
      <c r="B126">
        <f t="shared" si="2"/>
        <v>1.2879419043312498E-3</v>
      </c>
      <c r="C126">
        <f t="shared" si="3"/>
        <v>-100</v>
      </c>
    </row>
    <row r="127" spans="1:3" x14ac:dyDescent="0.25">
      <c r="A127" s="1">
        <v>102.96</v>
      </c>
      <c r="B127">
        <f t="shared" si="2"/>
        <v>1.2885827576064037E-3</v>
      </c>
      <c r="C127">
        <f t="shared" si="3"/>
        <v>-100</v>
      </c>
    </row>
    <row r="128" spans="1:3" x14ac:dyDescent="0.25">
      <c r="A128" s="1">
        <v>103.4</v>
      </c>
      <c r="B128">
        <f t="shared" si="2"/>
        <v>1.2942279699329788E-3</v>
      </c>
      <c r="C128">
        <f t="shared" si="3"/>
        <v>-100</v>
      </c>
    </row>
    <row r="129" spans="1:3" x14ac:dyDescent="0.25">
      <c r="A129" s="1">
        <v>104.74</v>
      </c>
      <c r="B129">
        <f t="shared" si="2"/>
        <v>1.3114826042211832E-3</v>
      </c>
      <c r="C129">
        <f t="shared" si="3"/>
        <v>-100</v>
      </c>
    </row>
    <row r="130" spans="1:3" x14ac:dyDescent="0.25">
      <c r="A130" s="1">
        <v>105.29</v>
      </c>
      <c r="B130">
        <f t="shared" si="2"/>
        <v>1.3185915297375358E-3</v>
      </c>
      <c r="C130">
        <f t="shared" si="3"/>
        <v>-100</v>
      </c>
    </row>
    <row r="131" spans="1:3" x14ac:dyDescent="0.25">
      <c r="A131" s="1">
        <v>105.64</v>
      </c>
      <c r="B131">
        <f t="shared" si="2"/>
        <v>1.3231233963047571E-3</v>
      </c>
      <c r="C131">
        <f t="shared" si="3"/>
        <v>-100</v>
      </c>
    </row>
    <row r="132" spans="1:3" x14ac:dyDescent="0.25">
      <c r="A132" s="1">
        <v>105.76</v>
      </c>
      <c r="B132">
        <f t="shared" ref="B132:B195" si="4">_xlfn.NORM.DIST(A132,$B$1,$D$1,FALSE)</f>
        <v>1.3246786028036093E-3</v>
      </c>
      <c r="C132">
        <f t="shared" ref="C132:C195" si="5">IF(A132&gt;=$A$2,B132,-100)</f>
        <v>-100</v>
      </c>
    </row>
    <row r="133" spans="1:3" x14ac:dyDescent="0.25">
      <c r="A133" s="1">
        <v>105.87</v>
      </c>
      <c r="B133">
        <f t="shared" si="4"/>
        <v>1.3261048449396476E-3</v>
      </c>
      <c r="C133">
        <f t="shared" si="5"/>
        <v>-100</v>
      </c>
    </row>
    <row r="134" spans="1:3" x14ac:dyDescent="0.25">
      <c r="A134" s="1">
        <v>105.95</v>
      </c>
      <c r="B134">
        <f t="shared" si="4"/>
        <v>1.3271424933667937E-3</v>
      </c>
      <c r="C134">
        <f t="shared" si="5"/>
        <v>-100</v>
      </c>
    </row>
    <row r="135" spans="1:3" x14ac:dyDescent="0.25">
      <c r="A135" s="1">
        <v>106.15</v>
      </c>
      <c r="B135">
        <f t="shared" si="4"/>
        <v>1.329738015987905E-3</v>
      </c>
      <c r="C135">
        <f t="shared" si="5"/>
        <v>-100</v>
      </c>
    </row>
    <row r="136" spans="1:3" x14ac:dyDescent="0.25">
      <c r="A136" s="1">
        <v>106.69</v>
      </c>
      <c r="B136">
        <f t="shared" si="4"/>
        <v>1.3367558727744946E-3</v>
      </c>
      <c r="C136">
        <f t="shared" si="5"/>
        <v>-100</v>
      </c>
    </row>
    <row r="137" spans="1:3" x14ac:dyDescent="0.25">
      <c r="A137" s="1">
        <v>106.96</v>
      </c>
      <c r="B137">
        <f t="shared" si="4"/>
        <v>1.340270206913657E-3</v>
      </c>
      <c r="C137">
        <f t="shared" si="5"/>
        <v>-100</v>
      </c>
    </row>
    <row r="138" spans="1:3" x14ac:dyDescent="0.25">
      <c r="A138" s="1">
        <v>107.21</v>
      </c>
      <c r="B138">
        <f t="shared" si="4"/>
        <v>1.3435274097603552E-3</v>
      </c>
      <c r="C138">
        <f t="shared" si="5"/>
        <v>-100</v>
      </c>
    </row>
    <row r="139" spans="1:3" x14ac:dyDescent="0.25">
      <c r="A139" s="1">
        <v>107.82</v>
      </c>
      <c r="B139">
        <f t="shared" si="4"/>
        <v>1.3514877545771243E-3</v>
      </c>
      <c r="C139">
        <f t="shared" si="5"/>
        <v>-100</v>
      </c>
    </row>
    <row r="140" spans="1:3" x14ac:dyDescent="0.25">
      <c r="A140" s="1">
        <v>108.5</v>
      </c>
      <c r="B140">
        <f t="shared" si="4"/>
        <v>1.3603827001228905E-3</v>
      </c>
      <c r="C140">
        <f t="shared" si="5"/>
        <v>-100</v>
      </c>
    </row>
    <row r="141" spans="1:3" x14ac:dyDescent="0.25">
      <c r="A141" s="1">
        <v>108.61</v>
      </c>
      <c r="B141">
        <f t="shared" si="4"/>
        <v>1.3618236592243961E-3</v>
      </c>
      <c r="C141">
        <f t="shared" si="5"/>
        <v>-100</v>
      </c>
    </row>
    <row r="142" spans="1:3" x14ac:dyDescent="0.25">
      <c r="A142" s="1">
        <v>109.29</v>
      </c>
      <c r="B142">
        <f t="shared" si="4"/>
        <v>1.3707440687619778E-3</v>
      </c>
      <c r="C142">
        <f t="shared" si="5"/>
        <v>-100</v>
      </c>
    </row>
    <row r="143" spans="1:3" x14ac:dyDescent="0.25">
      <c r="A143" s="1">
        <v>109.88</v>
      </c>
      <c r="B143">
        <f t="shared" si="4"/>
        <v>1.3785013136578116E-3</v>
      </c>
      <c r="C143">
        <f t="shared" si="5"/>
        <v>-100</v>
      </c>
    </row>
    <row r="144" spans="1:3" x14ac:dyDescent="0.25">
      <c r="A144" s="1">
        <v>109.97</v>
      </c>
      <c r="B144">
        <f t="shared" si="4"/>
        <v>1.3796860348187728E-3</v>
      </c>
      <c r="C144">
        <f t="shared" si="5"/>
        <v>-100</v>
      </c>
    </row>
    <row r="145" spans="1:3" x14ac:dyDescent="0.25">
      <c r="A145" s="1">
        <v>110.4</v>
      </c>
      <c r="B145">
        <f t="shared" si="4"/>
        <v>1.3853514856066317E-3</v>
      </c>
      <c r="C145">
        <f t="shared" si="5"/>
        <v>-100</v>
      </c>
    </row>
    <row r="146" spans="1:3" x14ac:dyDescent="0.25">
      <c r="A146" s="1">
        <v>111.24</v>
      </c>
      <c r="B146">
        <f t="shared" si="4"/>
        <v>1.3964430241404883E-3</v>
      </c>
      <c r="C146">
        <f t="shared" si="5"/>
        <v>-100</v>
      </c>
    </row>
    <row r="147" spans="1:3" x14ac:dyDescent="0.25">
      <c r="A147" s="1">
        <v>111.27</v>
      </c>
      <c r="B147">
        <f t="shared" si="4"/>
        <v>1.3968397350645732E-3</v>
      </c>
      <c r="C147">
        <f t="shared" si="5"/>
        <v>-100</v>
      </c>
    </row>
    <row r="148" spans="1:3" x14ac:dyDescent="0.25">
      <c r="A148" s="1">
        <v>111.7</v>
      </c>
      <c r="B148">
        <f t="shared" si="4"/>
        <v>1.4025303076129474E-3</v>
      </c>
      <c r="C148">
        <f t="shared" si="5"/>
        <v>-100</v>
      </c>
    </row>
    <row r="149" spans="1:3" x14ac:dyDescent="0.25">
      <c r="A149" s="1">
        <v>111.75</v>
      </c>
      <c r="B149">
        <f t="shared" si="4"/>
        <v>1.4031925315930226E-3</v>
      </c>
      <c r="C149">
        <f t="shared" si="5"/>
        <v>-100</v>
      </c>
    </row>
    <row r="150" spans="1:3" x14ac:dyDescent="0.25">
      <c r="A150" s="1">
        <v>112.55</v>
      </c>
      <c r="B150">
        <f t="shared" si="4"/>
        <v>1.4138029555595456E-3</v>
      </c>
      <c r="C150">
        <f t="shared" si="5"/>
        <v>-100</v>
      </c>
    </row>
    <row r="151" spans="1:3" x14ac:dyDescent="0.25">
      <c r="A151" s="1">
        <v>112.69</v>
      </c>
      <c r="B151">
        <f t="shared" si="4"/>
        <v>1.4156626273745456E-3</v>
      </c>
      <c r="C151">
        <f t="shared" si="5"/>
        <v>-100</v>
      </c>
    </row>
    <row r="152" spans="1:3" x14ac:dyDescent="0.25">
      <c r="A152" s="1">
        <v>113.01</v>
      </c>
      <c r="B152">
        <f t="shared" si="4"/>
        <v>1.4199164560551229E-3</v>
      </c>
      <c r="C152">
        <f t="shared" si="5"/>
        <v>-100</v>
      </c>
    </row>
    <row r="153" spans="1:3" x14ac:dyDescent="0.25">
      <c r="A153" s="1">
        <v>113.51</v>
      </c>
      <c r="B153">
        <f t="shared" si="4"/>
        <v>1.4265717631737624E-3</v>
      </c>
      <c r="C153">
        <f t="shared" si="5"/>
        <v>-100</v>
      </c>
    </row>
    <row r="154" spans="1:3" x14ac:dyDescent="0.25">
      <c r="A154" s="1">
        <v>113.57</v>
      </c>
      <c r="B154">
        <f t="shared" si="4"/>
        <v>1.4273711073565314E-3</v>
      </c>
      <c r="C154">
        <f t="shared" si="5"/>
        <v>-100</v>
      </c>
    </row>
    <row r="155" spans="1:3" x14ac:dyDescent="0.25">
      <c r="A155" s="1">
        <v>113.88</v>
      </c>
      <c r="B155">
        <f t="shared" si="4"/>
        <v>1.4315034478079435E-3</v>
      </c>
      <c r="C155">
        <f t="shared" si="5"/>
        <v>-100</v>
      </c>
    </row>
    <row r="156" spans="1:3" x14ac:dyDescent="0.25">
      <c r="A156" s="1">
        <v>114.03</v>
      </c>
      <c r="B156">
        <f t="shared" si="4"/>
        <v>1.4335044015520832E-3</v>
      </c>
      <c r="C156">
        <f t="shared" si="5"/>
        <v>-100</v>
      </c>
    </row>
    <row r="157" spans="1:3" x14ac:dyDescent="0.25">
      <c r="A157" s="1">
        <v>114.44</v>
      </c>
      <c r="B157">
        <f t="shared" si="4"/>
        <v>1.4389784088628319E-3</v>
      </c>
      <c r="C157">
        <f t="shared" si="5"/>
        <v>-100</v>
      </c>
    </row>
    <row r="158" spans="1:3" x14ac:dyDescent="0.25">
      <c r="A158" s="1">
        <v>114.93</v>
      </c>
      <c r="B158">
        <f t="shared" si="4"/>
        <v>1.4455295176658259E-3</v>
      </c>
      <c r="C158">
        <f t="shared" si="5"/>
        <v>-100</v>
      </c>
    </row>
    <row r="159" spans="1:3" x14ac:dyDescent="0.25">
      <c r="A159" s="1">
        <v>116.14</v>
      </c>
      <c r="B159">
        <f t="shared" si="4"/>
        <v>1.4617478882832987E-3</v>
      </c>
      <c r="C159">
        <f t="shared" si="5"/>
        <v>-100</v>
      </c>
    </row>
    <row r="160" spans="1:3" x14ac:dyDescent="0.25">
      <c r="A160" s="1">
        <v>116.92</v>
      </c>
      <c r="B160">
        <f t="shared" si="4"/>
        <v>1.4722329909661034E-3</v>
      </c>
      <c r="C160">
        <f t="shared" si="5"/>
        <v>-100</v>
      </c>
    </row>
    <row r="161" spans="1:3" x14ac:dyDescent="0.25">
      <c r="A161" s="1">
        <v>117.03</v>
      </c>
      <c r="B161">
        <f t="shared" si="4"/>
        <v>1.4737135284108433E-3</v>
      </c>
      <c r="C161">
        <f t="shared" si="5"/>
        <v>-100</v>
      </c>
    </row>
    <row r="162" spans="1:3" x14ac:dyDescent="0.25">
      <c r="A162" s="1">
        <v>117.13</v>
      </c>
      <c r="B162">
        <f t="shared" si="4"/>
        <v>1.4750598682942357E-3</v>
      </c>
      <c r="C162">
        <f t="shared" si="5"/>
        <v>-100</v>
      </c>
    </row>
    <row r="163" spans="1:3" x14ac:dyDescent="0.25">
      <c r="A163" s="1">
        <v>118.65</v>
      </c>
      <c r="B163">
        <f t="shared" si="4"/>
        <v>1.4955698916508061E-3</v>
      </c>
      <c r="C163">
        <f t="shared" si="5"/>
        <v>-100</v>
      </c>
    </row>
    <row r="164" spans="1:3" x14ac:dyDescent="0.25">
      <c r="A164" s="1">
        <v>119.51</v>
      </c>
      <c r="B164">
        <f t="shared" si="4"/>
        <v>1.5072111580261662E-3</v>
      </c>
      <c r="C164">
        <f t="shared" si="5"/>
        <v>-100</v>
      </c>
    </row>
    <row r="165" spans="1:3" x14ac:dyDescent="0.25">
      <c r="A165" s="1">
        <v>120.56</v>
      </c>
      <c r="B165">
        <f t="shared" si="4"/>
        <v>1.5214590711858818E-3</v>
      </c>
      <c r="C165">
        <f t="shared" si="5"/>
        <v>-100</v>
      </c>
    </row>
    <row r="166" spans="1:3" x14ac:dyDescent="0.25">
      <c r="A166" s="1">
        <v>121.57</v>
      </c>
      <c r="B166">
        <f t="shared" si="4"/>
        <v>1.5351989667615382E-3</v>
      </c>
      <c r="C166">
        <f t="shared" si="5"/>
        <v>-100</v>
      </c>
    </row>
    <row r="167" spans="1:3" x14ac:dyDescent="0.25">
      <c r="A167" s="1">
        <v>121.7</v>
      </c>
      <c r="B167">
        <f t="shared" si="4"/>
        <v>1.5369698750282794E-3</v>
      </c>
      <c r="C167">
        <f t="shared" si="5"/>
        <v>-100</v>
      </c>
    </row>
    <row r="168" spans="1:3" x14ac:dyDescent="0.25">
      <c r="A168" s="1">
        <v>122.46</v>
      </c>
      <c r="B168">
        <f t="shared" si="4"/>
        <v>1.5473335860907616E-3</v>
      </c>
      <c r="C168">
        <f t="shared" si="5"/>
        <v>-100</v>
      </c>
    </row>
    <row r="169" spans="1:3" x14ac:dyDescent="0.25">
      <c r="A169" s="1">
        <v>122.55</v>
      </c>
      <c r="B169">
        <f t="shared" si="4"/>
        <v>1.5485620626052145E-3</v>
      </c>
      <c r="C169">
        <f t="shared" si="5"/>
        <v>-100</v>
      </c>
    </row>
    <row r="170" spans="1:3" x14ac:dyDescent="0.25">
      <c r="A170" s="1">
        <v>122.58</v>
      </c>
      <c r="B170">
        <f t="shared" si="4"/>
        <v>1.5489716103215386E-3</v>
      </c>
      <c r="C170">
        <f t="shared" si="5"/>
        <v>-100</v>
      </c>
    </row>
    <row r="171" spans="1:3" x14ac:dyDescent="0.25">
      <c r="A171" s="1">
        <v>122.99</v>
      </c>
      <c r="B171">
        <f t="shared" si="4"/>
        <v>1.5545715250167465E-3</v>
      </c>
      <c r="C171">
        <f t="shared" si="5"/>
        <v>-100</v>
      </c>
    </row>
    <row r="172" spans="1:3" x14ac:dyDescent="0.25">
      <c r="A172" s="1">
        <v>123.7</v>
      </c>
      <c r="B172">
        <f t="shared" si="4"/>
        <v>1.5642809155047459E-3</v>
      </c>
      <c r="C172">
        <f t="shared" si="5"/>
        <v>-100</v>
      </c>
    </row>
    <row r="173" spans="1:3" x14ac:dyDescent="0.25">
      <c r="A173" s="1">
        <v>123.73</v>
      </c>
      <c r="B173">
        <f t="shared" si="4"/>
        <v>1.5646915002071023E-3</v>
      </c>
      <c r="C173">
        <f t="shared" si="5"/>
        <v>-100</v>
      </c>
    </row>
    <row r="174" spans="1:3" x14ac:dyDescent="0.25">
      <c r="A174" s="1">
        <v>124.17</v>
      </c>
      <c r="B174">
        <f t="shared" si="4"/>
        <v>1.5707164178600586E-3</v>
      </c>
      <c r="C174">
        <f t="shared" si="5"/>
        <v>-100</v>
      </c>
    </row>
    <row r="175" spans="1:3" x14ac:dyDescent="0.25">
      <c r="A175" s="1">
        <v>125.68</v>
      </c>
      <c r="B175">
        <f t="shared" si="4"/>
        <v>1.5914343806032957E-3</v>
      </c>
      <c r="C175">
        <f t="shared" si="5"/>
        <v>-100</v>
      </c>
    </row>
    <row r="176" spans="1:3" x14ac:dyDescent="0.25">
      <c r="A176" s="1">
        <v>125.8</v>
      </c>
      <c r="B176">
        <f t="shared" si="4"/>
        <v>1.5930835099966119E-3</v>
      </c>
      <c r="C176">
        <f t="shared" si="5"/>
        <v>-100</v>
      </c>
    </row>
    <row r="177" spans="1:3" x14ac:dyDescent="0.25">
      <c r="A177" s="1">
        <v>125.89</v>
      </c>
      <c r="B177">
        <f t="shared" si="4"/>
        <v>1.5943206075813864E-3</v>
      </c>
      <c r="C177">
        <f t="shared" si="5"/>
        <v>-100</v>
      </c>
    </row>
    <row r="178" spans="1:3" x14ac:dyDescent="0.25">
      <c r="A178" s="1">
        <v>126.26</v>
      </c>
      <c r="B178">
        <f t="shared" si="4"/>
        <v>1.5994086869829628E-3</v>
      </c>
      <c r="C178">
        <f t="shared" si="5"/>
        <v>-100</v>
      </c>
    </row>
    <row r="179" spans="1:3" x14ac:dyDescent="0.25">
      <c r="A179" s="1">
        <v>127.18</v>
      </c>
      <c r="B179">
        <f t="shared" si="4"/>
        <v>1.6120753302717491E-3</v>
      </c>
      <c r="C179">
        <f t="shared" si="5"/>
        <v>-100</v>
      </c>
    </row>
    <row r="180" spans="1:3" x14ac:dyDescent="0.25">
      <c r="A180" s="1">
        <v>127.66</v>
      </c>
      <c r="B180">
        <f t="shared" si="4"/>
        <v>1.6186923491768904E-3</v>
      </c>
      <c r="C180">
        <f t="shared" si="5"/>
        <v>-100</v>
      </c>
    </row>
    <row r="181" spans="1:3" x14ac:dyDescent="0.25">
      <c r="A181" s="1">
        <v>128.01</v>
      </c>
      <c r="B181">
        <f t="shared" si="4"/>
        <v>1.6235207448615885E-3</v>
      </c>
      <c r="C181">
        <f t="shared" si="5"/>
        <v>-100</v>
      </c>
    </row>
    <row r="182" spans="1:3" x14ac:dyDescent="0.25">
      <c r="A182" s="1">
        <v>128.74</v>
      </c>
      <c r="B182">
        <f t="shared" si="4"/>
        <v>1.6336005739313135E-3</v>
      </c>
      <c r="C182">
        <f t="shared" si="5"/>
        <v>-100</v>
      </c>
    </row>
    <row r="183" spans="1:3" x14ac:dyDescent="0.25">
      <c r="A183" s="1">
        <v>129.1</v>
      </c>
      <c r="B183">
        <f t="shared" si="4"/>
        <v>1.638575883190288E-3</v>
      </c>
      <c r="C183">
        <f t="shared" si="5"/>
        <v>-100</v>
      </c>
    </row>
    <row r="184" spans="1:3" x14ac:dyDescent="0.25">
      <c r="A184" s="1">
        <v>129.63999999999999</v>
      </c>
      <c r="B184">
        <f t="shared" si="4"/>
        <v>1.6460441534303272E-3</v>
      </c>
      <c r="C184">
        <f t="shared" si="5"/>
        <v>-100</v>
      </c>
    </row>
    <row r="185" spans="1:3" x14ac:dyDescent="0.25">
      <c r="A185" s="1">
        <v>129.82</v>
      </c>
      <c r="B185">
        <f t="shared" si="4"/>
        <v>1.6485349588225447E-3</v>
      </c>
      <c r="C185">
        <f t="shared" si="5"/>
        <v>-100</v>
      </c>
    </row>
    <row r="186" spans="1:3" x14ac:dyDescent="0.25">
      <c r="A186" s="1">
        <v>130.84</v>
      </c>
      <c r="B186">
        <f t="shared" si="4"/>
        <v>1.6626620689602783E-3</v>
      </c>
      <c r="C186">
        <f t="shared" si="5"/>
        <v>-100</v>
      </c>
    </row>
    <row r="187" spans="1:3" x14ac:dyDescent="0.25">
      <c r="A187" s="1">
        <v>130.91999999999999</v>
      </c>
      <c r="B187">
        <f t="shared" si="4"/>
        <v>1.663770952734031E-3</v>
      </c>
      <c r="C187">
        <f t="shared" si="5"/>
        <v>-100</v>
      </c>
    </row>
    <row r="188" spans="1:3" x14ac:dyDescent="0.25">
      <c r="A188" s="1">
        <v>131.36000000000001</v>
      </c>
      <c r="B188">
        <f t="shared" si="4"/>
        <v>1.6698720043606212E-3</v>
      </c>
      <c r="C188">
        <f t="shared" si="5"/>
        <v>-100</v>
      </c>
    </row>
    <row r="189" spans="1:3" x14ac:dyDescent="0.25">
      <c r="A189" s="1">
        <v>131.47999999999999</v>
      </c>
      <c r="B189">
        <f t="shared" si="4"/>
        <v>1.6715365606466068E-3</v>
      </c>
      <c r="C189">
        <f t="shared" si="5"/>
        <v>-100</v>
      </c>
    </row>
    <row r="190" spans="1:3" x14ac:dyDescent="0.25">
      <c r="A190" s="1">
        <v>131.85</v>
      </c>
      <c r="B190">
        <f t="shared" si="4"/>
        <v>1.6766706099061255E-3</v>
      </c>
      <c r="C190">
        <f t="shared" si="5"/>
        <v>-100</v>
      </c>
    </row>
    <row r="191" spans="1:3" x14ac:dyDescent="0.25">
      <c r="A191" s="1">
        <v>131.9</v>
      </c>
      <c r="B191">
        <f t="shared" si="4"/>
        <v>1.6773645907338275E-3</v>
      </c>
      <c r="C191">
        <f t="shared" si="5"/>
        <v>-100</v>
      </c>
    </row>
    <row r="192" spans="1:3" x14ac:dyDescent="0.25">
      <c r="A192" s="1">
        <v>132.52000000000001</v>
      </c>
      <c r="B192">
        <f t="shared" si="4"/>
        <v>1.6859736141333576E-3</v>
      </c>
      <c r="C192">
        <f t="shared" si="5"/>
        <v>-100</v>
      </c>
    </row>
    <row r="193" spans="1:3" x14ac:dyDescent="0.25">
      <c r="A193" s="1">
        <v>132.66999999999999</v>
      </c>
      <c r="B193">
        <f t="shared" si="4"/>
        <v>1.6880574372676656E-3</v>
      </c>
      <c r="C193">
        <f t="shared" si="5"/>
        <v>-100</v>
      </c>
    </row>
    <row r="194" spans="1:3" x14ac:dyDescent="0.25">
      <c r="A194" s="1">
        <v>133.04</v>
      </c>
      <c r="B194">
        <f t="shared" si="4"/>
        <v>1.6931991380365302E-3</v>
      </c>
      <c r="C194">
        <f t="shared" si="5"/>
        <v>-100</v>
      </c>
    </row>
    <row r="195" spans="1:3" x14ac:dyDescent="0.25">
      <c r="A195" s="1">
        <v>135.65</v>
      </c>
      <c r="B195">
        <f t="shared" si="4"/>
        <v>1.7295277986724934E-3</v>
      </c>
      <c r="C195">
        <f t="shared" si="5"/>
        <v>-100</v>
      </c>
    </row>
    <row r="196" spans="1:3" x14ac:dyDescent="0.25">
      <c r="A196" s="1">
        <v>135.80000000000001</v>
      </c>
      <c r="B196">
        <f t="shared" ref="B196:B259" si="6">_xlfn.NORM.DIST(A196,$B$1,$D$1,FALSE)</f>
        <v>1.7316184617033928E-3</v>
      </c>
      <c r="C196">
        <f t="shared" ref="C196:C259" si="7">IF(A196&gt;=$A$2,B196,-100)</f>
        <v>-100</v>
      </c>
    </row>
    <row r="197" spans="1:3" x14ac:dyDescent="0.25">
      <c r="A197" s="1">
        <v>136.1</v>
      </c>
      <c r="B197">
        <f t="shared" si="6"/>
        <v>1.7358006001544266E-3</v>
      </c>
      <c r="C197">
        <f t="shared" si="7"/>
        <v>-100</v>
      </c>
    </row>
    <row r="198" spans="1:3" x14ac:dyDescent="0.25">
      <c r="A198" s="1">
        <v>136.19999999999999</v>
      </c>
      <c r="B198">
        <f t="shared" si="6"/>
        <v>1.7371948814547886E-3</v>
      </c>
      <c r="C198">
        <f t="shared" si="7"/>
        <v>-100</v>
      </c>
    </row>
    <row r="199" spans="1:3" x14ac:dyDescent="0.25">
      <c r="A199" s="1">
        <v>136.53</v>
      </c>
      <c r="B199">
        <f t="shared" si="6"/>
        <v>1.7417968177172486E-3</v>
      </c>
      <c r="C199">
        <f t="shared" si="7"/>
        <v>-100</v>
      </c>
    </row>
    <row r="200" spans="1:3" x14ac:dyDescent="0.25">
      <c r="A200" s="1">
        <v>136.66999999999999</v>
      </c>
      <c r="B200">
        <f t="shared" si="6"/>
        <v>1.7437495194611871E-3</v>
      </c>
      <c r="C200">
        <f t="shared" si="7"/>
        <v>-100</v>
      </c>
    </row>
    <row r="201" spans="1:3" x14ac:dyDescent="0.25">
      <c r="A201" s="1">
        <v>137.75</v>
      </c>
      <c r="B201">
        <f t="shared" si="6"/>
        <v>1.758820010425044E-3</v>
      </c>
      <c r="C201">
        <f t="shared" si="7"/>
        <v>-100</v>
      </c>
    </row>
    <row r="202" spans="1:3" x14ac:dyDescent="0.25">
      <c r="A202" s="1">
        <v>138.19999999999999</v>
      </c>
      <c r="B202">
        <f t="shared" si="6"/>
        <v>1.765102636533275E-3</v>
      </c>
      <c r="C202">
        <f t="shared" si="7"/>
        <v>-100</v>
      </c>
    </row>
    <row r="203" spans="1:3" x14ac:dyDescent="0.25">
      <c r="A203" s="1">
        <v>138.35</v>
      </c>
      <c r="B203">
        <f t="shared" si="6"/>
        <v>1.7671972318734331E-3</v>
      </c>
      <c r="C203">
        <f t="shared" si="7"/>
        <v>-100</v>
      </c>
    </row>
    <row r="204" spans="1:3" x14ac:dyDescent="0.25">
      <c r="A204" s="1">
        <v>138.44</v>
      </c>
      <c r="B204">
        <f t="shared" si="6"/>
        <v>1.768454078027216E-3</v>
      </c>
      <c r="C204">
        <f t="shared" si="7"/>
        <v>-100</v>
      </c>
    </row>
    <row r="205" spans="1:3" x14ac:dyDescent="0.25">
      <c r="A205" s="1">
        <v>138.88</v>
      </c>
      <c r="B205">
        <f t="shared" si="6"/>
        <v>1.7745995785566225E-3</v>
      </c>
      <c r="C205">
        <f t="shared" si="7"/>
        <v>-100</v>
      </c>
    </row>
    <row r="206" spans="1:3" x14ac:dyDescent="0.25">
      <c r="A206" s="1">
        <v>139.1</v>
      </c>
      <c r="B206">
        <f t="shared" si="6"/>
        <v>1.7776728730286052E-3</v>
      </c>
      <c r="C206">
        <f t="shared" si="7"/>
        <v>-100</v>
      </c>
    </row>
    <row r="207" spans="1:3" x14ac:dyDescent="0.25">
      <c r="A207" s="1">
        <v>139.83000000000001</v>
      </c>
      <c r="B207">
        <f t="shared" si="6"/>
        <v>1.7878729716006075E-3</v>
      </c>
      <c r="C207">
        <f t="shared" si="7"/>
        <v>-100</v>
      </c>
    </row>
    <row r="208" spans="1:3" x14ac:dyDescent="0.25">
      <c r="A208" s="1">
        <v>140.31</v>
      </c>
      <c r="B208">
        <f t="shared" si="6"/>
        <v>1.7945816360810474E-3</v>
      </c>
      <c r="C208">
        <f t="shared" si="7"/>
        <v>-100</v>
      </c>
    </row>
    <row r="209" spans="1:3" x14ac:dyDescent="0.25">
      <c r="A209" s="1">
        <v>140.87</v>
      </c>
      <c r="B209">
        <f t="shared" si="6"/>
        <v>1.8024098963924028E-3</v>
      </c>
      <c r="C209">
        <f t="shared" si="7"/>
        <v>-100</v>
      </c>
    </row>
    <row r="210" spans="1:3" x14ac:dyDescent="0.25">
      <c r="A210" s="1">
        <v>141.09</v>
      </c>
      <c r="B210">
        <f t="shared" si="6"/>
        <v>1.8054856650550151E-3</v>
      </c>
      <c r="C210">
        <f t="shared" si="7"/>
        <v>-100</v>
      </c>
    </row>
    <row r="211" spans="1:3" x14ac:dyDescent="0.25">
      <c r="A211" s="1">
        <v>141.63</v>
      </c>
      <c r="B211">
        <f t="shared" si="6"/>
        <v>1.813036046431562E-3</v>
      </c>
      <c r="C211">
        <f t="shared" si="7"/>
        <v>-100</v>
      </c>
    </row>
    <row r="212" spans="1:3" x14ac:dyDescent="0.25">
      <c r="A212" s="1">
        <v>142.02000000000001</v>
      </c>
      <c r="B212">
        <f t="shared" si="6"/>
        <v>1.8184896673099117E-3</v>
      </c>
      <c r="C212">
        <f t="shared" si="7"/>
        <v>-100</v>
      </c>
    </row>
    <row r="213" spans="1:3" x14ac:dyDescent="0.25">
      <c r="A213" s="1">
        <v>142.43</v>
      </c>
      <c r="B213">
        <f t="shared" si="6"/>
        <v>1.8242233575678675E-3</v>
      </c>
      <c r="C213">
        <f t="shared" si="7"/>
        <v>-100</v>
      </c>
    </row>
    <row r="214" spans="1:3" x14ac:dyDescent="0.25">
      <c r="A214" s="1">
        <v>142.69999999999999</v>
      </c>
      <c r="B214">
        <f t="shared" si="6"/>
        <v>1.8279993719319701E-3</v>
      </c>
      <c r="C214">
        <f t="shared" si="7"/>
        <v>-100</v>
      </c>
    </row>
    <row r="215" spans="1:3" x14ac:dyDescent="0.25">
      <c r="A215" s="1">
        <v>143.52000000000001</v>
      </c>
      <c r="B215">
        <f t="shared" si="6"/>
        <v>1.839467733983582E-3</v>
      </c>
      <c r="C215">
        <f t="shared" si="7"/>
        <v>-100</v>
      </c>
    </row>
    <row r="216" spans="1:3" x14ac:dyDescent="0.25">
      <c r="A216" s="1">
        <v>143.80000000000001</v>
      </c>
      <c r="B216">
        <f t="shared" si="6"/>
        <v>1.8433838074905448E-3</v>
      </c>
      <c r="C216">
        <f t="shared" si="7"/>
        <v>-100</v>
      </c>
    </row>
    <row r="217" spans="1:3" x14ac:dyDescent="0.25">
      <c r="A217" s="1">
        <v>144.38999999999999</v>
      </c>
      <c r="B217">
        <f t="shared" si="6"/>
        <v>1.8516353789907111E-3</v>
      </c>
      <c r="C217">
        <f t="shared" si="7"/>
        <v>-100</v>
      </c>
    </row>
    <row r="218" spans="1:3" x14ac:dyDescent="0.25">
      <c r="A218" s="1">
        <v>145.02000000000001</v>
      </c>
      <c r="B218">
        <f t="shared" si="6"/>
        <v>1.8604458350550434E-3</v>
      </c>
      <c r="C218">
        <f t="shared" si="7"/>
        <v>-100</v>
      </c>
    </row>
    <row r="219" spans="1:3" x14ac:dyDescent="0.25">
      <c r="A219" s="1">
        <v>145.97999999999999</v>
      </c>
      <c r="B219">
        <f t="shared" si="6"/>
        <v>1.8738693063771264E-3</v>
      </c>
      <c r="C219">
        <f t="shared" si="7"/>
        <v>-100</v>
      </c>
    </row>
    <row r="220" spans="1:3" x14ac:dyDescent="0.25">
      <c r="A220" s="1">
        <v>146.07</v>
      </c>
      <c r="B220">
        <f t="shared" si="6"/>
        <v>1.8751275905243476E-3</v>
      </c>
      <c r="C220">
        <f t="shared" si="7"/>
        <v>-100</v>
      </c>
    </row>
    <row r="221" spans="1:3" x14ac:dyDescent="0.25">
      <c r="A221" s="1">
        <v>146.59</v>
      </c>
      <c r="B221">
        <f t="shared" si="6"/>
        <v>1.8823969819804567E-3</v>
      </c>
      <c r="C221">
        <f t="shared" si="7"/>
        <v>-100</v>
      </c>
    </row>
    <row r="222" spans="1:3" x14ac:dyDescent="0.25">
      <c r="A222" s="1">
        <v>148.97999999999999</v>
      </c>
      <c r="B222">
        <f t="shared" si="6"/>
        <v>1.9157872302324806E-3</v>
      </c>
      <c r="C222">
        <f t="shared" si="7"/>
        <v>-100</v>
      </c>
    </row>
    <row r="223" spans="1:3" x14ac:dyDescent="0.25">
      <c r="A223" s="1">
        <v>149.41999999999999</v>
      </c>
      <c r="B223">
        <f t="shared" si="6"/>
        <v>1.9219294718962937E-3</v>
      </c>
      <c r="C223">
        <f t="shared" si="7"/>
        <v>-100</v>
      </c>
    </row>
    <row r="224" spans="1:3" x14ac:dyDescent="0.25">
      <c r="A224" s="1">
        <v>149.52000000000001</v>
      </c>
      <c r="B224">
        <f t="shared" si="6"/>
        <v>1.9233251784907886E-3</v>
      </c>
      <c r="C224">
        <f t="shared" si="7"/>
        <v>-100</v>
      </c>
    </row>
    <row r="225" spans="1:3" x14ac:dyDescent="0.25">
      <c r="A225" s="1">
        <v>149.88</v>
      </c>
      <c r="B225">
        <f t="shared" si="6"/>
        <v>1.9283488909681054E-3</v>
      </c>
      <c r="C225">
        <f t="shared" si="7"/>
        <v>-100</v>
      </c>
    </row>
    <row r="226" spans="1:3" x14ac:dyDescent="0.25">
      <c r="A226" s="1">
        <v>150.11000000000001</v>
      </c>
      <c r="B226">
        <f t="shared" si="6"/>
        <v>1.9315577775443043E-3</v>
      </c>
      <c r="C226">
        <f t="shared" si="7"/>
        <v>-100</v>
      </c>
    </row>
    <row r="227" spans="1:3" x14ac:dyDescent="0.25">
      <c r="A227" s="1">
        <v>150.33000000000001</v>
      </c>
      <c r="B227">
        <f t="shared" si="6"/>
        <v>1.9346266085672988E-3</v>
      </c>
      <c r="C227">
        <f t="shared" si="7"/>
        <v>-100</v>
      </c>
    </row>
    <row r="228" spans="1:3" x14ac:dyDescent="0.25">
      <c r="A228" s="1">
        <v>151.25</v>
      </c>
      <c r="B228">
        <f t="shared" si="6"/>
        <v>1.9474537887724426E-3</v>
      </c>
      <c r="C228">
        <f t="shared" si="7"/>
        <v>-100</v>
      </c>
    </row>
    <row r="229" spans="1:3" x14ac:dyDescent="0.25">
      <c r="A229" s="1">
        <v>151.72999999999999</v>
      </c>
      <c r="B229">
        <f t="shared" si="6"/>
        <v>1.9541420054653277E-3</v>
      </c>
      <c r="C229">
        <f t="shared" si="7"/>
        <v>-100</v>
      </c>
    </row>
    <row r="230" spans="1:3" x14ac:dyDescent="0.25">
      <c r="A230" s="1">
        <v>151.81</v>
      </c>
      <c r="B230">
        <f t="shared" si="6"/>
        <v>1.9552564077492947E-3</v>
      </c>
      <c r="C230">
        <f t="shared" si="7"/>
        <v>-100</v>
      </c>
    </row>
    <row r="231" spans="1:3" x14ac:dyDescent="0.25">
      <c r="A231" s="1">
        <v>152.33000000000001</v>
      </c>
      <c r="B231">
        <f t="shared" si="6"/>
        <v>1.9624978339116039E-3</v>
      </c>
      <c r="C231">
        <f t="shared" si="7"/>
        <v>-100</v>
      </c>
    </row>
    <row r="232" spans="1:3" x14ac:dyDescent="0.25">
      <c r="A232" s="1">
        <v>152.87</v>
      </c>
      <c r="B232">
        <f t="shared" si="6"/>
        <v>1.9700135748754585E-3</v>
      </c>
      <c r="C232">
        <f t="shared" si="7"/>
        <v>-100</v>
      </c>
    </row>
    <row r="233" spans="1:3" x14ac:dyDescent="0.25">
      <c r="A233" s="1">
        <v>154.19</v>
      </c>
      <c r="B233">
        <f t="shared" si="6"/>
        <v>1.9883656911329813E-3</v>
      </c>
      <c r="C233">
        <f t="shared" si="7"/>
        <v>-100</v>
      </c>
    </row>
    <row r="234" spans="1:3" x14ac:dyDescent="0.25">
      <c r="A234" s="1">
        <v>156.4</v>
      </c>
      <c r="B234">
        <f t="shared" si="6"/>
        <v>2.0190198557077581E-3</v>
      </c>
      <c r="C234">
        <f t="shared" si="7"/>
        <v>-100</v>
      </c>
    </row>
    <row r="235" spans="1:3" x14ac:dyDescent="0.25">
      <c r="A235" s="1">
        <v>156.47999999999999</v>
      </c>
      <c r="B235">
        <f t="shared" si="6"/>
        <v>2.0201276327967057E-3</v>
      </c>
      <c r="C235">
        <f t="shared" si="7"/>
        <v>-100</v>
      </c>
    </row>
    <row r="236" spans="1:3" x14ac:dyDescent="0.25">
      <c r="A236" s="1">
        <v>156.5</v>
      </c>
      <c r="B236">
        <f t="shared" si="6"/>
        <v>2.0204045552453097E-3</v>
      </c>
      <c r="C236">
        <f t="shared" si="7"/>
        <v>-100</v>
      </c>
    </row>
    <row r="237" spans="1:3" x14ac:dyDescent="0.25">
      <c r="A237" s="1">
        <v>157.21</v>
      </c>
      <c r="B237">
        <f t="shared" si="6"/>
        <v>2.0302295239992807E-3</v>
      </c>
      <c r="C237">
        <f t="shared" si="7"/>
        <v>-100</v>
      </c>
    </row>
    <row r="238" spans="1:3" x14ac:dyDescent="0.25">
      <c r="A238" s="1">
        <v>157.26</v>
      </c>
      <c r="B238">
        <f t="shared" si="6"/>
        <v>2.0309209909086688E-3</v>
      </c>
      <c r="C238">
        <f t="shared" si="7"/>
        <v>-100</v>
      </c>
    </row>
    <row r="239" spans="1:3" x14ac:dyDescent="0.25">
      <c r="A239" s="1">
        <v>158.54</v>
      </c>
      <c r="B239">
        <f t="shared" si="6"/>
        <v>2.0486021594385896E-3</v>
      </c>
      <c r="C239">
        <f t="shared" si="7"/>
        <v>-100</v>
      </c>
    </row>
    <row r="240" spans="1:3" x14ac:dyDescent="0.25">
      <c r="A240" s="1">
        <v>158.84</v>
      </c>
      <c r="B240">
        <f t="shared" si="6"/>
        <v>2.0527402807660783E-3</v>
      </c>
      <c r="C240">
        <f t="shared" si="7"/>
        <v>-100</v>
      </c>
    </row>
    <row r="241" spans="1:3" x14ac:dyDescent="0.25">
      <c r="A241" s="1">
        <v>159.30000000000001</v>
      </c>
      <c r="B241">
        <f t="shared" si="6"/>
        <v>2.0590808367578223E-3</v>
      </c>
      <c r="C241">
        <f t="shared" si="7"/>
        <v>-100</v>
      </c>
    </row>
    <row r="242" spans="1:3" x14ac:dyDescent="0.25">
      <c r="A242" s="1">
        <v>159.44999999999999</v>
      </c>
      <c r="B242">
        <f t="shared" si="6"/>
        <v>2.0611471904348005E-3</v>
      </c>
      <c r="C242">
        <f t="shared" si="7"/>
        <v>-100</v>
      </c>
    </row>
    <row r="243" spans="1:3" x14ac:dyDescent="0.25">
      <c r="A243" s="1">
        <v>159.53</v>
      </c>
      <c r="B243">
        <f t="shared" si="6"/>
        <v>2.0622489968615291E-3</v>
      </c>
      <c r="C243">
        <f t="shared" si="7"/>
        <v>-100</v>
      </c>
    </row>
    <row r="244" spans="1:3" x14ac:dyDescent="0.25">
      <c r="A244" s="1">
        <v>159.82</v>
      </c>
      <c r="B244">
        <f t="shared" si="6"/>
        <v>2.0662415773858665E-3</v>
      </c>
      <c r="C244">
        <f t="shared" si="7"/>
        <v>-100</v>
      </c>
    </row>
    <row r="245" spans="1:3" x14ac:dyDescent="0.25">
      <c r="A245" s="1">
        <v>160.25</v>
      </c>
      <c r="B245">
        <f t="shared" si="6"/>
        <v>2.0721573022201866E-3</v>
      </c>
      <c r="C245">
        <f t="shared" si="7"/>
        <v>-100</v>
      </c>
    </row>
    <row r="246" spans="1:3" x14ac:dyDescent="0.25">
      <c r="A246" s="1">
        <v>160.47</v>
      </c>
      <c r="B246">
        <f t="shared" si="6"/>
        <v>2.0751819223472322E-3</v>
      </c>
      <c r="C246">
        <f t="shared" si="7"/>
        <v>-100</v>
      </c>
    </row>
    <row r="247" spans="1:3" x14ac:dyDescent="0.25">
      <c r="A247" s="1">
        <v>160.82</v>
      </c>
      <c r="B247">
        <f t="shared" si="6"/>
        <v>2.0799909270678573E-3</v>
      </c>
      <c r="C247">
        <f t="shared" si="7"/>
        <v>-100</v>
      </c>
    </row>
    <row r="248" spans="1:3" x14ac:dyDescent="0.25">
      <c r="A248" s="1">
        <v>160.88999999999999</v>
      </c>
      <c r="B248">
        <f t="shared" si="6"/>
        <v>2.0809522963930764E-3</v>
      </c>
      <c r="C248">
        <f t="shared" si="7"/>
        <v>-100</v>
      </c>
    </row>
    <row r="249" spans="1:3" x14ac:dyDescent="0.25">
      <c r="A249" s="1">
        <v>161.34</v>
      </c>
      <c r="B249">
        <f t="shared" si="6"/>
        <v>2.087129031933331E-3</v>
      </c>
      <c r="C249">
        <f t="shared" si="7"/>
        <v>-100</v>
      </c>
    </row>
    <row r="250" spans="1:3" x14ac:dyDescent="0.25">
      <c r="A250" s="1">
        <v>161.38</v>
      </c>
      <c r="B250">
        <f t="shared" si="6"/>
        <v>2.087677779014134E-3</v>
      </c>
      <c r="C250">
        <f t="shared" si="7"/>
        <v>-100</v>
      </c>
    </row>
    <row r="251" spans="1:3" x14ac:dyDescent="0.25">
      <c r="A251" s="1">
        <v>161.41</v>
      </c>
      <c r="B251">
        <f t="shared" si="6"/>
        <v>2.0880893072770779E-3</v>
      </c>
      <c r="C251">
        <f t="shared" si="7"/>
        <v>-100</v>
      </c>
    </row>
    <row r="252" spans="1:3" x14ac:dyDescent="0.25">
      <c r="A252" s="1">
        <v>161.85</v>
      </c>
      <c r="B252">
        <f t="shared" si="6"/>
        <v>2.0941218677877579E-3</v>
      </c>
      <c r="C252">
        <f t="shared" si="7"/>
        <v>-100</v>
      </c>
    </row>
    <row r="253" spans="1:3" x14ac:dyDescent="0.25">
      <c r="A253" s="1">
        <v>162.22</v>
      </c>
      <c r="B253">
        <f t="shared" si="6"/>
        <v>2.0991900085333345E-3</v>
      </c>
      <c r="C253">
        <f t="shared" si="7"/>
        <v>-100</v>
      </c>
    </row>
    <row r="254" spans="1:3" x14ac:dyDescent="0.25">
      <c r="A254" s="1">
        <v>162.24</v>
      </c>
      <c r="B254">
        <f t="shared" si="6"/>
        <v>2.0994638379837152E-3</v>
      </c>
      <c r="C254">
        <f t="shared" si="7"/>
        <v>-100</v>
      </c>
    </row>
    <row r="255" spans="1:3" x14ac:dyDescent="0.25">
      <c r="A255" s="1">
        <v>162.31</v>
      </c>
      <c r="B255">
        <f t="shared" si="6"/>
        <v>2.1004221399574608E-3</v>
      </c>
      <c r="C255">
        <f t="shared" si="7"/>
        <v>-100</v>
      </c>
    </row>
    <row r="256" spans="1:3" x14ac:dyDescent="0.25">
      <c r="A256" s="1">
        <v>162.94999999999999</v>
      </c>
      <c r="B256">
        <f t="shared" si="6"/>
        <v>2.1091763666534822E-3</v>
      </c>
      <c r="C256">
        <f t="shared" si="7"/>
        <v>-100</v>
      </c>
    </row>
    <row r="257" spans="1:3" x14ac:dyDescent="0.25">
      <c r="A257" s="1">
        <v>163.13999999999999</v>
      </c>
      <c r="B257">
        <f t="shared" si="6"/>
        <v>2.1117726700827454E-3</v>
      </c>
      <c r="C257">
        <f t="shared" si="7"/>
        <v>-100</v>
      </c>
    </row>
    <row r="258" spans="1:3" x14ac:dyDescent="0.25">
      <c r="A258" s="1">
        <v>163.22</v>
      </c>
      <c r="B258">
        <f t="shared" si="6"/>
        <v>2.1128654874278904E-3</v>
      </c>
      <c r="C258">
        <f t="shared" si="7"/>
        <v>-100</v>
      </c>
    </row>
    <row r="259" spans="1:3" x14ac:dyDescent="0.25">
      <c r="A259" s="1">
        <v>163.4</v>
      </c>
      <c r="B259">
        <f t="shared" si="6"/>
        <v>2.1153235335456726E-3</v>
      </c>
      <c r="C259">
        <f t="shared" si="7"/>
        <v>-100</v>
      </c>
    </row>
    <row r="260" spans="1:3" x14ac:dyDescent="0.25">
      <c r="A260" s="1">
        <v>163.41</v>
      </c>
      <c r="B260">
        <f t="shared" ref="B260:B323" si="8">_xlfn.NORM.DIST(A260,$B$1,$D$1,FALSE)</f>
        <v>2.1154600593188515E-3</v>
      </c>
      <c r="C260">
        <f t="shared" ref="C260:C323" si="9">IF(A260&gt;=$A$2,B260,-100)</f>
        <v>-100</v>
      </c>
    </row>
    <row r="261" spans="1:3" x14ac:dyDescent="0.25">
      <c r="A261" s="1">
        <v>164.27</v>
      </c>
      <c r="B261">
        <f t="shared" si="8"/>
        <v>2.1271883032606257E-3</v>
      </c>
      <c r="C261">
        <f t="shared" si="9"/>
        <v>-100</v>
      </c>
    </row>
    <row r="262" spans="1:3" x14ac:dyDescent="0.25">
      <c r="A262" s="1">
        <v>164.44</v>
      </c>
      <c r="B262">
        <f t="shared" si="8"/>
        <v>2.1295035864462935E-3</v>
      </c>
      <c r="C262">
        <f t="shared" si="9"/>
        <v>-100</v>
      </c>
    </row>
    <row r="263" spans="1:3" x14ac:dyDescent="0.25">
      <c r="A263" s="1">
        <v>164.79</v>
      </c>
      <c r="B263">
        <f t="shared" si="8"/>
        <v>2.1342670580569044E-3</v>
      </c>
      <c r="C263">
        <f t="shared" si="9"/>
        <v>-100</v>
      </c>
    </row>
    <row r="264" spans="1:3" x14ac:dyDescent="0.25">
      <c r="A264" s="1">
        <v>164.94</v>
      </c>
      <c r="B264">
        <f t="shared" si="8"/>
        <v>2.1363071758714433E-3</v>
      </c>
      <c r="C264">
        <f t="shared" si="9"/>
        <v>-100</v>
      </c>
    </row>
    <row r="265" spans="1:3" x14ac:dyDescent="0.25">
      <c r="A265" s="1">
        <v>165.01</v>
      </c>
      <c r="B265">
        <f t="shared" si="8"/>
        <v>2.1372589468985612E-3</v>
      </c>
      <c r="C265">
        <f t="shared" si="9"/>
        <v>-100</v>
      </c>
    </row>
    <row r="266" spans="1:3" x14ac:dyDescent="0.25">
      <c r="A266" s="1">
        <v>166</v>
      </c>
      <c r="B266">
        <f t="shared" si="8"/>
        <v>2.1506999765302094E-3</v>
      </c>
      <c r="C266">
        <f t="shared" si="9"/>
        <v>-100</v>
      </c>
    </row>
    <row r="267" spans="1:3" x14ac:dyDescent="0.25">
      <c r="A267" s="1">
        <v>166.45</v>
      </c>
      <c r="B267">
        <f t="shared" si="8"/>
        <v>2.1567970557907286E-3</v>
      </c>
      <c r="C267">
        <f t="shared" si="9"/>
        <v>-100</v>
      </c>
    </row>
    <row r="268" spans="1:3" x14ac:dyDescent="0.25">
      <c r="A268" s="1">
        <v>166.74</v>
      </c>
      <c r="B268">
        <f t="shared" si="8"/>
        <v>2.1607220395785192E-3</v>
      </c>
      <c r="C268">
        <f t="shared" si="9"/>
        <v>-100</v>
      </c>
    </row>
    <row r="269" spans="1:3" x14ac:dyDescent="0.25">
      <c r="A269" s="1">
        <v>167.61</v>
      </c>
      <c r="B269">
        <f t="shared" si="8"/>
        <v>2.1724765360473896E-3</v>
      </c>
      <c r="C269">
        <f t="shared" si="9"/>
        <v>-100</v>
      </c>
    </row>
    <row r="270" spans="1:3" x14ac:dyDescent="0.25">
      <c r="A270" s="1">
        <v>167.67</v>
      </c>
      <c r="B270">
        <f t="shared" si="8"/>
        <v>2.173286039380789E-3</v>
      </c>
      <c r="C270">
        <f t="shared" si="9"/>
        <v>-100</v>
      </c>
    </row>
    <row r="271" spans="1:3" x14ac:dyDescent="0.25">
      <c r="A271" s="1">
        <v>169.28</v>
      </c>
      <c r="B271">
        <f t="shared" si="8"/>
        <v>2.1949501514122146E-3</v>
      </c>
      <c r="C271">
        <f t="shared" si="9"/>
        <v>-100</v>
      </c>
    </row>
    <row r="272" spans="1:3" x14ac:dyDescent="0.25">
      <c r="A272" s="1">
        <v>169.77</v>
      </c>
      <c r="B272">
        <f t="shared" si="8"/>
        <v>2.2015208722910196E-3</v>
      </c>
      <c r="C272">
        <f t="shared" si="9"/>
        <v>-100</v>
      </c>
    </row>
    <row r="273" spans="1:3" x14ac:dyDescent="0.25">
      <c r="A273" s="1">
        <v>170.35</v>
      </c>
      <c r="B273">
        <f t="shared" si="8"/>
        <v>2.2092842609621769E-3</v>
      </c>
      <c r="C273">
        <f t="shared" si="9"/>
        <v>-100</v>
      </c>
    </row>
    <row r="274" spans="1:3" x14ac:dyDescent="0.25">
      <c r="A274" s="1">
        <v>170.71</v>
      </c>
      <c r="B274">
        <f t="shared" si="8"/>
        <v>2.2140950259997706E-3</v>
      </c>
      <c r="C274">
        <f t="shared" si="9"/>
        <v>-100</v>
      </c>
    </row>
    <row r="275" spans="1:3" x14ac:dyDescent="0.25">
      <c r="A275" s="1">
        <v>170.77</v>
      </c>
      <c r="B275">
        <f t="shared" si="8"/>
        <v>2.2148962249378813E-3</v>
      </c>
      <c r="C275">
        <f t="shared" si="9"/>
        <v>-100</v>
      </c>
    </row>
    <row r="276" spans="1:3" x14ac:dyDescent="0.25">
      <c r="A276" s="1">
        <v>171.17</v>
      </c>
      <c r="B276">
        <f t="shared" si="8"/>
        <v>2.2202331590152383E-3</v>
      </c>
      <c r="C276">
        <f t="shared" si="9"/>
        <v>-100</v>
      </c>
    </row>
    <row r="277" spans="1:3" x14ac:dyDescent="0.25">
      <c r="A277" s="1">
        <v>171.52</v>
      </c>
      <c r="B277">
        <f t="shared" si="8"/>
        <v>2.2248966454419595E-3</v>
      </c>
      <c r="C277">
        <f t="shared" si="9"/>
        <v>-100</v>
      </c>
    </row>
    <row r="278" spans="1:3" x14ac:dyDescent="0.25">
      <c r="A278" s="1">
        <v>171.61</v>
      </c>
      <c r="B278">
        <f t="shared" si="8"/>
        <v>2.226094862452766E-3</v>
      </c>
      <c r="C278">
        <f t="shared" si="9"/>
        <v>-100</v>
      </c>
    </row>
    <row r="279" spans="1:3" x14ac:dyDescent="0.25">
      <c r="A279" s="1">
        <v>171.72</v>
      </c>
      <c r="B279">
        <f t="shared" si="8"/>
        <v>2.2275588099863854E-3</v>
      </c>
      <c r="C279">
        <f t="shared" si="9"/>
        <v>-100</v>
      </c>
    </row>
    <row r="280" spans="1:3" x14ac:dyDescent="0.25">
      <c r="A280" s="1">
        <v>172.5</v>
      </c>
      <c r="B280">
        <f t="shared" si="8"/>
        <v>2.2379222839931426E-3</v>
      </c>
      <c r="C280">
        <f t="shared" si="9"/>
        <v>-100</v>
      </c>
    </row>
    <row r="281" spans="1:3" x14ac:dyDescent="0.25">
      <c r="A281" s="1">
        <v>173.43</v>
      </c>
      <c r="B281">
        <f t="shared" si="8"/>
        <v>2.2502383439407612E-3</v>
      </c>
      <c r="C281">
        <f t="shared" si="9"/>
        <v>-100</v>
      </c>
    </row>
    <row r="282" spans="1:3" x14ac:dyDescent="0.25">
      <c r="A282" s="1">
        <v>173.46</v>
      </c>
      <c r="B282">
        <f t="shared" si="8"/>
        <v>2.2506348894216384E-3</v>
      </c>
      <c r="C282">
        <f t="shared" si="9"/>
        <v>-100</v>
      </c>
    </row>
    <row r="283" spans="1:3" x14ac:dyDescent="0.25">
      <c r="A283" s="1">
        <v>175.65</v>
      </c>
      <c r="B283">
        <f t="shared" si="8"/>
        <v>2.2794519569572231E-3</v>
      </c>
      <c r="C283">
        <f t="shared" si="9"/>
        <v>-100</v>
      </c>
    </row>
    <row r="284" spans="1:3" x14ac:dyDescent="0.25">
      <c r="A284" s="1">
        <v>175.74</v>
      </c>
      <c r="B284">
        <f t="shared" si="8"/>
        <v>2.28063055621119E-3</v>
      </c>
      <c r="C284">
        <f t="shared" si="9"/>
        <v>-100</v>
      </c>
    </row>
    <row r="285" spans="1:3" x14ac:dyDescent="0.25">
      <c r="A285" s="1">
        <v>176.12</v>
      </c>
      <c r="B285">
        <f t="shared" si="8"/>
        <v>2.2856017890131894E-3</v>
      </c>
      <c r="C285">
        <f t="shared" si="9"/>
        <v>-100</v>
      </c>
    </row>
    <row r="286" spans="1:3" x14ac:dyDescent="0.25">
      <c r="A286" s="1">
        <v>177.05</v>
      </c>
      <c r="B286">
        <f t="shared" si="8"/>
        <v>2.2977330847639339E-3</v>
      </c>
      <c r="C286">
        <f t="shared" si="9"/>
        <v>-100</v>
      </c>
    </row>
    <row r="287" spans="1:3" x14ac:dyDescent="0.25">
      <c r="A287" s="1">
        <v>178.04</v>
      </c>
      <c r="B287">
        <f t="shared" si="8"/>
        <v>2.3105908751200588E-3</v>
      </c>
      <c r="C287">
        <f t="shared" si="9"/>
        <v>-100</v>
      </c>
    </row>
    <row r="288" spans="1:3" x14ac:dyDescent="0.25">
      <c r="A288" s="1">
        <v>178.04</v>
      </c>
      <c r="B288">
        <f t="shared" si="8"/>
        <v>2.3105908751200588E-3</v>
      </c>
      <c r="C288">
        <f t="shared" si="9"/>
        <v>-100</v>
      </c>
    </row>
    <row r="289" spans="1:3" x14ac:dyDescent="0.25">
      <c r="A289" s="1">
        <v>178.21</v>
      </c>
      <c r="B289">
        <f t="shared" si="8"/>
        <v>2.3127928247992048E-3</v>
      </c>
      <c r="C289">
        <f t="shared" si="9"/>
        <v>-100</v>
      </c>
    </row>
    <row r="290" spans="1:3" x14ac:dyDescent="0.25">
      <c r="A290" s="1">
        <v>178.29</v>
      </c>
      <c r="B290">
        <f t="shared" si="8"/>
        <v>2.3138284249849829E-3</v>
      </c>
      <c r="C290">
        <f t="shared" si="9"/>
        <v>-100</v>
      </c>
    </row>
    <row r="291" spans="1:3" x14ac:dyDescent="0.25">
      <c r="A291" s="1">
        <v>178.61</v>
      </c>
      <c r="B291">
        <f t="shared" si="8"/>
        <v>2.3179668902233454E-3</v>
      </c>
      <c r="C291">
        <f t="shared" si="9"/>
        <v>-100</v>
      </c>
    </row>
    <row r="292" spans="1:3" x14ac:dyDescent="0.25">
      <c r="A292" s="1">
        <v>179.19</v>
      </c>
      <c r="B292">
        <f t="shared" si="8"/>
        <v>2.3254516521788271E-3</v>
      </c>
      <c r="C292">
        <f t="shared" si="9"/>
        <v>-100</v>
      </c>
    </row>
    <row r="293" spans="1:3" x14ac:dyDescent="0.25">
      <c r="A293" s="1">
        <v>180.21</v>
      </c>
      <c r="B293">
        <f t="shared" si="8"/>
        <v>2.3385628811373334E-3</v>
      </c>
      <c r="C293">
        <f t="shared" si="9"/>
        <v>-100</v>
      </c>
    </row>
    <row r="294" spans="1:3" x14ac:dyDescent="0.25">
      <c r="A294" s="1">
        <v>181.1</v>
      </c>
      <c r="B294">
        <f t="shared" si="8"/>
        <v>2.3499479979968716E-3</v>
      </c>
      <c r="C294">
        <f t="shared" si="9"/>
        <v>-100</v>
      </c>
    </row>
    <row r="295" spans="1:3" x14ac:dyDescent="0.25">
      <c r="A295" s="1">
        <v>181.87</v>
      </c>
      <c r="B295">
        <f t="shared" si="8"/>
        <v>2.3597555830005392E-3</v>
      </c>
      <c r="C295">
        <f t="shared" si="9"/>
        <v>-100</v>
      </c>
    </row>
    <row r="296" spans="1:3" x14ac:dyDescent="0.25">
      <c r="A296" s="1">
        <v>182.54</v>
      </c>
      <c r="B296">
        <f t="shared" si="8"/>
        <v>2.3682567185266817E-3</v>
      </c>
      <c r="C296">
        <f t="shared" si="9"/>
        <v>-100</v>
      </c>
    </row>
    <row r="297" spans="1:3" x14ac:dyDescent="0.25">
      <c r="A297" s="1">
        <v>182.6</v>
      </c>
      <c r="B297">
        <f t="shared" si="8"/>
        <v>2.3690165079513974E-3</v>
      </c>
      <c r="C297">
        <f t="shared" si="9"/>
        <v>-100</v>
      </c>
    </row>
    <row r="298" spans="1:3" x14ac:dyDescent="0.25">
      <c r="A298" s="1">
        <v>182.72</v>
      </c>
      <c r="B298">
        <f t="shared" si="8"/>
        <v>2.3705353383583448E-3</v>
      </c>
      <c r="C298">
        <f t="shared" si="9"/>
        <v>-100</v>
      </c>
    </row>
    <row r="299" spans="1:3" x14ac:dyDescent="0.25">
      <c r="A299" s="1">
        <v>182.89</v>
      </c>
      <c r="B299">
        <f t="shared" si="8"/>
        <v>2.3726853012443639E-3</v>
      </c>
      <c r="C299">
        <f t="shared" si="9"/>
        <v>-100</v>
      </c>
    </row>
    <row r="300" spans="1:3" x14ac:dyDescent="0.25">
      <c r="A300" s="1">
        <v>182.94</v>
      </c>
      <c r="B300">
        <f t="shared" si="8"/>
        <v>2.373317259799025E-3</v>
      </c>
      <c r="C300">
        <f t="shared" si="9"/>
        <v>-100</v>
      </c>
    </row>
    <row r="301" spans="1:3" x14ac:dyDescent="0.25">
      <c r="A301" s="1">
        <v>183.66</v>
      </c>
      <c r="B301">
        <f t="shared" si="8"/>
        <v>2.3823979768801389E-3</v>
      </c>
      <c r="C301">
        <f t="shared" si="9"/>
        <v>-100</v>
      </c>
    </row>
    <row r="302" spans="1:3" x14ac:dyDescent="0.25">
      <c r="A302" s="1">
        <v>183.86</v>
      </c>
      <c r="B302">
        <f t="shared" si="8"/>
        <v>2.3849138765440203E-3</v>
      </c>
      <c r="C302">
        <f t="shared" si="9"/>
        <v>-100</v>
      </c>
    </row>
    <row r="303" spans="1:3" x14ac:dyDescent="0.25">
      <c r="A303" s="1">
        <v>184.74</v>
      </c>
      <c r="B303">
        <f t="shared" si="8"/>
        <v>2.3959496268174622E-3</v>
      </c>
      <c r="C303">
        <f t="shared" si="9"/>
        <v>-100</v>
      </c>
    </row>
    <row r="304" spans="1:3" x14ac:dyDescent="0.25">
      <c r="A304" s="1">
        <v>185.83</v>
      </c>
      <c r="B304">
        <f t="shared" si="8"/>
        <v>2.4095401993119237E-3</v>
      </c>
      <c r="C304">
        <f t="shared" si="9"/>
        <v>-100</v>
      </c>
    </row>
    <row r="305" spans="1:3" x14ac:dyDescent="0.25">
      <c r="A305" s="1">
        <v>186.85</v>
      </c>
      <c r="B305">
        <f t="shared" si="8"/>
        <v>2.4221771355043961E-3</v>
      </c>
      <c r="C305">
        <f t="shared" si="9"/>
        <v>-100</v>
      </c>
    </row>
    <row r="306" spans="1:3" x14ac:dyDescent="0.25">
      <c r="A306" s="1">
        <v>187.22</v>
      </c>
      <c r="B306">
        <f t="shared" si="8"/>
        <v>2.4267414149639135E-3</v>
      </c>
      <c r="C306">
        <f t="shared" si="9"/>
        <v>-100</v>
      </c>
    </row>
    <row r="307" spans="1:3" x14ac:dyDescent="0.25">
      <c r="A307" s="1">
        <v>188.17</v>
      </c>
      <c r="B307">
        <f t="shared" si="8"/>
        <v>2.4384115695276222E-3</v>
      </c>
      <c r="C307">
        <f t="shared" si="9"/>
        <v>-100</v>
      </c>
    </row>
    <row r="308" spans="1:3" x14ac:dyDescent="0.25">
      <c r="A308" s="1">
        <v>189.97</v>
      </c>
      <c r="B308">
        <f t="shared" si="8"/>
        <v>2.4603255795512639E-3</v>
      </c>
      <c r="C308">
        <f t="shared" si="9"/>
        <v>-100</v>
      </c>
    </row>
    <row r="309" spans="1:3" x14ac:dyDescent="0.25">
      <c r="A309" s="1">
        <v>190.06</v>
      </c>
      <c r="B309">
        <f t="shared" si="8"/>
        <v>2.4614143349643925E-3</v>
      </c>
      <c r="C309">
        <f t="shared" si="9"/>
        <v>-100</v>
      </c>
    </row>
    <row r="310" spans="1:3" x14ac:dyDescent="0.25">
      <c r="A310" s="1">
        <v>190.25</v>
      </c>
      <c r="B310">
        <f t="shared" si="8"/>
        <v>2.4637106131532552E-3</v>
      </c>
      <c r="C310">
        <f t="shared" si="9"/>
        <v>-100</v>
      </c>
    </row>
    <row r="311" spans="1:3" x14ac:dyDescent="0.25">
      <c r="A311" s="1">
        <v>190.76</v>
      </c>
      <c r="B311">
        <f t="shared" si="8"/>
        <v>2.4698594226383133E-3</v>
      </c>
      <c r="C311">
        <f t="shared" si="9"/>
        <v>-100</v>
      </c>
    </row>
    <row r="312" spans="1:3" x14ac:dyDescent="0.25">
      <c r="A312" s="1">
        <v>191.21</v>
      </c>
      <c r="B312">
        <f t="shared" si="8"/>
        <v>2.4752666819300661E-3</v>
      </c>
      <c r="C312">
        <f t="shared" si="9"/>
        <v>-100</v>
      </c>
    </row>
    <row r="313" spans="1:3" x14ac:dyDescent="0.25">
      <c r="A313" s="1">
        <v>192.35</v>
      </c>
      <c r="B313">
        <f t="shared" si="8"/>
        <v>2.4888877310556101E-3</v>
      </c>
      <c r="C313">
        <f t="shared" si="9"/>
        <v>-100</v>
      </c>
    </row>
    <row r="314" spans="1:3" x14ac:dyDescent="0.25">
      <c r="A314" s="1">
        <v>192.51</v>
      </c>
      <c r="B314">
        <f t="shared" si="8"/>
        <v>2.4907904732610342E-3</v>
      </c>
      <c r="C314">
        <f t="shared" si="9"/>
        <v>-100</v>
      </c>
    </row>
    <row r="315" spans="1:3" x14ac:dyDescent="0.25">
      <c r="A315" s="1">
        <v>193.3</v>
      </c>
      <c r="B315">
        <f t="shared" si="8"/>
        <v>2.5001523788119994E-3</v>
      </c>
      <c r="C315">
        <f t="shared" si="9"/>
        <v>-100</v>
      </c>
    </row>
    <row r="316" spans="1:3" x14ac:dyDescent="0.25">
      <c r="A316" s="1">
        <v>193.32</v>
      </c>
      <c r="B316">
        <f t="shared" si="8"/>
        <v>2.5003886745735542E-3</v>
      </c>
      <c r="C316">
        <f t="shared" si="9"/>
        <v>-100</v>
      </c>
    </row>
    <row r="317" spans="1:3" x14ac:dyDescent="0.25">
      <c r="A317" s="1">
        <v>193.76</v>
      </c>
      <c r="B317">
        <f t="shared" si="8"/>
        <v>2.5055781791312377E-3</v>
      </c>
      <c r="C317">
        <f t="shared" si="9"/>
        <v>-100</v>
      </c>
    </row>
    <row r="318" spans="1:3" x14ac:dyDescent="0.25">
      <c r="A318" s="1">
        <v>193.94</v>
      </c>
      <c r="B318">
        <f t="shared" si="8"/>
        <v>2.5076961733820962E-3</v>
      </c>
      <c r="C318">
        <f t="shared" si="9"/>
        <v>-100</v>
      </c>
    </row>
    <row r="319" spans="1:3" x14ac:dyDescent="0.25">
      <c r="A319" s="1">
        <v>194.08</v>
      </c>
      <c r="B319">
        <f t="shared" si="8"/>
        <v>2.5093414910325558E-3</v>
      </c>
      <c r="C319">
        <f t="shared" si="9"/>
        <v>-100</v>
      </c>
    </row>
    <row r="320" spans="1:3" x14ac:dyDescent="0.25">
      <c r="A320" s="1">
        <v>194.93</v>
      </c>
      <c r="B320">
        <f t="shared" si="8"/>
        <v>2.5192928502048751E-3</v>
      </c>
      <c r="C320">
        <f t="shared" si="9"/>
        <v>-100</v>
      </c>
    </row>
    <row r="321" spans="1:3" x14ac:dyDescent="0.25">
      <c r="A321" s="1">
        <v>195.05</v>
      </c>
      <c r="B321">
        <f t="shared" si="8"/>
        <v>2.5206924437893245E-3</v>
      </c>
      <c r="C321">
        <f t="shared" si="9"/>
        <v>-100</v>
      </c>
    </row>
    <row r="322" spans="1:3" x14ac:dyDescent="0.25">
      <c r="A322" s="1">
        <v>195.07</v>
      </c>
      <c r="B322">
        <f t="shared" si="8"/>
        <v>2.5209255809750847E-3</v>
      </c>
      <c r="C322">
        <f t="shared" si="9"/>
        <v>-100</v>
      </c>
    </row>
    <row r="323" spans="1:3" x14ac:dyDescent="0.25">
      <c r="A323" s="1">
        <v>195.46</v>
      </c>
      <c r="B323">
        <f t="shared" si="8"/>
        <v>2.5254643978532489E-3</v>
      </c>
      <c r="C323">
        <f t="shared" si="9"/>
        <v>-100</v>
      </c>
    </row>
    <row r="324" spans="1:3" x14ac:dyDescent="0.25">
      <c r="A324" s="1">
        <v>195.83</v>
      </c>
      <c r="B324">
        <f t="shared" ref="B324:B387" si="10">_xlfn.NORM.DIST(A324,$B$1,$D$1,FALSE)</f>
        <v>2.5297574499943336E-3</v>
      </c>
      <c r="C324">
        <f t="shared" ref="C324:C387" si="11">IF(A324&gt;=$A$2,B324,-100)</f>
        <v>-100</v>
      </c>
    </row>
    <row r="325" spans="1:3" x14ac:dyDescent="0.25">
      <c r="A325" s="1">
        <v>196.33</v>
      </c>
      <c r="B325">
        <f t="shared" si="10"/>
        <v>2.5355385925534984E-3</v>
      </c>
      <c r="C325">
        <f t="shared" si="11"/>
        <v>-100</v>
      </c>
    </row>
    <row r="326" spans="1:3" x14ac:dyDescent="0.25">
      <c r="A326" s="1">
        <v>196.63</v>
      </c>
      <c r="B326">
        <f t="shared" si="10"/>
        <v>2.5389960069771146E-3</v>
      </c>
      <c r="C326">
        <f t="shared" si="11"/>
        <v>-100</v>
      </c>
    </row>
    <row r="327" spans="1:3" x14ac:dyDescent="0.25">
      <c r="A327" s="1">
        <v>197.12</v>
      </c>
      <c r="B327">
        <f t="shared" si="10"/>
        <v>2.5446247913062828E-3</v>
      </c>
      <c r="C327">
        <f t="shared" si="11"/>
        <v>-100</v>
      </c>
    </row>
    <row r="328" spans="1:3" x14ac:dyDescent="0.25">
      <c r="A328" s="1">
        <v>197.7</v>
      </c>
      <c r="B328">
        <f t="shared" si="10"/>
        <v>2.5512578049160465E-3</v>
      </c>
      <c r="C328">
        <f t="shared" si="11"/>
        <v>-100</v>
      </c>
    </row>
    <row r="329" spans="1:3" x14ac:dyDescent="0.25">
      <c r="A329" s="1">
        <v>197.9</v>
      </c>
      <c r="B329">
        <f t="shared" si="10"/>
        <v>2.5535375452471762E-3</v>
      </c>
      <c r="C329">
        <f t="shared" si="11"/>
        <v>-100</v>
      </c>
    </row>
    <row r="330" spans="1:3" x14ac:dyDescent="0.25">
      <c r="A330" s="1">
        <v>197.9</v>
      </c>
      <c r="B330">
        <f t="shared" si="10"/>
        <v>2.5535375452471762E-3</v>
      </c>
      <c r="C330">
        <f t="shared" si="11"/>
        <v>-100</v>
      </c>
    </row>
    <row r="331" spans="1:3" x14ac:dyDescent="0.25">
      <c r="A331" s="1">
        <v>198.36</v>
      </c>
      <c r="B331">
        <f t="shared" si="10"/>
        <v>2.5587662309128983E-3</v>
      </c>
      <c r="C331">
        <f t="shared" si="11"/>
        <v>-100</v>
      </c>
    </row>
    <row r="332" spans="1:3" x14ac:dyDescent="0.25">
      <c r="A332" s="1">
        <v>198.45</v>
      </c>
      <c r="B332">
        <f t="shared" si="10"/>
        <v>2.5597868242972512E-3</v>
      </c>
      <c r="C332">
        <f t="shared" si="11"/>
        <v>-100</v>
      </c>
    </row>
    <row r="333" spans="1:3" x14ac:dyDescent="0.25">
      <c r="A333" s="1">
        <v>198.73</v>
      </c>
      <c r="B333">
        <f t="shared" si="10"/>
        <v>2.5629569340633058E-3</v>
      </c>
      <c r="C333">
        <f t="shared" si="11"/>
        <v>-100</v>
      </c>
    </row>
    <row r="334" spans="1:3" x14ac:dyDescent="0.25">
      <c r="A334" s="1">
        <v>198.89</v>
      </c>
      <c r="B334">
        <f t="shared" si="10"/>
        <v>2.5647649695118143E-3</v>
      </c>
      <c r="C334">
        <f t="shared" si="11"/>
        <v>-100</v>
      </c>
    </row>
    <row r="335" spans="1:3" x14ac:dyDescent="0.25">
      <c r="A335" s="1">
        <v>199.44</v>
      </c>
      <c r="B335">
        <f t="shared" si="10"/>
        <v>2.5709608101499928E-3</v>
      </c>
      <c r="C335">
        <f t="shared" si="11"/>
        <v>-100</v>
      </c>
    </row>
    <row r="336" spans="1:3" x14ac:dyDescent="0.25">
      <c r="A336" s="1">
        <v>199.64</v>
      </c>
      <c r="B336">
        <f t="shared" si="10"/>
        <v>2.5732063972472149E-3</v>
      </c>
      <c r="C336">
        <f t="shared" si="11"/>
        <v>-100</v>
      </c>
    </row>
    <row r="337" spans="1:3" x14ac:dyDescent="0.25">
      <c r="A337" s="1">
        <v>201.53</v>
      </c>
      <c r="B337">
        <f t="shared" si="10"/>
        <v>2.5942281097666242E-3</v>
      </c>
      <c r="C337">
        <f t="shared" si="11"/>
        <v>-100</v>
      </c>
    </row>
    <row r="338" spans="1:3" x14ac:dyDescent="0.25">
      <c r="A338" s="1">
        <v>201.6</v>
      </c>
      <c r="B338">
        <f t="shared" si="10"/>
        <v>2.5949996917181491E-3</v>
      </c>
      <c r="C338">
        <f t="shared" si="11"/>
        <v>-100</v>
      </c>
    </row>
    <row r="339" spans="1:3" x14ac:dyDescent="0.25">
      <c r="A339" s="1">
        <v>201.69</v>
      </c>
      <c r="B339">
        <f t="shared" si="10"/>
        <v>2.5959909825145023E-3</v>
      </c>
      <c r="C339">
        <f t="shared" si="11"/>
        <v>-100</v>
      </c>
    </row>
    <row r="340" spans="1:3" x14ac:dyDescent="0.25">
      <c r="A340" s="1">
        <v>201.96</v>
      </c>
      <c r="B340">
        <f t="shared" si="10"/>
        <v>2.5989598267807273E-3</v>
      </c>
      <c r="C340">
        <f t="shared" si="11"/>
        <v>-100</v>
      </c>
    </row>
    <row r="341" spans="1:3" x14ac:dyDescent="0.25">
      <c r="A341" s="1">
        <v>203.13</v>
      </c>
      <c r="B341">
        <f t="shared" si="10"/>
        <v>2.6117369312343244E-3</v>
      </c>
      <c r="C341">
        <f t="shared" si="11"/>
        <v>-100</v>
      </c>
    </row>
    <row r="342" spans="1:3" x14ac:dyDescent="0.25">
      <c r="A342" s="1">
        <v>203.49</v>
      </c>
      <c r="B342">
        <f t="shared" si="10"/>
        <v>2.6156393344227142E-3</v>
      </c>
      <c r="C342">
        <f t="shared" si="11"/>
        <v>-100</v>
      </c>
    </row>
    <row r="343" spans="1:3" x14ac:dyDescent="0.25">
      <c r="A343" s="1">
        <v>204.29</v>
      </c>
      <c r="B343">
        <f t="shared" si="10"/>
        <v>2.6242618482544265E-3</v>
      </c>
      <c r="C343">
        <f t="shared" si="11"/>
        <v>-100</v>
      </c>
    </row>
    <row r="344" spans="1:3" x14ac:dyDescent="0.25">
      <c r="A344" s="1">
        <v>204.44</v>
      </c>
      <c r="B344">
        <f t="shared" si="10"/>
        <v>2.6258709171190766E-3</v>
      </c>
      <c r="C344">
        <f t="shared" si="11"/>
        <v>-100</v>
      </c>
    </row>
    <row r="345" spans="1:3" x14ac:dyDescent="0.25">
      <c r="A345" s="1">
        <v>204.47</v>
      </c>
      <c r="B345">
        <f t="shared" si="10"/>
        <v>2.6261924394187282E-3</v>
      </c>
      <c r="C345">
        <f t="shared" si="11"/>
        <v>-100</v>
      </c>
    </row>
    <row r="346" spans="1:3" x14ac:dyDescent="0.25">
      <c r="A346" s="1">
        <v>204.83</v>
      </c>
      <c r="B346">
        <f t="shared" si="10"/>
        <v>2.6300431074900406E-3</v>
      </c>
      <c r="C346">
        <f t="shared" si="11"/>
        <v>-100</v>
      </c>
    </row>
    <row r="347" spans="1:3" x14ac:dyDescent="0.25">
      <c r="A347" s="1">
        <v>205.36</v>
      </c>
      <c r="B347">
        <f t="shared" si="10"/>
        <v>2.6356864933487641E-3</v>
      </c>
      <c r="C347">
        <f t="shared" si="11"/>
        <v>-100</v>
      </c>
    </row>
    <row r="348" spans="1:3" x14ac:dyDescent="0.25">
      <c r="A348" s="1">
        <v>205.49</v>
      </c>
      <c r="B348">
        <f t="shared" si="10"/>
        <v>2.6370660294637409E-3</v>
      </c>
      <c r="C348">
        <f t="shared" si="11"/>
        <v>-100</v>
      </c>
    </row>
    <row r="349" spans="1:3" x14ac:dyDescent="0.25">
      <c r="A349" s="1">
        <v>206.32</v>
      </c>
      <c r="B349">
        <f t="shared" si="10"/>
        <v>2.6458299467636785E-3</v>
      </c>
      <c r="C349">
        <f t="shared" si="11"/>
        <v>-100</v>
      </c>
    </row>
    <row r="350" spans="1:3" x14ac:dyDescent="0.25">
      <c r="A350" s="1">
        <v>206.79</v>
      </c>
      <c r="B350">
        <f t="shared" si="10"/>
        <v>2.6507587492584366E-3</v>
      </c>
      <c r="C350">
        <f t="shared" si="11"/>
        <v>-100</v>
      </c>
    </row>
    <row r="351" spans="1:3" x14ac:dyDescent="0.25">
      <c r="A351" s="1">
        <v>207.11</v>
      </c>
      <c r="B351">
        <f t="shared" si="10"/>
        <v>2.6541003915868844E-3</v>
      </c>
      <c r="C351">
        <f t="shared" si="11"/>
        <v>-100</v>
      </c>
    </row>
    <row r="352" spans="1:3" x14ac:dyDescent="0.25">
      <c r="A352" s="1">
        <v>207.18</v>
      </c>
      <c r="B352">
        <f t="shared" si="10"/>
        <v>2.6548298426091492E-3</v>
      </c>
      <c r="C352">
        <f t="shared" si="11"/>
        <v>-100</v>
      </c>
    </row>
    <row r="353" spans="1:3" x14ac:dyDescent="0.25">
      <c r="A353" s="1">
        <v>207.24</v>
      </c>
      <c r="B353">
        <f t="shared" si="10"/>
        <v>2.6554546473111615E-3</v>
      </c>
      <c r="C353">
        <f t="shared" si="11"/>
        <v>-100</v>
      </c>
    </row>
    <row r="354" spans="1:3" x14ac:dyDescent="0.25">
      <c r="A354" s="1">
        <v>207.52</v>
      </c>
      <c r="B354">
        <f t="shared" si="10"/>
        <v>2.6583650334530374E-3</v>
      </c>
      <c r="C354">
        <f t="shared" si="11"/>
        <v>-100</v>
      </c>
    </row>
    <row r="355" spans="1:3" x14ac:dyDescent="0.25">
      <c r="A355" s="1">
        <v>207.66</v>
      </c>
      <c r="B355">
        <f t="shared" si="10"/>
        <v>2.6598169025652514E-3</v>
      </c>
      <c r="C355">
        <f t="shared" si="11"/>
        <v>-100</v>
      </c>
    </row>
    <row r="356" spans="1:3" x14ac:dyDescent="0.25">
      <c r="A356" s="1">
        <v>208.59</v>
      </c>
      <c r="B356">
        <f t="shared" si="10"/>
        <v>2.669404841931536E-3</v>
      </c>
      <c r="C356">
        <f t="shared" si="11"/>
        <v>-100</v>
      </c>
    </row>
    <row r="357" spans="1:3" x14ac:dyDescent="0.25">
      <c r="A357" s="1">
        <v>208.6</v>
      </c>
      <c r="B357">
        <f t="shared" si="10"/>
        <v>2.6695074004430964E-3</v>
      </c>
      <c r="C357">
        <f t="shared" si="11"/>
        <v>-100</v>
      </c>
    </row>
    <row r="358" spans="1:3" x14ac:dyDescent="0.25">
      <c r="A358" s="1">
        <v>209.62</v>
      </c>
      <c r="B358">
        <f t="shared" si="10"/>
        <v>2.6799077237866916E-3</v>
      </c>
      <c r="C358">
        <f t="shared" si="11"/>
        <v>-100</v>
      </c>
    </row>
    <row r="359" spans="1:3" x14ac:dyDescent="0.25">
      <c r="A359" s="1">
        <v>209.68</v>
      </c>
      <c r="B359">
        <f t="shared" si="10"/>
        <v>2.6805157479302655E-3</v>
      </c>
      <c r="C359">
        <f t="shared" si="11"/>
        <v>-100</v>
      </c>
    </row>
    <row r="360" spans="1:3" x14ac:dyDescent="0.25">
      <c r="A360" s="1">
        <v>209.79</v>
      </c>
      <c r="B360">
        <f t="shared" si="10"/>
        <v>2.6816293679271836E-3</v>
      </c>
      <c r="C360">
        <f t="shared" si="11"/>
        <v>-100</v>
      </c>
    </row>
    <row r="361" spans="1:3" x14ac:dyDescent="0.25">
      <c r="A361" s="1">
        <v>210.21</v>
      </c>
      <c r="B361">
        <f t="shared" si="10"/>
        <v>2.68586835012769E-3</v>
      </c>
      <c r="C361">
        <f t="shared" si="11"/>
        <v>-100</v>
      </c>
    </row>
    <row r="362" spans="1:3" x14ac:dyDescent="0.25">
      <c r="A362" s="1">
        <v>210.58</v>
      </c>
      <c r="B362">
        <f t="shared" si="10"/>
        <v>2.689585522493646E-3</v>
      </c>
      <c r="C362">
        <f t="shared" si="11"/>
        <v>-100</v>
      </c>
    </row>
    <row r="363" spans="1:3" x14ac:dyDescent="0.25">
      <c r="A363" s="1">
        <v>210.9</v>
      </c>
      <c r="B363">
        <f t="shared" si="10"/>
        <v>2.6927873394946393E-3</v>
      </c>
      <c r="C363">
        <f t="shared" si="11"/>
        <v>-100</v>
      </c>
    </row>
    <row r="364" spans="1:3" x14ac:dyDescent="0.25">
      <c r="A364" s="1">
        <v>211.16</v>
      </c>
      <c r="B364">
        <f t="shared" si="10"/>
        <v>2.6953798753014532E-3</v>
      </c>
      <c r="C364">
        <f t="shared" si="11"/>
        <v>-100</v>
      </c>
    </row>
    <row r="365" spans="1:3" x14ac:dyDescent="0.25">
      <c r="A365" s="1">
        <v>211.39</v>
      </c>
      <c r="B365">
        <f t="shared" si="10"/>
        <v>2.697666566463185E-3</v>
      </c>
      <c r="C365">
        <f t="shared" si="11"/>
        <v>-100</v>
      </c>
    </row>
    <row r="366" spans="1:3" x14ac:dyDescent="0.25">
      <c r="A366" s="1">
        <v>211.7</v>
      </c>
      <c r="B366">
        <f t="shared" si="10"/>
        <v>2.7007386323368841E-3</v>
      </c>
      <c r="C366">
        <f t="shared" si="11"/>
        <v>-100</v>
      </c>
    </row>
    <row r="367" spans="1:3" x14ac:dyDescent="0.25">
      <c r="A367" s="1">
        <v>212.08</v>
      </c>
      <c r="B367">
        <f t="shared" si="10"/>
        <v>2.7044886697957572E-3</v>
      </c>
      <c r="C367">
        <f t="shared" si="11"/>
        <v>-100</v>
      </c>
    </row>
    <row r="368" spans="1:3" x14ac:dyDescent="0.25">
      <c r="A368" s="1">
        <v>212.63</v>
      </c>
      <c r="B368">
        <f t="shared" si="10"/>
        <v>2.7098855207317099E-3</v>
      </c>
      <c r="C368">
        <f t="shared" si="11"/>
        <v>-100</v>
      </c>
    </row>
    <row r="369" spans="1:3" x14ac:dyDescent="0.25">
      <c r="A369" s="1">
        <v>212.8</v>
      </c>
      <c r="B369">
        <f t="shared" si="10"/>
        <v>2.7115462243228359E-3</v>
      </c>
      <c r="C369">
        <f t="shared" si="11"/>
        <v>-100</v>
      </c>
    </row>
    <row r="370" spans="1:3" x14ac:dyDescent="0.25">
      <c r="A370" s="1">
        <v>213.39</v>
      </c>
      <c r="B370">
        <f t="shared" si="10"/>
        <v>2.717282528937201E-3</v>
      </c>
      <c r="C370">
        <f t="shared" si="11"/>
        <v>-100</v>
      </c>
    </row>
    <row r="371" spans="1:3" x14ac:dyDescent="0.25">
      <c r="A371" s="1">
        <v>214.48</v>
      </c>
      <c r="B371">
        <f t="shared" si="10"/>
        <v>2.7277676839395169E-3</v>
      </c>
      <c r="C371">
        <f t="shared" si="11"/>
        <v>-100</v>
      </c>
    </row>
    <row r="372" spans="1:3" x14ac:dyDescent="0.25">
      <c r="A372" s="1">
        <v>214.59</v>
      </c>
      <c r="B372">
        <f t="shared" si="10"/>
        <v>2.7288176538067732E-3</v>
      </c>
      <c r="C372">
        <f t="shared" si="11"/>
        <v>-100</v>
      </c>
    </row>
    <row r="373" spans="1:3" x14ac:dyDescent="0.25">
      <c r="A373" s="1">
        <v>214.69</v>
      </c>
      <c r="B373">
        <f t="shared" si="10"/>
        <v>2.7297708658666668E-3</v>
      </c>
      <c r="C373">
        <f t="shared" si="11"/>
        <v>-100</v>
      </c>
    </row>
    <row r="374" spans="1:3" x14ac:dyDescent="0.25">
      <c r="A374" s="1">
        <v>214.82</v>
      </c>
      <c r="B374">
        <f t="shared" si="10"/>
        <v>2.7310081794441228E-3</v>
      </c>
      <c r="C374">
        <f t="shared" si="11"/>
        <v>-100</v>
      </c>
    </row>
    <row r="375" spans="1:3" x14ac:dyDescent="0.25">
      <c r="A375" s="1">
        <v>215.31</v>
      </c>
      <c r="B375">
        <f t="shared" si="10"/>
        <v>2.7356529240222978E-3</v>
      </c>
      <c r="C375">
        <f t="shared" si="11"/>
        <v>-100</v>
      </c>
    </row>
    <row r="376" spans="1:3" x14ac:dyDescent="0.25">
      <c r="A376" s="1">
        <v>215.54</v>
      </c>
      <c r="B376">
        <f t="shared" si="10"/>
        <v>2.7378227307379983E-3</v>
      </c>
      <c r="C376">
        <f t="shared" si="11"/>
        <v>-100</v>
      </c>
    </row>
    <row r="377" spans="1:3" x14ac:dyDescent="0.25">
      <c r="A377" s="1">
        <v>216.45</v>
      </c>
      <c r="B377">
        <f t="shared" si="10"/>
        <v>2.7463421668415958E-3</v>
      </c>
      <c r="C377">
        <f t="shared" si="11"/>
        <v>-100</v>
      </c>
    </row>
    <row r="378" spans="1:3" x14ac:dyDescent="0.25">
      <c r="A378" s="1">
        <v>216.84</v>
      </c>
      <c r="B378">
        <f t="shared" si="10"/>
        <v>2.7499611705652802E-3</v>
      </c>
      <c r="C378">
        <f t="shared" si="11"/>
        <v>-100</v>
      </c>
    </row>
    <row r="379" spans="1:3" x14ac:dyDescent="0.25">
      <c r="A379" s="1">
        <v>217.62</v>
      </c>
      <c r="B379">
        <f t="shared" si="10"/>
        <v>2.7571407725365642E-3</v>
      </c>
      <c r="C379">
        <f t="shared" si="11"/>
        <v>-100</v>
      </c>
    </row>
    <row r="380" spans="1:3" x14ac:dyDescent="0.25">
      <c r="A380" s="1">
        <v>217.72</v>
      </c>
      <c r="B380">
        <f t="shared" si="10"/>
        <v>2.7580555745796631E-3</v>
      </c>
      <c r="C380">
        <f t="shared" si="11"/>
        <v>-100</v>
      </c>
    </row>
    <row r="381" spans="1:3" x14ac:dyDescent="0.25">
      <c r="A381" s="1">
        <v>217.84</v>
      </c>
      <c r="B381">
        <f t="shared" si="10"/>
        <v>2.7591516325576877E-3</v>
      </c>
      <c r="C381">
        <f t="shared" si="11"/>
        <v>-100</v>
      </c>
    </row>
    <row r="382" spans="1:3" x14ac:dyDescent="0.25">
      <c r="A382" s="1">
        <v>218.06</v>
      </c>
      <c r="B382">
        <f t="shared" si="10"/>
        <v>2.7611562347063376E-3</v>
      </c>
      <c r="C382">
        <f t="shared" si="11"/>
        <v>-100</v>
      </c>
    </row>
    <row r="383" spans="1:3" x14ac:dyDescent="0.25">
      <c r="A383" s="1">
        <v>218.26</v>
      </c>
      <c r="B383">
        <f t="shared" si="10"/>
        <v>2.7629731566429657E-3</v>
      </c>
      <c r="C383">
        <f t="shared" si="11"/>
        <v>-100</v>
      </c>
    </row>
    <row r="384" spans="1:3" x14ac:dyDescent="0.25">
      <c r="A384" s="1">
        <v>218.32</v>
      </c>
      <c r="B384">
        <f t="shared" si="10"/>
        <v>2.763517220415635E-3</v>
      </c>
      <c r="C384">
        <f t="shared" si="11"/>
        <v>-100</v>
      </c>
    </row>
    <row r="385" spans="1:3" x14ac:dyDescent="0.25">
      <c r="A385" s="1">
        <v>218.65</v>
      </c>
      <c r="B385">
        <f t="shared" si="10"/>
        <v>2.766501196840826E-3</v>
      </c>
      <c r="C385">
        <f t="shared" si="11"/>
        <v>-100</v>
      </c>
    </row>
    <row r="386" spans="1:3" x14ac:dyDescent="0.25">
      <c r="A386" s="1">
        <v>218.87</v>
      </c>
      <c r="B386">
        <f t="shared" si="10"/>
        <v>2.7684826230710505E-3</v>
      </c>
      <c r="C386">
        <f t="shared" si="11"/>
        <v>-100</v>
      </c>
    </row>
    <row r="387" spans="1:3" x14ac:dyDescent="0.25">
      <c r="A387" s="1">
        <v>220.77</v>
      </c>
      <c r="B387">
        <f t="shared" si="10"/>
        <v>2.7853298419809021E-3</v>
      </c>
      <c r="C387">
        <f t="shared" si="11"/>
        <v>-100</v>
      </c>
    </row>
    <row r="388" spans="1:3" x14ac:dyDescent="0.25">
      <c r="A388" s="1">
        <v>221.88</v>
      </c>
      <c r="B388">
        <f t="shared" ref="B388:B451" si="12">_xlfn.NORM.DIST(A388,$B$1,$D$1,FALSE)</f>
        <v>2.7949496782221383E-3</v>
      </c>
      <c r="C388">
        <f t="shared" ref="C388:C451" si="13">IF(A388&gt;=$A$2,B388,-100)</f>
        <v>-100</v>
      </c>
    </row>
    <row r="389" spans="1:3" x14ac:dyDescent="0.25">
      <c r="A389" s="1">
        <v>222.22</v>
      </c>
      <c r="B389">
        <f t="shared" si="12"/>
        <v>2.7978630728415347E-3</v>
      </c>
      <c r="C389">
        <f t="shared" si="13"/>
        <v>-100</v>
      </c>
    </row>
    <row r="390" spans="1:3" x14ac:dyDescent="0.25">
      <c r="A390" s="1">
        <v>222.61</v>
      </c>
      <c r="B390">
        <f t="shared" si="12"/>
        <v>2.8011855997113503E-3</v>
      </c>
      <c r="C390">
        <f t="shared" si="13"/>
        <v>-100</v>
      </c>
    </row>
    <row r="391" spans="1:3" x14ac:dyDescent="0.25">
      <c r="A391" s="1">
        <v>222.63</v>
      </c>
      <c r="B391">
        <f t="shared" si="12"/>
        <v>2.8013554281520869E-3</v>
      </c>
      <c r="C391">
        <f t="shared" si="13"/>
        <v>-100</v>
      </c>
    </row>
    <row r="392" spans="1:3" x14ac:dyDescent="0.25">
      <c r="A392" s="1">
        <v>223.47</v>
      </c>
      <c r="B392">
        <f t="shared" si="12"/>
        <v>2.8084388941130144E-3</v>
      </c>
      <c r="C392">
        <f t="shared" si="13"/>
        <v>-100</v>
      </c>
    </row>
    <row r="393" spans="1:3" x14ac:dyDescent="0.25">
      <c r="A393" s="1">
        <v>223.58</v>
      </c>
      <c r="B393">
        <f t="shared" si="12"/>
        <v>2.8093593317325451E-3</v>
      </c>
      <c r="C393">
        <f t="shared" si="13"/>
        <v>-100</v>
      </c>
    </row>
    <row r="394" spans="1:3" x14ac:dyDescent="0.25">
      <c r="A394" s="1">
        <v>224.52</v>
      </c>
      <c r="B394">
        <f t="shared" si="12"/>
        <v>2.8171568440534507E-3</v>
      </c>
      <c r="C394">
        <f t="shared" si="13"/>
        <v>-100</v>
      </c>
    </row>
    <row r="395" spans="1:3" x14ac:dyDescent="0.25">
      <c r="A395" s="1">
        <v>225.05</v>
      </c>
      <c r="B395">
        <f t="shared" si="12"/>
        <v>2.8214993213611416E-3</v>
      </c>
      <c r="C395">
        <f t="shared" si="13"/>
        <v>-100</v>
      </c>
    </row>
    <row r="396" spans="1:3" x14ac:dyDescent="0.25">
      <c r="A396" s="1">
        <v>225.12</v>
      </c>
      <c r="B396">
        <f t="shared" si="12"/>
        <v>2.8220699308413775E-3</v>
      </c>
      <c r="C396">
        <f t="shared" si="13"/>
        <v>-100</v>
      </c>
    </row>
    <row r="397" spans="1:3" x14ac:dyDescent="0.25">
      <c r="A397" s="1">
        <v>226.04</v>
      </c>
      <c r="B397">
        <f t="shared" si="12"/>
        <v>2.8295056234170102E-3</v>
      </c>
      <c r="C397">
        <f t="shared" si="13"/>
        <v>-100</v>
      </c>
    </row>
    <row r="398" spans="1:3" x14ac:dyDescent="0.25">
      <c r="A398" s="1">
        <v>226.48</v>
      </c>
      <c r="B398">
        <f t="shared" si="12"/>
        <v>2.8330197524066929E-3</v>
      </c>
      <c r="C398">
        <f t="shared" si="13"/>
        <v>-100</v>
      </c>
    </row>
    <row r="399" spans="1:3" x14ac:dyDescent="0.25">
      <c r="A399" s="1">
        <v>226.53</v>
      </c>
      <c r="B399">
        <f t="shared" si="12"/>
        <v>2.8334173550873983E-3</v>
      </c>
      <c r="C399">
        <f t="shared" si="13"/>
        <v>-100</v>
      </c>
    </row>
    <row r="400" spans="1:3" x14ac:dyDescent="0.25">
      <c r="A400" s="1">
        <v>227.03</v>
      </c>
      <c r="B400">
        <f t="shared" si="12"/>
        <v>2.8373739020315556E-3</v>
      </c>
      <c r="C400">
        <f t="shared" si="13"/>
        <v>-100</v>
      </c>
    </row>
    <row r="401" spans="1:3" x14ac:dyDescent="0.25">
      <c r="A401" s="1">
        <v>227.03</v>
      </c>
      <c r="B401">
        <f t="shared" si="12"/>
        <v>2.8373739020315556E-3</v>
      </c>
      <c r="C401">
        <f t="shared" si="13"/>
        <v>-100</v>
      </c>
    </row>
    <row r="402" spans="1:3" x14ac:dyDescent="0.25">
      <c r="A402" s="1">
        <v>227.47</v>
      </c>
      <c r="B402">
        <f t="shared" si="12"/>
        <v>2.8408262763340623E-3</v>
      </c>
      <c r="C402">
        <f t="shared" si="13"/>
        <v>-100</v>
      </c>
    </row>
    <row r="403" spans="1:3" x14ac:dyDescent="0.25">
      <c r="A403" s="1">
        <v>227.57</v>
      </c>
      <c r="B403">
        <f t="shared" si="12"/>
        <v>2.8416070578686828E-3</v>
      </c>
      <c r="C403">
        <f t="shared" si="13"/>
        <v>-100</v>
      </c>
    </row>
    <row r="404" spans="1:3" x14ac:dyDescent="0.25">
      <c r="A404" s="1">
        <v>227.58</v>
      </c>
      <c r="B404">
        <f t="shared" si="12"/>
        <v>2.8416850574860195E-3</v>
      </c>
      <c r="C404">
        <f t="shared" si="13"/>
        <v>-100</v>
      </c>
    </row>
    <row r="405" spans="1:3" x14ac:dyDescent="0.25">
      <c r="A405" s="1">
        <v>227.58</v>
      </c>
      <c r="B405">
        <f t="shared" si="12"/>
        <v>2.8416850574860195E-3</v>
      </c>
      <c r="C405">
        <f t="shared" si="13"/>
        <v>-100</v>
      </c>
    </row>
    <row r="406" spans="1:3" x14ac:dyDescent="0.25">
      <c r="A406" s="1">
        <v>228.47</v>
      </c>
      <c r="B406">
        <f t="shared" si="12"/>
        <v>2.848569662695278E-3</v>
      </c>
      <c r="C406">
        <f t="shared" si="13"/>
        <v>-100</v>
      </c>
    </row>
    <row r="407" spans="1:3" x14ac:dyDescent="0.25">
      <c r="A407" s="1">
        <v>228.68</v>
      </c>
      <c r="B407">
        <f t="shared" si="12"/>
        <v>2.8501775230371992E-3</v>
      </c>
      <c r="C407">
        <f t="shared" si="13"/>
        <v>-100</v>
      </c>
    </row>
    <row r="408" spans="1:3" x14ac:dyDescent="0.25">
      <c r="A408" s="1">
        <v>228.93</v>
      </c>
      <c r="B408">
        <f t="shared" si="12"/>
        <v>2.852083346871499E-3</v>
      </c>
      <c r="C408">
        <f t="shared" si="13"/>
        <v>-100</v>
      </c>
    </row>
    <row r="409" spans="1:3" x14ac:dyDescent="0.25">
      <c r="A409" s="1">
        <v>229.3</v>
      </c>
      <c r="B409">
        <f t="shared" si="12"/>
        <v>2.8548873779957384E-3</v>
      </c>
      <c r="C409">
        <f t="shared" si="13"/>
        <v>-100</v>
      </c>
    </row>
    <row r="410" spans="1:3" x14ac:dyDescent="0.25">
      <c r="A410" s="1">
        <v>229.56</v>
      </c>
      <c r="B410">
        <f t="shared" si="12"/>
        <v>2.8568459034136388E-3</v>
      </c>
      <c r="C410">
        <f t="shared" si="13"/>
        <v>-100</v>
      </c>
    </row>
    <row r="411" spans="1:3" x14ac:dyDescent="0.25">
      <c r="A411" s="1">
        <v>229.97</v>
      </c>
      <c r="B411">
        <f t="shared" si="12"/>
        <v>2.85991437302485E-3</v>
      </c>
      <c r="C411">
        <f t="shared" si="13"/>
        <v>-100</v>
      </c>
    </row>
    <row r="412" spans="1:3" x14ac:dyDescent="0.25">
      <c r="A412" s="1">
        <v>231.26</v>
      </c>
      <c r="B412">
        <f t="shared" si="12"/>
        <v>2.8694084772891261E-3</v>
      </c>
      <c r="C412">
        <f t="shared" si="13"/>
        <v>-100</v>
      </c>
    </row>
    <row r="413" spans="1:3" x14ac:dyDescent="0.25">
      <c r="A413" s="1">
        <v>233.02</v>
      </c>
      <c r="B413">
        <f t="shared" si="12"/>
        <v>2.8819653969659547E-3</v>
      </c>
      <c r="C413">
        <f t="shared" si="13"/>
        <v>-100</v>
      </c>
    </row>
    <row r="414" spans="1:3" x14ac:dyDescent="0.25">
      <c r="A414" s="1">
        <v>234.44</v>
      </c>
      <c r="B414">
        <f t="shared" si="12"/>
        <v>2.8917591857042001E-3</v>
      </c>
      <c r="C414">
        <f t="shared" si="13"/>
        <v>-100</v>
      </c>
    </row>
    <row r="415" spans="1:3" x14ac:dyDescent="0.25">
      <c r="A415" s="1">
        <v>234.58</v>
      </c>
      <c r="B415">
        <f t="shared" si="12"/>
        <v>2.8927083128501871E-3</v>
      </c>
      <c r="C415">
        <f t="shared" si="13"/>
        <v>-100</v>
      </c>
    </row>
    <row r="416" spans="1:3" x14ac:dyDescent="0.25">
      <c r="A416" s="1">
        <v>235.13</v>
      </c>
      <c r="B416">
        <f t="shared" si="12"/>
        <v>2.8964082765967902E-3</v>
      </c>
      <c r="C416">
        <f t="shared" si="13"/>
        <v>-100</v>
      </c>
    </row>
    <row r="417" spans="1:3" x14ac:dyDescent="0.25">
      <c r="A417" s="1">
        <v>235.32</v>
      </c>
      <c r="B417">
        <f t="shared" si="12"/>
        <v>2.8976757710612094E-3</v>
      </c>
      <c r="C417">
        <f t="shared" si="13"/>
        <v>-100</v>
      </c>
    </row>
    <row r="418" spans="1:3" x14ac:dyDescent="0.25">
      <c r="A418" s="1">
        <v>235.39</v>
      </c>
      <c r="B418">
        <f t="shared" si="12"/>
        <v>2.8981413581378817E-3</v>
      </c>
      <c r="C418">
        <f t="shared" si="13"/>
        <v>-100</v>
      </c>
    </row>
    <row r="419" spans="1:3" x14ac:dyDescent="0.25">
      <c r="A419" s="1">
        <v>235.46</v>
      </c>
      <c r="B419">
        <f t="shared" si="12"/>
        <v>2.8986061990747308E-3</v>
      </c>
      <c r="C419">
        <f t="shared" si="13"/>
        <v>-100</v>
      </c>
    </row>
    <row r="420" spans="1:3" x14ac:dyDescent="0.25">
      <c r="A420" s="1">
        <v>235.49</v>
      </c>
      <c r="B420">
        <f t="shared" si="12"/>
        <v>2.8988051881140122E-3</v>
      </c>
      <c r="C420">
        <f t="shared" si="13"/>
        <v>-100</v>
      </c>
    </row>
    <row r="421" spans="1:3" x14ac:dyDescent="0.25">
      <c r="A421" s="1">
        <v>235.84</v>
      </c>
      <c r="B421">
        <f t="shared" si="12"/>
        <v>2.9011165854038339E-3</v>
      </c>
      <c r="C421">
        <f t="shared" si="13"/>
        <v>-100</v>
      </c>
    </row>
    <row r="422" spans="1:3" x14ac:dyDescent="0.25">
      <c r="A422" s="1">
        <v>236.05</v>
      </c>
      <c r="B422">
        <f t="shared" si="12"/>
        <v>2.9024944437212115E-3</v>
      </c>
      <c r="C422">
        <f t="shared" si="13"/>
        <v>-100</v>
      </c>
    </row>
    <row r="423" spans="1:3" x14ac:dyDescent="0.25">
      <c r="A423" s="1">
        <v>236.44</v>
      </c>
      <c r="B423">
        <f t="shared" si="12"/>
        <v>2.9050354140728336E-3</v>
      </c>
      <c r="C423">
        <f t="shared" si="13"/>
        <v>-100</v>
      </c>
    </row>
    <row r="424" spans="1:3" x14ac:dyDescent="0.25">
      <c r="A424" s="1">
        <v>236.99</v>
      </c>
      <c r="B424">
        <f t="shared" si="12"/>
        <v>2.9085791562871903E-3</v>
      </c>
      <c r="C424">
        <f t="shared" si="13"/>
        <v>-100</v>
      </c>
    </row>
    <row r="425" spans="1:3" x14ac:dyDescent="0.25">
      <c r="A425" s="1">
        <v>237.57</v>
      </c>
      <c r="B425">
        <f t="shared" si="12"/>
        <v>2.912265714364262E-3</v>
      </c>
      <c r="C425">
        <f t="shared" si="13"/>
        <v>-100</v>
      </c>
    </row>
    <row r="426" spans="1:3" x14ac:dyDescent="0.25">
      <c r="A426" s="1">
        <v>238.01</v>
      </c>
      <c r="B426">
        <f t="shared" si="12"/>
        <v>2.9150277208905792E-3</v>
      </c>
      <c r="C426">
        <f t="shared" si="13"/>
        <v>-100</v>
      </c>
    </row>
    <row r="427" spans="1:3" x14ac:dyDescent="0.25">
      <c r="A427" s="1">
        <v>238.58</v>
      </c>
      <c r="B427">
        <f t="shared" si="12"/>
        <v>2.9185611109704842E-3</v>
      </c>
      <c r="C427">
        <f t="shared" si="13"/>
        <v>-100</v>
      </c>
    </row>
    <row r="428" spans="1:3" x14ac:dyDescent="0.25">
      <c r="A428" s="1">
        <v>238.93</v>
      </c>
      <c r="B428">
        <f t="shared" si="12"/>
        <v>2.9207056786757515E-3</v>
      </c>
      <c r="C428">
        <f t="shared" si="13"/>
        <v>-100</v>
      </c>
    </row>
    <row r="429" spans="1:3" x14ac:dyDescent="0.25">
      <c r="A429" s="1">
        <v>239.28</v>
      </c>
      <c r="B429">
        <f t="shared" si="12"/>
        <v>2.9228311269071479E-3</v>
      </c>
      <c r="C429">
        <f t="shared" si="13"/>
        <v>-100</v>
      </c>
    </row>
    <row r="430" spans="1:3" x14ac:dyDescent="0.25">
      <c r="A430" s="1">
        <v>239.46</v>
      </c>
      <c r="B430">
        <f t="shared" si="12"/>
        <v>2.9239167552984756E-3</v>
      </c>
      <c r="C430">
        <f t="shared" si="13"/>
        <v>-100</v>
      </c>
    </row>
    <row r="431" spans="1:3" x14ac:dyDescent="0.25">
      <c r="A431" s="1">
        <v>240.28</v>
      </c>
      <c r="B431">
        <f t="shared" si="12"/>
        <v>2.9287980927501043E-3</v>
      </c>
      <c r="C431">
        <f t="shared" si="13"/>
        <v>-100</v>
      </c>
    </row>
    <row r="432" spans="1:3" x14ac:dyDescent="0.25">
      <c r="A432" s="1">
        <v>240.82</v>
      </c>
      <c r="B432">
        <f t="shared" si="12"/>
        <v>2.9319548521558408E-3</v>
      </c>
      <c r="C432">
        <f t="shared" si="13"/>
        <v>-100</v>
      </c>
    </row>
    <row r="433" spans="1:3" x14ac:dyDescent="0.25">
      <c r="A433" s="1">
        <v>241.1</v>
      </c>
      <c r="B433">
        <f t="shared" si="12"/>
        <v>2.9335735639125721E-3</v>
      </c>
      <c r="C433">
        <f t="shared" si="13"/>
        <v>-100</v>
      </c>
    </row>
    <row r="434" spans="1:3" x14ac:dyDescent="0.25">
      <c r="A434" s="1">
        <v>241.56</v>
      </c>
      <c r="B434">
        <f t="shared" si="12"/>
        <v>2.936205930993726E-3</v>
      </c>
      <c r="C434">
        <f t="shared" si="13"/>
        <v>-100</v>
      </c>
    </row>
    <row r="435" spans="1:3" x14ac:dyDescent="0.25">
      <c r="A435" s="1">
        <v>241.72</v>
      </c>
      <c r="B435">
        <f t="shared" si="12"/>
        <v>2.9371136700936662E-3</v>
      </c>
      <c r="C435">
        <f t="shared" si="13"/>
        <v>-100</v>
      </c>
    </row>
    <row r="436" spans="1:3" x14ac:dyDescent="0.25">
      <c r="A436" s="1">
        <v>242.57</v>
      </c>
      <c r="B436">
        <f t="shared" si="12"/>
        <v>2.9418677506409703E-3</v>
      </c>
      <c r="C436">
        <f t="shared" si="13"/>
        <v>-100</v>
      </c>
    </row>
    <row r="437" spans="1:3" x14ac:dyDescent="0.25">
      <c r="A437" s="1">
        <v>242.65</v>
      </c>
      <c r="B437">
        <f t="shared" si="12"/>
        <v>2.9423092630430307E-3</v>
      </c>
      <c r="C437">
        <f t="shared" si="13"/>
        <v>-100</v>
      </c>
    </row>
    <row r="438" spans="1:3" x14ac:dyDescent="0.25">
      <c r="A438" s="1">
        <v>242.79</v>
      </c>
      <c r="B438">
        <f t="shared" si="12"/>
        <v>2.9430794494833953E-3</v>
      </c>
      <c r="C438">
        <f t="shared" si="13"/>
        <v>-100</v>
      </c>
    </row>
    <row r="439" spans="1:3" x14ac:dyDescent="0.25">
      <c r="A439" s="1">
        <v>244.47</v>
      </c>
      <c r="B439">
        <f t="shared" si="12"/>
        <v>2.9520765547937874E-3</v>
      </c>
      <c r="C439">
        <f t="shared" si="13"/>
        <v>-100</v>
      </c>
    </row>
    <row r="440" spans="1:3" x14ac:dyDescent="0.25">
      <c r="A440" s="1">
        <v>244.6</v>
      </c>
      <c r="B440">
        <f t="shared" si="12"/>
        <v>2.9527538253806295E-3</v>
      </c>
      <c r="C440">
        <f t="shared" si="13"/>
        <v>-100</v>
      </c>
    </row>
    <row r="441" spans="1:3" x14ac:dyDescent="0.25">
      <c r="A441" s="1">
        <v>245.04</v>
      </c>
      <c r="B441">
        <f t="shared" si="12"/>
        <v>2.9550258603871955E-3</v>
      </c>
      <c r="C441">
        <f t="shared" si="13"/>
        <v>-100</v>
      </c>
    </row>
    <row r="442" spans="1:3" x14ac:dyDescent="0.25">
      <c r="A442" s="1">
        <v>245.14</v>
      </c>
      <c r="B442">
        <f t="shared" si="12"/>
        <v>2.9555378633018201E-3</v>
      </c>
      <c r="C442">
        <f t="shared" si="13"/>
        <v>-100</v>
      </c>
    </row>
    <row r="443" spans="1:3" x14ac:dyDescent="0.25">
      <c r="A443" s="1">
        <v>245.98</v>
      </c>
      <c r="B443">
        <f t="shared" si="12"/>
        <v>2.9597746500472665E-3</v>
      </c>
      <c r="C443">
        <f t="shared" si="13"/>
        <v>-100</v>
      </c>
    </row>
    <row r="444" spans="1:3" x14ac:dyDescent="0.25">
      <c r="A444" s="1">
        <v>246.41</v>
      </c>
      <c r="B444">
        <f t="shared" si="12"/>
        <v>2.9618990848809656E-3</v>
      </c>
      <c r="C444">
        <f t="shared" si="13"/>
        <v>-100</v>
      </c>
    </row>
    <row r="445" spans="1:3" x14ac:dyDescent="0.25">
      <c r="A445" s="1">
        <v>246.44</v>
      </c>
      <c r="B445">
        <f t="shared" si="12"/>
        <v>2.9620461768248329E-3</v>
      </c>
      <c r="C445">
        <f t="shared" si="13"/>
        <v>-100</v>
      </c>
    </row>
    <row r="446" spans="1:3" x14ac:dyDescent="0.25">
      <c r="A446" s="1">
        <v>246.63</v>
      </c>
      <c r="B446">
        <f t="shared" si="12"/>
        <v>2.962974349427462E-3</v>
      </c>
      <c r="C446">
        <f t="shared" si="13"/>
        <v>-100</v>
      </c>
    </row>
    <row r="447" spans="1:3" x14ac:dyDescent="0.25">
      <c r="A447" s="1">
        <v>246.74</v>
      </c>
      <c r="B447">
        <f t="shared" si="12"/>
        <v>2.9635090191256664E-3</v>
      </c>
      <c r="C447">
        <f t="shared" si="13"/>
        <v>-100</v>
      </c>
    </row>
    <row r="448" spans="1:3" x14ac:dyDescent="0.25">
      <c r="A448" s="1">
        <v>247.05</v>
      </c>
      <c r="B448">
        <f t="shared" si="12"/>
        <v>2.9650051779369804E-3</v>
      </c>
      <c r="C448">
        <f t="shared" si="13"/>
        <v>-100</v>
      </c>
    </row>
    <row r="449" spans="1:3" x14ac:dyDescent="0.25">
      <c r="A449" s="1">
        <v>247.3</v>
      </c>
      <c r="B449">
        <f t="shared" si="12"/>
        <v>2.9662003064636873E-3</v>
      </c>
      <c r="C449">
        <f t="shared" si="13"/>
        <v>-100</v>
      </c>
    </row>
    <row r="450" spans="1:3" x14ac:dyDescent="0.25">
      <c r="A450" s="1">
        <v>247.51</v>
      </c>
      <c r="B450">
        <f t="shared" si="12"/>
        <v>2.9671963029950141E-3</v>
      </c>
      <c r="C450">
        <f t="shared" si="13"/>
        <v>-100</v>
      </c>
    </row>
    <row r="451" spans="1:3" x14ac:dyDescent="0.25">
      <c r="A451" s="1">
        <v>249.02</v>
      </c>
      <c r="B451">
        <f t="shared" si="12"/>
        <v>2.9741446009196757E-3</v>
      </c>
      <c r="C451">
        <f t="shared" si="13"/>
        <v>-100</v>
      </c>
    </row>
    <row r="452" spans="1:3" x14ac:dyDescent="0.25">
      <c r="A452" s="1">
        <v>249.24</v>
      </c>
      <c r="B452">
        <f t="shared" ref="B452:B515" si="14">_xlfn.NORM.DIST(A452,$B$1,$D$1,FALSE)</f>
        <v>2.9751255679957953E-3</v>
      </c>
      <c r="C452">
        <f t="shared" ref="C452:C515" si="15">IF(A452&gt;=$A$2,B452,-100)</f>
        <v>-100</v>
      </c>
    </row>
    <row r="453" spans="1:3" x14ac:dyDescent="0.25">
      <c r="A453" s="1">
        <v>249.6</v>
      </c>
      <c r="B453">
        <f t="shared" si="14"/>
        <v>2.9767135222016961E-3</v>
      </c>
      <c r="C453">
        <f t="shared" si="15"/>
        <v>-100</v>
      </c>
    </row>
    <row r="454" spans="1:3" x14ac:dyDescent="0.25">
      <c r="A454" s="1">
        <v>249.73</v>
      </c>
      <c r="B454">
        <f t="shared" si="14"/>
        <v>2.9772816773723345E-3</v>
      </c>
      <c r="C454">
        <f t="shared" si="15"/>
        <v>-100</v>
      </c>
    </row>
    <row r="455" spans="1:3" x14ac:dyDescent="0.25">
      <c r="A455" s="1">
        <v>249.78</v>
      </c>
      <c r="B455">
        <f t="shared" si="14"/>
        <v>2.9774994530131619E-3</v>
      </c>
      <c r="C455">
        <f t="shared" si="15"/>
        <v>-100</v>
      </c>
    </row>
    <row r="456" spans="1:3" x14ac:dyDescent="0.25">
      <c r="A456" s="1">
        <v>249.82</v>
      </c>
      <c r="B456">
        <f t="shared" si="14"/>
        <v>2.9776733751958199E-3</v>
      </c>
      <c r="C456">
        <f t="shared" si="15"/>
        <v>-100</v>
      </c>
    </row>
    <row r="457" spans="1:3" x14ac:dyDescent="0.25">
      <c r="A457" s="1">
        <v>250.54</v>
      </c>
      <c r="B457">
        <f t="shared" si="14"/>
        <v>2.9807585736541715E-3</v>
      </c>
      <c r="C457">
        <f t="shared" si="15"/>
        <v>-100</v>
      </c>
    </row>
    <row r="458" spans="1:3" x14ac:dyDescent="0.25">
      <c r="A458" s="1">
        <v>250.73</v>
      </c>
      <c r="B458">
        <f t="shared" si="14"/>
        <v>2.981558357776656E-3</v>
      </c>
      <c r="C458">
        <f t="shared" si="15"/>
        <v>-100</v>
      </c>
    </row>
    <row r="459" spans="1:3" x14ac:dyDescent="0.25">
      <c r="A459" s="1">
        <v>251.54</v>
      </c>
      <c r="B459">
        <f t="shared" si="14"/>
        <v>2.9849004971850561E-3</v>
      </c>
      <c r="C459">
        <f t="shared" si="15"/>
        <v>-100</v>
      </c>
    </row>
    <row r="460" spans="1:3" x14ac:dyDescent="0.25">
      <c r="A460" s="1">
        <v>251.63</v>
      </c>
      <c r="B460">
        <f t="shared" si="14"/>
        <v>2.9852650889272189E-3</v>
      </c>
      <c r="C460">
        <f t="shared" si="15"/>
        <v>-100</v>
      </c>
    </row>
    <row r="461" spans="1:3" x14ac:dyDescent="0.25">
      <c r="A461" s="1">
        <v>251.8</v>
      </c>
      <c r="B461">
        <f t="shared" si="14"/>
        <v>2.9859500695072478E-3</v>
      </c>
      <c r="C461">
        <f t="shared" si="15"/>
        <v>-100</v>
      </c>
    </row>
    <row r="462" spans="1:3" x14ac:dyDescent="0.25">
      <c r="A462" s="1">
        <v>251.93</v>
      </c>
      <c r="B462">
        <f t="shared" si="14"/>
        <v>2.9864706181600767E-3</v>
      </c>
      <c r="C462">
        <f t="shared" si="15"/>
        <v>-100</v>
      </c>
    </row>
    <row r="463" spans="1:3" x14ac:dyDescent="0.25">
      <c r="A463" s="1">
        <v>253.29</v>
      </c>
      <c r="B463">
        <f t="shared" si="14"/>
        <v>2.9917465897626788E-3</v>
      </c>
      <c r="C463">
        <f t="shared" si="15"/>
        <v>-100</v>
      </c>
    </row>
    <row r="464" spans="1:3" x14ac:dyDescent="0.25">
      <c r="A464" s="1">
        <v>253.37</v>
      </c>
      <c r="B464">
        <f t="shared" si="14"/>
        <v>2.9920472696932619E-3</v>
      </c>
      <c r="C464">
        <f t="shared" si="15"/>
        <v>-100</v>
      </c>
    </row>
    <row r="465" spans="1:3" x14ac:dyDescent="0.25">
      <c r="A465" s="1">
        <v>253.37</v>
      </c>
      <c r="B465">
        <f t="shared" si="14"/>
        <v>2.9920472696932619E-3</v>
      </c>
      <c r="C465">
        <f t="shared" si="15"/>
        <v>-100</v>
      </c>
    </row>
    <row r="466" spans="1:3" x14ac:dyDescent="0.25">
      <c r="A466" s="1">
        <v>254.29</v>
      </c>
      <c r="B466">
        <f t="shared" si="14"/>
        <v>2.9954276176820515E-3</v>
      </c>
      <c r="C466">
        <f t="shared" si="15"/>
        <v>-100</v>
      </c>
    </row>
    <row r="467" spans="1:3" x14ac:dyDescent="0.25">
      <c r="A467" s="1">
        <v>254.73</v>
      </c>
      <c r="B467">
        <f t="shared" si="14"/>
        <v>2.9969938255406657E-3</v>
      </c>
      <c r="C467">
        <f t="shared" si="15"/>
        <v>-100</v>
      </c>
    </row>
    <row r="468" spans="1:3" x14ac:dyDescent="0.25">
      <c r="A468" s="1">
        <v>254.83</v>
      </c>
      <c r="B468">
        <f t="shared" si="14"/>
        <v>2.9973452183753484E-3</v>
      </c>
      <c r="C468">
        <f t="shared" si="15"/>
        <v>-100</v>
      </c>
    </row>
    <row r="469" spans="1:3" x14ac:dyDescent="0.25">
      <c r="A469" s="1">
        <v>255.1</v>
      </c>
      <c r="B469">
        <f t="shared" si="14"/>
        <v>2.9982855283910525E-3</v>
      </c>
      <c r="C469">
        <f t="shared" si="15"/>
        <v>-100</v>
      </c>
    </row>
    <row r="470" spans="1:3" x14ac:dyDescent="0.25">
      <c r="A470" s="1">
        <v>255.42</v>
      </c>
      <c r="B470">
        <f t="shared" si="14"/>
        <v>2.9993839861405316E-3</v>
      </c>
      <c r="C470">
        <f t="shared" si="15"/>
        <v>-100</v>
      </c>
    </row>
    <row r="471" spans="1:3" x14ac:dyDescent="0.25">
      <c r="A471" s="1">
        <v>255.86</v>
      </c>
      <c r="B471">
        <f t="shared" si="14"/>
        <v>3.0008660215026365E-3</v>
      </c>
      <c r="C471">
        <f t="shared" si="15"/>
        <v>-100</v>
      </c>
    </row>
    <row r="472" spans="1:3" x14ac:dyDescent="0.25">
      <c r="A472" s="1">
        <v>255.96</v>
      </c>
      <c r="B472">
        <f t="shared" si="14"/>
        <v>3.0011982661329447E-3</v>
      </c>
      <c r="C472">
        <f t="shared" si="15"/>
        <v>-100</v>
      </c>
    </row>
    <row r="473" spans="1:3" x14ac:dyDescent="0.25">
      <c r="A473" s="1">
        <v>256.44</v>
      </c>
      <c r="B473">
        <f t="shared" si="14"/>
        <v>3.0027693926652009E-3</v>
      </c>
      <c r="C473">
        <f t="shared" si="15"/>
        <v>-100</v>
      </c>
    </row>
    <row r="474" spans="1:3" x14ac:dyDescent="0.25">
      <c r="A474" s="1">
        <v>256.63</v>
      </c>
      <c r="B474">
        <f t="shared" si="14"/>
        <v>3.0033804746757635E-3</v>
      </c>
      <c r="C474">
        <f t="shared" si="15"/>
        <v>-100</v>
      </c>
    </row>
    <row r="475" spans="1:3" x14ac:dyDescent="0.25">
      <c r="A475" s="1">
        <v>257.12</v>
      </c>
      <c r="B475">
        <f t="shared" si="14"/>
        <v>3.0049280607761827E-3</v>
      </c>
      <c r="C475">
        <f t="shared" si="15"/>
        <v>-100</v>
      </c>
    </row>
    <row r="476" spans="1:3" x14ac:dyDescent="0.25">
      <c r="A476" s="1">
        <v>257.37</v>
      </c>
      <c r="B476">
        <f t="shared" si="14"/>
        <v>3.0057018825861673E-3</v>
      </c>
      <c r="C476">
        <f t="shared" si="15"/>
        <v>-100</v>
      </c>
    </row>
    <row r="477" spans="1:3" x14ac:dyDescent="0.25">
      <c r="A477" s="1">
        <v>257.43</v>
      </c>
      <c r="B477">
        <f t="shared" si="14"/>
        <v>3.0058860136758761E-3</v>
      </c>
      <c r="C477">
        <f t="shared" si="15"/>
        <v>-100</v>
      </c>
    </row>
    <row r="478" spans="1:3" x14ac:dyDescent="0.25">
      <c r="A478" s="1">
        <v>257.86</v>
      </c>
      <c r="B478">
        <f t="shared" si="14"/>
        <v>3.0071876383286904E-3</v>
      </c>
      <c r="C478">
        <f t="shared" si="15"/>
        <v>-100</v>
      </c>
    </row>
    <row r="479" spans="1:3" x14ac:dyDescent="0.25">
      <c r="A479" s="1">
        <v>258.02</v>
      </c>
      <c r="B479">
        <f t="shared" si="14"/>
        <v>3.0076639021980843E-3</v>
      </c>
      <c r="C479">
        <f t="shared" si="15"/>
        <v>-100</v>
      </c>
    </row>
    <row r="480" spans="1:3" x14ac:dyDescent="0.25">
      <c r="A480" s="1">
        <v>258.68</v>
      </c>
      <c r="B480">
        <f t="shared" si="14"/>
        <v>3.0095822155166959E-3</v>
      </c>
      <c r="C480">
        <f t="shared" si="15"/>
        <v>-100</v>
      </c>
    </row>
    <row r="481" spans="1:3" x14ac:dyDescent="0.25">
      <c r="A481" s="1">
        <v>260.14</v>
      </c>
      <c r="B481">
        <f t="shared" si="14"/>
        <v>3.0135605245366357E-3</v>
      </c>
      <c r="C481">
        <f t="shared" si="15"/>
        <v>-100</v>
      </c>
    </row>
    <row r="482" spans="1:3" x14ac:dyDescent="0.25">
      <c r="A482" s="1">
        <v>260.22000000000003</v>
      </c>
      <c r="B482">
        <f t="shared" si="14"/>
        <v>3.0137679354346552E-3</v>
      </c>
      <c r="C482">
        <f t="shared" si="15"/>
        <v>-100</v>
      </c>
    </row>
    <row r="483" spans="1:3" x14ac:dyDescent="0.25">
      <c r="A483" s="1">
        <v>262.61</v>
      </c>
      <c r="B483">
        <f t="shared" si="14"/>
        <v>3.0194557415075519E-3</v>
      </c>
      <c r="C483">
        <f t="shared" si="15"/>
        <v>-100</v>
      </c>
    </row>
    <row r="484" spans="1:3" x14ac:dyDescent="0.25">
      <c r="A484" s="1">
        <v>263.14999999999998</v>
      </c>
      <c r="B484">
        <f t="shared" si="14"/>
        <v>3.0206042155486814E-3</v>
      </c>
      <c r="C484">
        <f t="shared" si="15"/>
        <v>-100</v>
      </c>
    </row>
    <row r="485" spans="1:3" x14ac:dyDescent="0.25">
      <c r="A485" s="1">
        <v>263.5</v>
      </c>
      <c r="B485">
        <f t="shared" si="14"/>
        <v>3.0213216308946755E-3</v>
      </c>
      <c r="C485">
        <f t="shared" si="15"/>
        <v>-100</v>
      </c>
    </row>
    <row r="486" spans="1:3" x14ac:dyDescent="0.25">
      <c r="A486" s="1">
        <v>263.57</v>
      </c>
      <c r="B486">
        <f t="shared" si="14"/>
        <v>3.0214625671764654E-3</v>
      </c>
      <c r="C486">
        <f t="shared" si="15"/>
        <v>-100</v>
      </c>
    </row>
    <row r="487" spans="1:3" x14ac:dyDescent="0.25">
      <c r="A487" s="1">
        <v>264.01</v>
      </c>
      <c r="B487">
        <f t="shared" si="14"/>
        <v>3.0223290024527999E-3</v>
      </c>
      <c r="C487">
        <f t="shared" si="15"/>
        <v>-100</v>
      </c>
    </row>
    <row r="488" spans="1:3" x14ac:dyDescent="0.25">
      <c r="A488" s="1">
        <v>264.3</v>
      </c>
      <c r="B488">
        <f t="shared" si="14"/>
        <v>3.0228817033505625E-3</v>
      </c>
      <c r="C488">
        <f t="shared" si="15"/>
        <v>-100</v>
      </c>
    </row>
    <row r="489" spans="1:3" x14ac:dyDescent="0.25">
      <c r="A489" s="1">
        <v>264.52</v>
      </c>
      <c r="B489">
        <f t="shared" si="14"/>
        <v>3.023291257767265E-3</v>
      </c>
      <c r="C489">
        <f t="shared" si="15"/>
        <v>-100</v>
      </c>
    </row>
    <row r="490" spans="1:3" x14ac:dyDescent="0.25">
      <c r="A490" s="1">
        <v>265.72000000000003</v>
      </c>
      <c r="B490">
        <f t="shared" si="14"/>
        <v>3.0253771768076719E-3</v>
      </c>
      <c r="C490">
        <f t="shared" si="15"/>
        <v>-100</v>
      </c>
    </row>
    <row r="491" spans="1:3" x14ac:dyDescent="0.25">
      <c r="A491" s="1">
        <v>266.61</v>
      </c>
      <c r="B491">
        <f t="shared" si="14"/>
        <v>3.026762448164248E-3</v>
      </c>
      <c r="C491">
        <f t="shared" si="15"/>
        <v>-100</v>
      </c>
    </row>
    <row r="492" spans="1:3" x14ac:dyDescent="0.25">
      <c r="A492" s="1">
        <v>266.89999999999998</v>
      </c>
      <c r="B492">
        <f t="shared" si="14"/>
        <v>3.0271840278026534E-3</v>
      </c>
      <c r="C492">
        <f t="shared" si="15"/>
        <v>-100</v>
      </c>
    </row>
    <row r="493" spans="1:3" x14ac:dyDescent="0.25">
      <c r="A493" s="1">
        <v>267.85000000000002</v>
      </c>
      <c r="B493">
        <f t="shared" si="14"/>
        <v>3.0284623718569701E-3</v>
      </c>
      <c r="C493">
        <f t="shared" si="15"/>
        <v>-100</v>
      </c>
    </row>
    <row r="494" spans="1:3" x14ac:dyDescent="0.25">
      <c r="A494" s="1">
        <v>268.27999999999997</v>
      </c>
      <c r="B494">
        <f t="shared" si="14"/>
        <v>3.0289892225070273E-3</v>
      </c>
      <c r="C494">
        <f t="shared" si="15"/>
        <v>-100</v>
      </c>
    </row>
    <row r="495" spans="1:3" x14ac:dyDescent="0.25">
      <c r="A495" s="1">
        <v>268.58999999999997</v>
      </c>
      <c r="B495">
        <f t="shared" si="14"/>
        <v>3.0293490181776527E-3</v>
      </c>
      <c r="C495">
        <f t="shared" si="15"/>
        <v>-100</v>
      </c>
    </row>
    <row r="496" spans="1:3" x14ac:dyDescent="0.25">
      <c r="A496" s="1">
        <v>268.8</v>
      </c>
      <c r="B496">
        <f t="shared" si="14"/>
        <v>3.0295832139342377E-3</v>
      </c>
      <c r="C496">
        <f t="shared" si="15"/>
        <v>-100</v>
      </c>
    </row>
    <row r="497" spans="1:3" x14ac:dyDescent="0.25">
      <c r="A497" s="1">
        <v>268.93</v>
      </c>
      <c r="B497">
        <f t="shared" si="14"/>
        <v>3.0297243311968878E-3</v>
      </c>
      <c r="C497">
        <f t="shared" si="15"/>
        <v>-100</v>
      </c>
    </row>
    <row r="498" spans="1:3" x14ac:dyDescent="0.25">
      <c r="A498" s="1">
        <v>269.77999999999997</v>
      </c>
      <c r="B498">
        <f t="shared" si="14"/>
        <v>3.0305742245312003E-3</v>
      </c>
      <c r="C498">
        <f t="shared" si="15"/>
        <v>-100</v>
      </c>
    </row>
    <row r="499" spans="1:3" x14ac:dyDescent="0.25">
      <c r="A499" s="1">
        <v>269.83999999999997</v>
      </c>
      <c r="B499">
        <f t="shared" si="14"/>
        <v>3.0306294438243492E-3</v>
      </c>
      <c r="C499">
        <f t="shared" si="15"/>
        <v>-100</v>
      </c>
    </row>
    <row r="500" spans="1:3" x14ac:dyDescent="0.25">
      <c r="A500" s="1">
        <v>270.82</v>
      </c>
      <c r="B500">
        <f t="shared" si="14"/>
        <v>3.031442208741754E-3</v>
      </c>
      <c r="C500">
        <f t="shared" si="15"/>
        <v>-100</v>
      </c>
    </row>
    <row r="501" spans="1:3" x14ac:dyDescent="0.25">
      <c r="A501" s="1">
        <v>273.41000000000003</v>
      </c>
      <c r="B501">
        <f t="shared" si="14"/>
        <v>3.0327807525318351E-3</v>
      </c>
      <c r="C501">
        <f t="shared" si="15"/>
        <v>-100</v>
      </c>
    </row>
    <row r="502" spans="1:3" x14ac:dyDescent="0.25">
      <c r="A502" s="1">
        <v>273.48</v>
      </c>
      <c r="B502">
        <f t="shared" si="14"/>
        <v>3.0328006174004498E-3</v>
      </c>
      <c r="C502">
        <f t="shared" si="15"/>
        <v>-100</v>
      </c>
    </row>
    <row r="503" spans="1:3" x14ac:dyDescent="0.25">
      <c r="A503" s="1">
        <v>276.08</v>
      </c>
      <c r="B503">
        <f t="shared" si="14"/>
        <v>3.0329300047539976E-3</v>
      </c>
      <c r="C503">
        <f t="shared" si="15"/>
        <v>-100</v>
      </c>
    </row>
    <row r="504" spans="1:3" x14ac:dyDescent="0.25">
      <c r="A504" s="1">
        <v>276.25</v>
      </c>
      <c r="B504">
        <f t="shared" si="14"/>
        <v>3.0328971896207402E-3</v>
      </c>
      <c r="C504">
        <f t="shared" si="15"/>
        <v>-100</v>
      </c>
    </row>
    <row r="505" spans="1:3" x14ac:dyDescent="0.25">
      <c r="A505" s="1">
        <v>276.48</v>
      </c>
      <c r="B505">
        <f t="shared" si="14"/>
        <v>3.032844729452019E-3</v>
      </c>
      <c r="C505">
        <f t="shared" si="15"/>
        <v>-100</v>
      </c>
    </row>
    <row r="506" spans="1:3" x14ac:dyDescent="0.25">
      <c r="A506" s="1">
        <v>276.77</v>
      </c>
      <c r="B506">
        <f t="shared" si="14"/>
        <v>3.0327653680481564E-3</v>
      </c>
      <c r="C506">
        <f t="shared" si="15"/>
        <v>-100</v>
      </c>
    </row>
    <row r="507" spans="1:3" x14ac:dyDescent="0.25">
      <c r="A507" s="1">
        <v>277.29000000000002</v>
      </c>
      <c r="B507">
        <f t="shared" si="14"/>
        <v>3.032586154884527E-3</v>
      </c>
      <c r="C507">
        <f t="shared" si="15"/>
        <v>-100</v>
      </c>
    </row>
    <row r="508" spans="1:3" x14ac:dyDescent="0.25">
      <c r="A508" s="1">
        <v>277.52</v>
      </c>
      <c r="B508">
        <f t="shared" si="14"/>
        <v>3.0324917730395855E-3</v>
      </c>
      <c r="C508">
        <f t="shared" si="15"/>
        <v>-100</v>
      </c>
    </row>
    <row r="509" spans="1:3" x14ac:dyDescent="0.25">
      <c r="A509" s="1">
        <v>278.20999999999998</v>
      </c>
      <c r="B509">
        <f t="shared" si="14"/>
        <v>3.0321530172394829E-3</v>
      </c>
      <c r="C509">
        <f t="shared" si="15"/>
        <v>-100</v>
      </c>
    </row>
    <row r="510" spans="1:3" x14ac:dyDescent="0.25">
      <c r="A510" s="1">
        <v>278.49</v>
      </c>
      <c r="B510">
        <f t="shared" si="14"/>
        <v>3.0319917628381047E-3</v>
      </c>
      <c r="C510">
        <f t="shared" si="15"/>
        <v>-100</v>
      </c>
    </row>
    <row r="511" spans="1:3" x14ac:dyDescent="0.25">
      <c r="A511" s="1">
        <v>278.77999999999997</v>
      </c>
      <c r="B511">
        <f t="shared" si="14"/>
        <v>3.0318102747930826E-3</v>
      </c>
      <c r="C511">
        <f t="shared" si="15"/>
        <v>-100</v>
      </c>
    </row>
    <row r="512" spans="1:3" x14ac:dyDescent="0.25">
      <c r="A512" s="1">
        <v>279.08</v>
      </c>
      <c r="B512">
        <f t="shared" si="14"/>
        <v>3.0316070322550623E-3</v>
      </c>
      <c r="C512">
        <f t="shared" si="15"/>
        <v>-100</v>
      </c>
    </row>
    <row r="513" spans="1:3" x14ac:dyDescent="0.25">
      <c r="A513" s="1">
        <v>279.33999999999997</v>
      </c>
      <c r="B513">
        <f t="shared" si="14"/>
        <v>3.0314181439136715E-3</v>
      </c>
      <c r="C513">
        <f t="shared" si="15"/>
        <v>-100</v>
      </c>
    </row>
    <row r="514" spans="1:3" x14ac:dyDescent="0.25">
      <c r="A514" s="1">
        <v>280.05</v>
      </c>
      <c r="B514">
        <f t="shared" si="14"/>
        <v>3.0308420682594543E-3</v>
      </c>
      <c r="C514">
        <f t="shared" si="15"/>
        <v>-100</v>
      </c>
    </row>
    <row r="515" spans="1:3" x14ac:dyDescent="0.25">
      <c r="A515" s="1">
        <v>280.2</v>
      </c>
      <c r="B515">
        <f t="shared" si="14"/>
        <v>3.0307090772649569E-3</v>
      </c>
      <c r="C515">
        <f t="shared" si="15"/>
        <v>-100</v>
      </c>
    </row>
    <row r="516" spans="1:3" x14ac:dyDescent="0.25">
      <c r="A516" s="1">
        <v>280.88</v>
      </c>
      <c r="B516">
        <f t="shared" ref="B516:B579" si="16">_xlfn.NORM.DIST(A516,$B$1,$D$1,FALSE)</f>
        <v>3.0300568334886173E-3</v>
      </c>
      <c r="C516">
        <f t="shared" ref="C516:C579" si="17">IF(A516&gt;=$A$2,B516,-100)</f>
        <v>-100</v>
      </c>
    </row>
    <row r="517" spans="1:3" x14ac:dyDescent="0.25">
      <c r="A517" s="1">
        <v>281.37</v>
      </c>
      <c r="B517">
        <f t="shared" si="16"/>
        <v>3.0295367261007297E-3</v>
      </c>
      <c r="C517">
        <f t="shared" si="17"/>
        <v>-100</v>
      </c>
    </row>
    <row r="518" spans="1:3" x14ac:dyDescent="0.25">
      <c r="A518" s="1">
        <v>282.13</v>
      </c>
      <c r="B518">
        <f t="shared" si="16"/>
        <v>3.0286470523730974E-3</v>
      </c>
      <c r="C518">
        <f t="shared" si="17"/>
        <v>-100</v>
      </c>
    </row>
    <row r="519" spans="1:3" x14ac:dyDescent="0.25">
      <c r="A519" s="1">
        <v>282.24</v>
      </c>
      <c r="B519">
        <f t="shared" si="16"/>
        <v>3.0285099293483209E-3</v>
      </c>
      <c r="C519">
        <f t="shared" si="17"/>
        <v>-100</v>
      </c>
    </row>
    <row r="520" spans="1:3" x14ac:dyDescent="0.25">
      <c r="A520" s="1">
        <v>282.82</v>
      </c>
      <c r="B520">
        <f t="shared" si="16"/>
        <v>3.0277520009613043E-3</v>
      </c>
      <c r="C520">
        <f t="shared" si="17"/>
        <v>-100</v>
      </c>
    </row>
    <row r="521" spans="1:3" x14ac:dyDescent="0.25">
      <c r="A521" s="1">
        <v>283.7</v>
      </c>
      <c r="B521">
        <f t="shared" si="16"/>
        <v>3.026490024313361E-3</v>
      </c>
      <c r="C521">
        <f t="shared" si="17"/>
        <v>-100</v>
      </c>
    </row>
    <row r="522" spans="1:3" x14ac:dyDescent="0.25">
      <c r="A522" s="1">
        <v>283.77999999999997</v>
      </c>
      <c r="B522">
        <f t="shared" si="16"/>
        <v>3.0263686081140541E-3</v>
      </c>
      <c r="C522">
        <f t="shared" si="17"/>
        <v>-100</v>
      </c>
    </row>
    <row r="523" spans="1:3" x14ac:dyDescent="0.25">
      <c r="A523" s="1">
        <v>286.43</v>
      </c>
      <c r="B523">
        <f t="shared" si="16"/>
        <v>3.0217176065553322E-3</v>
      </c>
      <c r="C523">
        <f t="shared" si="17"/>
        <v>-100</v>
      </c>
    </row>
    <row r="524" spans="1:3" x14ac:dyDescent="0.25">
      <c r="A524" s="1">
        <v>287.18</v>
      </c>
      <c r="B524">
        <f t="shared" si="16"/>
        <v>3.0201800018196364E-3</v>
      </c>
      <c r="C524">
        <f t="shared" si="17"/>
        <v>-100</v>
      </c>
    </row>
    <row r="525" spans="1:3" x14ac:dyDescent="0.25">
      <c r="A525" s="1">
        <v>287.95</v>
      </c>
      <c r="B525">
        <f t="shared" si="16"/>
        <v>3.0185001064690752E-3</v>
      </c>
      <c r="C525">
        <f t="shared" si="17"/>
        <v>-100</v>
      </c>
    </row>
    <row r="526" spans="1:3" x14ac:dyDescent="0.25">
      <c r="A526" s="1">
        <v>288.14999999999998</v>
      </c>
      <c r="B526">
        <f t="shared" si="16"/>
        <v>3.0180470017693848E-3</v>
      </c>
      <c r="C526">
        <f t="shared" si="17"/>
        <v>-100</v>
      </c>
    </row>
    <row r="527" spans="1:3" x14ac:dyDescent="0.25">
      <c r="A527" s="1">
        <v>288.33999999999997</v>
      </c>
      <c r="B527">
        <f t="shared" si="16"/>
        <v>3.0176101530745001E-3</v>
      </c>
      <c r="C527">
        <f t="shared" si="17"/>
        <v>-100</v>
      </c>
    </row>
    <row r="528" spans="1:3" x14ac:dyDescent="0.25">
      <c r="A528" s="1">
        <v>289.08</v>
      </c>
      <c r="B528">
        <f t="shared" si="16"/>
        <v>3.0158493618608192E-3</v>
      </c>
      <c r="C528">
        <f t="shared" si="17"/>
        <v>-100</v>
      </c>
    </row>
    <row r="529" spans="1:3" x14ac:dyDescent="0.25">
      <c r="A529" s="1">
        <v>289.27999999999997</v>
      </c>
      <c r="B529">
        <f t="shared" si="16"/>
        <v>3.0153572655491814E-3</v>
      </c>
      <c r="C529">
        <f t="shared" si="17"/>
        <v>-100</v>
      </c>
    </row>
    <row r="530" spans="1:3" x14ac:dyDescent="0.25">
      <c r="A530" s="1">
        <v>290.11</v>
      </c>
      <c r="B530">
        <f t="shared" si="16"/>
        <v>3.0132414753969361E-3</v>
      </c>
      <c r="C530">
        <f t="shared" si="17"/>
        <v>-100</v>
      </c>
    </row>
    <row r="531" spans="1:3" x14ac:dyDescent="0.25">
      <c r="A531" s="1">
        <v>290.52999999999997</v>
      </c>
      <c r="B531">
        <f t="shared" si="16"/>
        <v>3.0121256982432727E-3</v>
      </c>
      <c r="C531">
        <f t="shared" si="17"/>
        <v>-100</v>
      </c>
    </row>
    <row r="532" spans="1:3" x14ac:dyDescent="0.25">
      <c r="A532" s="1">
        <v>290.56</v>
      </c>
      <c r="B532">
        <f t="shared" si="16"/>
        <v>3.0120448405298664E-3</v>
      </c>
      <c r="C532">
        <f t="shared" si="17"/>
        <v>-100</v>
      </c>
    </row>
    <row r="533" spans="1:3" x14ac:dyDescent="0.25">
      <c r="A533" s="1">
        <v>291.08999999999997</v>
      </c>
      <c r="B533">
        <f t="shared" si="16"/>
        <v>3.0105908884296793E-3</v>
      </c>
      <c r="C533">
        <f t="shared" si="17"/>
        <v>-100</v>
      </c>
    </row>
    <row r="534" spans="1:3" x14ac:dyDescent="0.25">
      <c r="A534" s="1">
        <v>291.60000000000002</v>
      </c>
      <c r="B534">
        <f t="shared" si="16"/>
        <v>3.0091463385414404E-3</v>
      </c>
      <c r="C534">
        <f t="shared" si="17"/>
        <v>-100</v>
      </c>
    </row>
    <row r="535" spans="1:3" x14ac:dyDescent="0.25">
      <c r="A535" s="1">
        <v>292.08</v>
      </c>
      <c r="B535">
        <f t="shared" si="16"/>
        <v>3.0077460885888246E-3</v>
      </c>
      <c r="C535">
        <f t="shared" si="17"/>
        <v>-100</v>
      </c>
    </row>
    <row r="536" spans="1:3" x14ac:dyDescent="0.25">
      <c r="A536" s="1">
        <v>292.64</v>
      </c>
      <c r="B536">
        <f t="shared" si="16"/>
        <v>3.0060626902812821E-3</v>
      </c>
      <c r="C536">
        <f t="shared" si="17"/>
        <v>-100</v>
      </c>
    </row>
    <row r="537" spans="1:3" x14ac:dyDescent="0.25">
      <c r="A537" s="1">
        <v>293.04000000000002</v>
      </c>
      <c r="B537">
        <f t="shared" si="16"/>
        <v>3.0048274930249766E-3</v>
      </c>
      <c r="C537">
        <f t="shared" si="17"/>
        <v>-100</v>
      </c>
    </row>
    <row r="538" spans="1:3" x14ac:dyDescent="0.25">
      <c r="A538" s="1">
        <v>293.43</v>
      </c>
      <c r="B538">
        <f t="shared" si="16"/>
        <v>3.0035969197884063E-3</v>
      </c>
      <c r="C538">
        <f t="shared" si="17"/>
        <v>-100</v>
      </c>
    </row>
    <row r="539" spans="1:3" x14ac:dyDescent="0.25">
      <c r="A539" s="1">
        <v>293.64</v>
      </c>
      <c r="B539">
        <f t="shared" si="16"/>
        <v>3.0029235772495149E-3</v>
      </c>
      <c r="C539">
        <f t="shared" si="17"/>
        <v>-100</v>
      </c>
    </row>
    <row r="540" spans="1:3" x14ac:dyDescent="0.25">
      <c r="A540" s="1">
        <v>293.99</v>
      </c>
      <c r="B540">
        <f t="shared" si="16"/>
        <v>3.0017846716464979E-3</v>
      </c>
      <c r="C540">
        <f t="shared" si="17"/>
        <v>-100</v>
      </c>
    </row>
    <row r="541" spans="1:3" x14ac:dyDescent="0.25">
      <c r="A541" s="1">
        <v>294.61</v>
      </c>
      <c r="B541">
        <f t="shared" si="16"/>
        <v>2.9997161046913649E-3</v>
      </c>
      <c r="C541">
        <f t="shared" si="17"/>
        <v>-100</v>
      </c>
    </row>
    <row r="542" spans="1:3" x14ac:dyDescent="0.25">
      <c r="A542" s="1">
        <v>294.99</v>
      </c>
      <c r="B542">
        <f t="shared" si="16"/>
        <v>2.9984160489813366E-3</v>
      </c>
      <c r="C542">
        <f t="shared" si="17"/>
        <v>-100</v>
      </c>
    </row>
    <row r="543" spans="1:3" x14ac:dyDescent="0.25">
      <c r="A543" s="1">
        <v>295.54000000000002</v>
      </c>
      <c r="B543">
        <f t="shared" si="16"/>
        <v>2.9964910914632311E-3</v>
      </c>
      <c r="C543">
        <f t="shared" si="17"/>
        <v>-100</v>
      </c>
    </row>
    <row r="544" spans="1:3" x14ac:dyDescent="0.25">
      <c r="A544" s="1">
        <v>295.60000000000002</v>
      </c>
      <c r="B544">
        <f t="shared" si="16"/>
        <v>2.9962780015684088E-3</v>
      </c>
      <c r="C544">
        <f t="shared" si="17"/>
        <v>-100</v>
      </c>
    </row>
    <row r="545" spans="1:3" x14ac:dyDescent="0.25">
      <c r="A545" s="1">
        <v>295.75</v>
      </c>
      <c r="B545">
        <f t="shared" si="16"/>
        <v>2.9957426159328894E-3</v>
      </c>
      <c r="C545">
        <f t="shared" si="17"/>
        <v>-100</v>
      </c>
    </row>
    <row r="546" spans="1:3" x14ac:dyDescent="0.25">
      <c r="A546" s="1">
        <v>297.24</v>
      </c>
      <c r="B546">
        <f t="shared" si="16"/>
        <v>2.9902184658629435E-3</v>
      </c>
      <c r="C546">
        <f t="shared" si="17"/>
        <v>-100</v>
      </c>
    </row>
    <row r="547" spans="1:3" x14ac:dyDescent="0.25">
      <c r="A547" s="1">
        <v>297.29000000000002</v>
      </c>
      <c r="B547">
        <f t="shared" si="16"/>
        <v>2.9900266146996048E-3</v>
      </c>
      <c r="C547">
        <f t="shared" si="17"/>
        <v>-100</v>
      </c>
    </row>
    <row r="548" spans="1:3" x14ac:dyDescent="0.25">
      <c r="A548" s="1">
        <v>297.45</v>
      </c>
      <c r="B548">
        <f t="shared" si="16"/>
        <v>2.9894098708339437E-3</v>
      </c>
      <c r="C548">
        <f t="shared" si="17"/>
        <v>-100</v>
      </c>
    </row>
    <row r="549" spans="1:3" x14ac:dyDescent="0.25">
      <c r="A549" s="1">
        <v>298.32</v>
      </c>
      <c r="B549">
        <f t="shared" si="16"/>
        <v>2.9859812215693626E-3</v>
      </c>
      <c r="C549">
        <f t="shared" si="17"/>
        <v>-100</v>
      </c>
    </row>
    <row r="550" spans="1:3" x14ac:dyDescent="0.25">
      <c r="A550" s="1">
        <v>298.38</v>
      </c>
      <c r="B550">
        <f t="shared" si="16"/>
        <v>2.9857400931054667E-3</v>
      </c>
      <c r="C550">
        <f t="shared" si="17"/>
        <v>-100</v>
      </c>
    </row>
    <row r="551" spans="1:3" x14ac:dyDescent="0.25">
      <c r="A551" s="1">
        <v>298.73</v>
      </c>
      <c r="B551">
        <f t="shared" si="16"/>
        <v>2.9843215219038238E-3</v>
      </c>
      <c r="C551">
        <f t="shared" si="17"/>
        <v>-100</v>
      </c>
    </row>
    <row r="552" spans="1:3" x14ac:dyDescent="0.25">
      <c r="A552" s="1">
        <v>298.93</v>
      </c>
      <c r="B552">
        <f t="shared" si="16"/>
        <v>2.9835017277881413E-3</v>
      </c>
      <c r="C552">
        <f t="shared" si="17"/>
        <v>-100</v>
      </c>
    </row>
    <row r="553" spans="1:3" x14ac:dyDescent="0.25">
      <c r="A553" s="1">
        <v>299.08999999999997</v>
      </c>
      <c r="B553">
        <f t="shared" si="16"/>
        <v>2.9828410892490608E-3</v>
      </c>
      <c r="C553">
        <f t="shared" si="17"/>
        <v>-100</v>
      </c>
    </row>
    <row r="554" spans="1:3" x14ac:dyDescent="0.25">
      <c r="A554" s="1">
        <v>299.27999999999997</v>
      </c>
      <c r="B554">
        <f t="shared" si="16"/>
        <v>2.9820510398848622E-3</v>
      </c>
      <c r="C554">
        <f t="shared" si="17"/>
        <v>-100</v>
      </c>
    </row>
    <row r="555" spans="1:3" x14ac:dyDescent="0.25">
      <c r="A555" s="1">
        <v>299.31</v>
      </c>
      <c r="B555">
        <f t="shared" si="16"/>
        <v>2.9819257456023779E-3</v>
      </c>
      <c r="C555">
        <f t="shared" si="17"/>
        <v>-100</v>
      </c>
    </row>
    <row r="556" spans="1:3" x14ac:dyDescent="0.25">
      <c r="A556" s="1">
        <v>299.75</v>
      </c>
      <c r="B556">
        <f t="shared" si="16"/>
        <v>2.9800708902110577E-3</v>
      </c>
      <c r="C556">
        <f t="shared" si="17"/>
        <v>-100</v>
      </c>
    </row>
    <row r="557" spans="1:3" x14ac:dyDescent="0.25">
      <c r="A557" s="1">
        <v>300.73</v>
      </c>
      <c r="B557">
        <f t="shared" si="16"/>
        <v>2.9758240844387947E-3</v>
      </c>
      <c r="C557">
        <f t="shared" si="17"/>
        <v>-100</v>
      </c>
    </row>
    <row r="558" spans="1:3" x14ac:dyDescent="0.25">
      <c r="A558" s="1">
        <v>301.01</v>
      </c>
      <c r="B558">
        <f t="shared" si="16"/>
        <v>2.974581494388655E-3</v>
      </c>
      <c r="C558">
        <f t="shared" si="17"/>
        <v>-100</v>
      </c>
    </row>
    <row r="559" spans="1:3" x14ac:dyDescent="0.25">
      <c r="A559" s="1">
        <v>301.16000000000003</v>
      </c>
      <c r="B559">
        <f t="shared" si="16"/>
        <v>2.9739104910368069E-3</v>
      </c>
      <c r="C559">
        <f t="shared" si="17"/>
        <v>-100</v>
      </c>
    </row>
    <row r="560" spans="1:3" x14ac:dyDescent="0.25">
      <c r="A560" s="1">
        <v>301.39</v>
      </c>
      <c r="B560">
        <f t="shared" si="16"/>
        <v>2.9728744040808789E-3</v>
      </c>
      <c r="C560">
        <f t="shared" si="17"/>
        <v>-100</v>
      </c>
    </row>
    <row r="561" spans="1:3" x14ac:dyDescent="0.25">
      <c r="A561" s="1">
        <v>301.39999999999998</v>
      </c>
      <c r="B561">
        <f t="shared" si="16"/>
        <v>2.972829158814336E-3</v>
      </c>
      <c r="C561">
        <f t="shared" si="17"/>
        <v>-100</v>
      </c>
    </row>
    <row r="562" spans="1:3" x14ac:dyDescent="0.25">
      <c r="A562" s="1">
        <v>301.60000000000002</v>
      </c>
      <c r="B562">
        <f t="shared" si="16"/>
        <v>2.9719207907341755E-3</v>
      </c>
      <c r="C562">
        <f t="shared" si="17"/>
        <v>-100</v>
      </c>
    </row>
    <row r="563" spans="1:3" x14ac:dyDescent="0.25">
      <c r="A563" s="1">
        <v>302.07</v>
      </c>
      <c r="B563">
        <f t="shared" si="16"/>
        <v>2.9697601912115766E-3</v>
      </c>
      <c r="C563">
        <f t="shared" si="17"/>
        <v>-100</v>
      </c>
    </row>
    <row r="564" spans="1:3" x14ac:dyDescent="0.25">
      <c r="A564" s="1">
        <v>302.60000000000002</v>
      </c>
      <c r="B564">
        <f t="shared" si="16"/>
        <v>2.9672802043006446E-3</v>
      </c>
      <c r="C564">
        <f t="shared" si="17"/>
        <v>-100</v>
      </c>
    </row>
    <row r="565" spans="1:3" x14ac:dyDescent="0.25">
      <c r="A565" s="1">
        <v>302.74</v>
      </c>
      <c r="B565">
        <f t="shared" si="16"/>
        <v>2.9666174172411162E-3</v>
      </c>
      <c r="C565">
        <f t="shared" si="17"/>
        <v>-100</v>
      </c>
    </row>
    <row r="566" spans="1:3" x14ac:dyDescent="0.25">
      <c r="A566" s="1">
        <v>303.08999999999997</v>
      </c>
      <c r="B566">
        <f t="shared" si="16"/>
        <v>2.9649464017698136E-3</v>
      </c>
      <c r="C566">
        <f t="shared" si="17"/>
        <v>-100</v>
      </c>
    </row>
    <row r="567" spans="1:3" x14ac:dyDescent="0.25">
      <c r="A567" s="1">
        <v>303.13</v>
      </c>
      <c r="B567">
        <f t="shared" si="16"/>
        <v>2.9647541518764992E-3</v>
      </c>
      <c r="C567">
        <f t="shared" si="17"/>
        <v>-100</v>
      </c>
    </row>
    <row r="568" spans="1:3" x14ac:dyDescent="0.25">
      <c r="A568" s="1">
        <v>303.93</v>
      </c>
      <c r="B568">
        <f t="shared" si="16"/>
        <v>2.9608542676471373E-3</v>
      </c>
      <c r="C568">
        <f t="shared" si="17"/>
        <v>-100</v>
      </c>
    </row>
    <row r="569" spans="1:3" x14ac:dyDescent="0.25">
      <c r="A569" s="1">
        <v>304.79000000000002</v>
      </c>
      <c r="B569">
        <f t="shared" si="16"/>
        <v>2.9565456300544315E-3</v>
      </c>
      <c r="C569">
        <f t="shared" si="17"/>
        <v>-100</v>
      </c>
    </row>
    <row r="570" spans="1:3" x14ac:dyDescent="0.25">
      <c r="A570" s="1">
        <v>305.29000000000002</v>
      </c>
      <c r="B570">
        <f t="shared" si="16"/>
        <v>2.953985438465534E-3</v>
      </c>
      <c r="C570">
        <f t="shared" si="17"/>
        <v>-100</v>
      </c>
    </row>
    <row r="571" spans="1:3" x14ac:dyDescent="0.25">
      <c r="A571" s="1">
        <v>305.45</v>
      </c>
      <c r="B571">
        <f t="shared" si="16"/>
        <v>2.953157632838801E-3</v>
      </c>
      <c r="C571">
        <f t="shared" si="17"/>
        <v>-100</v>
      </c>
    </row>
    <row r="572" spans="1:3" x14ac:dyDescent="0.25">
      <c r="A572" s="1">
        <v>305.54000000000002</v>
      </c>
      <c r="B572">
        <f t="shared" si="16"/>
        <v>2.9526901741223129E-3</v>
      </c>
      <c r="C572">
        <f t="shared" si="17"/>
        <v>-100</v>
      </c>
    </row>
    <row r="573" spans="1:3" x14ac:dyDescent="0.25">
      <c r="A573" s="1">
        <v>305.73</v>
      </c>
      <c r="B573">
        <f t="shared" si="16"/>
        <v>2.9516990216020837E-3</v>
      </c>
      <c r="C573">
        <f t="shared" si="17"/>
        <v>-100</v>
      </c>
    </row>
    <row r="574" spans="1:3" x14ac:dyDescent="0.25">
      <c r="A574" s="1">
        <v>306.17</v>
      </c>
      <c r="B574">
        <f t="shared" si="16"/>
        <v>2.9493813702450565E-3</v>
      </c>
      <c r="C574">
        <f t="shared" si="17"/>
        <v>-100</v>
      </c>
    </row>
    <row r="575" spans="1:3" x14ac:dyDescent="0.25">
      <c r="A575" s="1">
        <v>306.48</v>
      </c>
      <c r="B575">
        <f t="shared" si="16"/>
        <v>2.9477297656039796E-3</v>
      </c>
      <c r="C575">
        <f t="shared" si="17"/>
        <v>-100</v>
      </c>
    </row>
    <row r="576" spans="1:3" x14ac:dyDescent="0.25">
      <c r="A576" s="1">
        <v>307.61</v>
      </c>
      <c r="B576">
        <f t="shared" si="16"/>
        <v>2.9415788915168458E-3</v>
      </c>
      <c r="C576">
        <f t="shared" si="17"/>
        <v>-100</v>
      </c>
    </row>
    <row r="577" spans="1:3" x14ac:dyDescent="0.25">
      <c r="A577" s="1">
        <v>308.54000000000002</v>
      </c>
      <c r="B577">
        <f t="shared" si="16"/>
        <v>2.9363637151352774E-3</v>
      </c>
      <c r="C577">
        <f t="shared" si="17"/>
        <v>-100</v>
      </c>
    </row>
    <row r="578" spans="1:3" x14ac:dyDescent="0.25">
      <c r="A578" s="1">
        <v>308.58</v>
      </c>
      <c r="B578">
        <f t="shared" si="16"/>
        <v>2.936136321612865E-3</v>
      </c>
      <c r="C578">
        <f t="shared" si="17"/>
        <v>-100</v>
      </c>
    </row>
    <row r="579" spans="1:3" x14ac:dyDescent="0.25">
      <c r="A579" s="1">
        <v>308.87</v>
      </c>
      <c r="B579">
        <f t="shared" si="16"/>
        <v>2.9344801290818365E-3</v>
      </c>
      <c r="C579">
        <f t="shared" si="17"/>
        <v>-100</v>
      </c>
    </row>
    <row r="580" spans="1:3" x14ac:dyDescent="0.25">
      <c r="A580" s="1">
        <v>309.22000000000003</v>
      </c>
      <c r="B580">
        <f t="shared" ref="B580:B643" si="18">_xlfn.NORM.DIST(A580,$B$1,$D$1,FALSE)</f>
        <v>2.9324635363371545E-3</v>
      </c>
      <c r="C580">
        <f t="shared" ref="C580:C643" si="19">IF(A580&gt;=$A$2,B580,-100)</f>
        <v>-100</v>
      </c>
    </row>
    <row r="581" spans="1:3" x14ac:dyDescent="0.25">
      <c r="A581" s="1">
        <v>309.52999999999997</v>
      </c>
      <c r="B581">
        <f t="shared" si="18"/>
        <v>2.9306612396779127E-3</v>
      </c>
      <c r="C581">
        <f t="shared" si="19"/>
        <v>-100</v>
      </c>
    </row>
    <row r="582" spans="1:3" x14ac:dyDescent="0.25">
      <c r="A582" s="1">
        <v>310.16000000000003</v>
      </c>
      <c r="B582">
        <f t="shared" si="18"/>
        <v>2.9269518257313012E-3</v>
      </c>
      <c r="C582">
        <f t="shared" si="19"/>
        <v>-100</v>
      </c>
    </row>
    <row r="583" spans="1:3" x14ac:dyDescent="0.25">
      <c r="A583" s="1">
        <v>310.17</v>
      </c>
      <c r="B583">
        <f t="shared" si="18"/>
        <v>2.9268924426532846E-3</v>
      </c>
      <c r="C583">
        <f t="shared" si="19"/>
        <v>-100</v>
      </c>
    </row>
    <row r="584" spans="1:3" x14ac:dyDescent="0.25">
      <c r="A584" s="1">
        <v>310.23</v>
      </c>
      <c r="B584">
        <f t="shared" si="18"/>
        <v>2.9265358142596671E-3</v>
      </c>
      <c r="C584">
        <f t="shared" si="19"/>
        <v>-100</v>
      </c>
    </row>
    <row r="585" spans="1:3" x14ac:dyDescent="0.25">
      <c r="A585" s="1">
        <v>311.74</v>
      </c>
      <c r="B585">
        <f t="shared" si="18"/>
        <v>2.9173750731084636E-3</v>
      </c>
      <c r="C585">
        <f t="shared" si="19"/>
        <v>-100</v>
      </c>
    </row>
    <row r="586" spans="1:3" x14ac:dyDescent="0.25">
      <c r="A586" s="1">
        <v>311.89999999999998</v>
      </c>
      <c r="B586">
        <f t="shared" si="18"/>
        <v>2.9163835595397542E-3</v>
      </c>
      <c r="C586">
        <f t="shared" si="19"/>
        <v>-100</v>
      </c>
    </row>
    <row r="587" spans="1:3" x14ac:dyDescent="0.25">
      <c r="A587" s="1">
        <v>312.93</v>
      </c>
      <c r="B587">
        <f t="shared" si="18"/>
        <v>2.9099056738327977E-3</v>
      </c>
      <c r="C587">
        <f t="shared" si="19"/>
        <v>-100</v>
      </c>
    </row>
    <row r="588" spans="1:3" x14ac:dyDescent="0.25">
      <c r="A588" s="1">
        <v>314.32</v>
      </c>
      <c r="B588">
        <f t="shared" si="18"/>
        <v>2.9009044545221245E-3</v>
      </c>
      <c r="C588">
        <f t="shared" si="19"/>
        <v>-100</v>
      </c>
    </row>
    <row r="589" spans="1:3" x14ac:dyDescent="0.25">
      <c r="A589" s="1">
        <v>314.36</v>
      </c>
      <c r="B589">
        <f t="shared" si="18"/>
        <v>2.9006410441705906E-3</v>
      </c>
      <c r="C589">
        <f t="shared" si="19"/>
        <v>-100</v>
      </c>
    </row>
    <row r="590" spans="1:3" x14ac:dyDescent="0.25">
      <c r="A590" s="1">
        <v>315.02999999999997</v>
      </c>
      <c r="B590">
        <f t="shared" si="18"/>
        <v>2.8961926581105783E-3</v>
      </c>
      <c r="C590">
        <f t="shared" si="19"/>
        <v>-100</v>
      </c>
    </row>
    <row r="591" spans="1:3" x14ac:dyDescent="0.25">
      <c r="A591" s="1">
        <v>317.08999999999997</v>
      </c>
      <c r="B591">
        <f t="shared" si="18"/>
        <v>2.8820897575368332E-3</v>
      </c>
      <c r="C591">
        <f t="shared" si="19"/>
        <v>-100</v>
      </c>
    </row>
    <row r="592" spans="1:3" x14ac:dyDescent="0.25">
      <c r="A592" s="1">
        <v>318.45</v>
      </c>
      <c r="B592">
        <f t="shared" si="18"/>
        <v>2.8724306207796881E-3</v>
      </c>
      <c r="C592">
        <f t="shared" si="19"/>
        <v>-100</v>
      </c>
    </row>
    <row r="593" spans="1:3" x14ac:dyDescent="0.25">
      <c r="A593" s="1">
        <v>318.83999999999997</v>
      </c>
      <c r="B593">
        <f t="shared" si="18"/>
        <v>2.8696100968215381E-3</v>
      </c>
      <c r="C593">
        <f t="shared" si="19"/>
        <v>-100</v>
      </c>
    </row>
    <row r="594" spans="1:3" x14ac:dyDescent="0.25">
      <c r="A594" s="1">
        <v>319.38</v>
      </c>
      <c r="B594">
        <f t="shared" si="18"/>
        <v>2.8656677359445628E-3</v>
      </c>
      <c r="C594">
        <f t="shared" si="19"/>
        <v>-100</v>
      </c>
    </row>
    <row r="595" spans="1:3" x14ac:dyDescent="0.25">
      <c r="A595" s="1">
        <v>319.39</v>
      </c>
      <c r="B595">
        <f t="shared" si="18"/>
        <v>2.865594324873654E-3</v>
      </c>
      <c r="C595">
        <f t="shared" si="19"/>
        <v>-100</v>
      </c>
    </row>
    <row r="596" spans="1:3" x14ac:dyDescent="0.25">
      <c r="A596" s="1">
        <v>319.66000000000003</v>
      </c>
      <c r="B596">
        <f t="shared" si="18"/>
        <v>2.8636066801010335E-3</v>
      </c>
      <c r="C596">
        <f t="shared" si="19"/>
        <v>-100</v>
      </c>
    </row>
    <row r="597" spans="1:3" x14ac:dyDescent="0.25">
      <c r="A597" s="1">
        <v>320.5</v>
      </c>
      <c r="B597">
        <f t="shared" si="18"/>
        <v>2.8573547119630674E-3</v>
      </c>
      <c r="C597">
        <f t="shared" si="19"/>
        <v>-100</v>
      </c>
    </row>
    <row r="598" spans="1:3" x14ac:dyDescent="0.25">
      <c r="A598" s="1">
        <v>320.94</v>
      </c>
      <c r="B598">
        <f t="shared" si="18"/>
        <v>2.8540388664854664E-3</v>
      </c>
      <c r="C598">
        <f t="shared" si="19"/>
        <v>-100</v>
      </c>
    </row>
    <row r="599" spans="1:3" x14ac:dyDescent="0.25">
      <c r="A599" s="1">
        <v>321.26</v>
      </c>
      <c r="B599">
        <f t="shared" si="18"/>
        <v>2.851609716945177E-3</v>
      </c>
      <c r="C599">
        <f t="shared" si="19"/>
        <v>-100</v>
      </c>
    </row>
    <row r="600" spans="1:3" x14ac:dyDescent="0.25">
      <c r="A600" s="1">
        <v>322.39999999999998</v>
      </c>
      <c r="B600">
        <f t="shared" si="18"/>
        <v>2.8428359142404535E-3</v>
      </c>
      <c r="C600">
        <f t="shared" si="19"/>
        <v>-100</v>
      </c>
    </row>
    <row r="601" spans="1:3" x14ac:dyDescent="0.25">
      <c r="A601" s="1">
        <v>323.39</v>
      </c>
      <c r="B601">
        <f t="shared" si="18"/>
        <v>2.835065683751534E-3</v>
      </c>
      <c r="C601">
        <f t="shared" si="19"/>
        <v>-100</v>
      </c>
    </row>
    <row r="602" spans="1:3" x14ac:dyDescent="0.25">
      <c r="A602" s="1">
        <v>323.39999999999998</v>
      </c>
      <c r="B602">
        <f t="shared" si="18"/>
        <v>2.8349864857030618E-3</v>
      </c>
      <c r="C602">
        <f t="shared" si="19"/>
        <v>-100</v>
      </c>
    </row>
    <row r="603" spans="1:3" x14ac:dyDescent="0.25">
      <c r="A603" s="1">
        <v>324.11</v>
      </c>
      <c r="B603">
        <f t="shared" si="18"/>
        <v>2.8293272753534809E-3</v>
      </c>
      <c r="C603">
        <f t="shared" si="19"/>
        <v>-100</v>
      </c>
    </row>
    <row r="604" spans="1:3" x14ac:dyDescent="0.25">
      <c r="A604" s="1">
        <v>324.22000000000003</v>
      </c>
      <c r="B604">
        <f t="shared" si="18"/>
        <v>2.8284441343625886E-3</v>
      </c>
      <c r="C604">
        <f t="shared" si="19"/>
        <v>-100</v>
      </c>
    </row>
    <row r="605" spans="1:3" x14ac:dyDescent="0.25">
      <c r="A605" s="1">
        <v>324.39</v>
      </c>
      <c r="B605">
        <f t="shared" si="18"/>
        <v>2.827075933218568E-3</v>
      </c>
      <c r="C605">
        <f t="shared" si="19"/>
        <v>-100</v>
      </c>
    </row>
    <row r="606" spans="1:3" x14ac:dyDescent="0.25">
      <c r="A606" s="1">
        <v>324.41000000000003</v>
      </c>
      <c r="B606">
        <f t="shared" si="18"/>
        <v>2.8269147014424504E-3</v>
      </c>
      <c r="C606">
        <f t="shared" si="19"/>
        <v>-100</v>
      </c>
    </row>
    <row r="607" spans="1:3" x14ac:dyDescent="0.25">
      <c r="A607" s="1">
        <v>325.42</v>
      </c>
      <c r="B607">
        <f t="shared" si="18"/>
        <v>2.8186996977031843E-3</v>
      </c>
      <c r="C607">
        <f t="shared" si="19"/>
        <v>-100</v>
      </c>
    </row>
    <row r="608" spans="1:3" x14ac:dyDescent="0.25">
      <c r="A608" s="1">
        <v>326.08</v>
      </c>
      <c r="B608">
        <f t="shared" si="18"/>
        <v>2.8132547645996504E-3</v>
      </c>
      <c r="C608">
        <f t="shared" si="19"/>
        <v>-100</v>
      </c>
    </row>
    <row r="609" spans="1:3" x14ac:dyDescent="0.25">
      <c r="A609" s="1">
        <v>326.82</v>
      </c>
      <c r="B609">
        <f t="shared" si="18"/>
        <v>2.807078299516555E-3</v>
      </c>
      <c r="C609">
        <f t="shared" si="19"/>
        <v>-100</v>
      </c>
    </row>
    <row r="610" spans="1:3" x14ac:dyDescent="0.25">
      <c r="A610" s="1">
        <v>327.05</v>
      </c>
      <c r="B610">
        <f t="shared" si="18"/>
        <v>2.805143264544778E-3</v>
      </c>
      <c r="C610">
        <f t="shared" si="19"/>
        <v>-100</v>
      </c>
    </row>
    <row r="611" spans="1:3" x14ac:dyDescent="0.25">
      <c r="A611" s="1">
        <v>327.32</v>
      </c>
      <c r="B611">
        <f t="shared" si="18"/>
        <v>2.8028624682716486E-3</v>
      </c>
      <c r="C611">
        <f t="shared" si="19"/>
        <v>-100</v>
      </c>
    </row>
    <row r="612" spans="1:3" x14ac:dyDescent="0.25">
      <c r="A612" s="1">
        <v>328.21</v>
      </c>
      <c r="B612">
        <f t="shared" si="18"/>
        <v>2.7952740085458215E-3</v>
      </c>
      <c r="C612">
        <f t="shared" si="19"/>
        <v>-100</v>
      </c>
    </row>
    <row r="613" spans="1:3" x14ac:dyDescent="0.25">
      <c r="A613" s="1">
        <v>328.36</v>
      </c>
      <c r="B613">
        <f t="shared" si="18"/>
        <v>2.7939844827850392E-3</v>
      </c>
      <c r="C613">
        <f t="shared" si="19"/>
        <v>-100</v>
      </c>
    </row>
    <row r="614" spans="1:3" x14ac:dyDescent="0.25">
      <c r="A614" s="1">
        <v>329.41</v>
      </c>
      <c r="B614">
        <f t="shared" si="18"/>
        <v>2.7848730331323443E-3</v>
      </c>
      <c r="C614">
        <f t="shared" si="19"/>
        <v>-100</v>
      </c>
    </row>
    <row r="615" spans="1:3" x14ac:dyDescent="0.25">
      <c r="A615" s="1">
        <v>330.27</v>
      </c>
      <c r="B615">
        <f t="shared" si="18"/>
        <v>2.7773006154920904E-3</v>
      </c>
      <c r="C615">
        <f t="shared" si="19"/>
        <v>-100</v>
      </c>
    </row>
    <row r="616" spans="1:3" x14ac:dyDescent="0.25">
      <c r="A616" s="1">
        <v>330.36</v>
      </c>
      <c r="B616">
        <f t="shared" si="18"/>
        <v>2.7765024836510521E-3</v>
      </c>
      <c r="C616">
        <f t="shared" si="19"/>
        <v>-100</v>
      </c>
    </row>
    <row r="617" spans="1:3" x14ac:dyDescent="0.25">
      <c r="A617" s="1">
        <v>331.57</v>
      </c>
      <c r="B617">
        <f t="shared" si="18"/>
        <v>2.7656685588377918E-3</v>
      </c>
      <c r="C617">
        <f t="shared" si="19"/>
        <v>-100</v>
      </c>
    </row>
    <row r="618" spans="1:3" x14ac:dyDescent="0.25">
      <c r="A618" s="1">
        <v>332.14</v>
      </c>
      <c r="B618">
        <f t="shared" si="18"/>
        <v>2.7604986872835384E-3</v>
      </c>
      <c r="C618">
        <f t="shared" si="19"/>
        <v>-100</v>
      </c>
    </row>
    <row r="619" spans="1:3" x14ac:dyDescent="0.25">
      <c r="A619" s="1">
        <v>332.67</v>
      </c>
      <c r="B619">
        <f t="shared" si="18"/>
        <v>2.7556538548264599E-3</v>
      </c>
      <c r="C619">
        <f t="shared" si="19"/>
        <v>-100</v>
      </c>
    </row>
    <row r="620" spans="1:3" x14ac:dyDescent="0.25">
      <c r="A620" s="1">
        <v>332.79</v>
      </c>
      <c r="B620">
        <f t="shared" si="18"/>
        <v>2.7545518833523488E-3</v>
      </c>
      <c r="C620">
        <f t="shared" si="19"/>
        <v>-100</v>
      </c>
    </row>
    <row r="621" spans="1:3" x14ac:dyDescent="0.25">
      <c r="A621" s="1">
        <v>333.15</v>
      </c>
      <c r="B621">
        <f t="shared" si="18"/>
        <v>2.7512348726934357E-3</v>
      </c>
      <c r="C621">
        <f t="shared" si="19"/>
        <v>-100</v>
      </c>
    </row>
    <row r="622" spans="1:3" x14ac:dyDescent="0.25">
      <c r="A622" s="1">
        <v>333.18</v>
      </c>
      <c r="B622">
        <f t="shared" si="18"/>
        <v>2.75095770531672E-3</v>
      </c>
      <c r="C622">
        <f t="shared" si="19"/>
        <v>-100</v>
      </c>
    </row>
    <row r="623" spans="1:3" x14ac:dyDescent="0.25">
      <c r="A623" s="1">
        <v>333.32</v>
      </c>
      <c r="B623">
        <f t="shared" si="18"/>
        <v>2.7496627354271445E-3</v>
      </c>
      <c r="C623">
        <f t="shared" si="19"/>
        <v>-100</v>
      </c>
    </row>
    <row r="624" spans="1:3" x14ac:dyDescent="0.25">
      <c r="A624" s="1">
        <v>333.41</v>
      </c>
      <c r="B624">
        <f t="shared" si="18"/>
        <v>2.748828932258209E-3</v>
      </c>
      <c r="C624">
        <f t="shared" si="19"/>
        <v>-100</v>
      </c>
    </row>
    <row r="625" spans="1:3" x14ac:dyDescent="0.25">
      <c r="A625" s="1">
        <v>333.56</v>
      </c>
      <c r="B625">
        <f t="shared" si="18"/>
        <v>2.7474369636883837E-3</v>
      </c>
      <c r="C625">
        <f t="shared" si="19"/>
        <v>-100</v>
      </c>
    </row>
    <row r="626" spans="1:3" x14ac:dyDescent="0.25">
      <c r="A626" s="1">
        <v>333.63</v>
      </c>
      <c r="B626">
        <f t="shared" si="18"/>
        <v>2.7467863971081812E-3</v>
      </c>
      <c r="C626">
        <f t="shared" si="19"/>
        <v>-100</v>
      </c>
    </row>
    <row r="627" spans="1:3" x14ac:dyDescent="0.25">
      <c r="A627" s="1">
        <v>333.8</v>
      </c>
      <c r="B627">
        <f t="shared" si="18"/>
        <v>2.7452038540220765E-3</v>
      </c>
      <c r="C627">
        <f t="shared" si="19"/>
        <v>-100</v>
      </c>
    </row>
    <row r="628" spans="1:3" x14ac:dyDescent="0.25">
      <c r="A628" s="1">
        <v>334.22</v>
      </c>
      <c r="B628">
        <f t="shared" si="18"/>
        <v>2.7412783178949428E-3</v>
      </c>
      <c r="C628">
        <f t="shared" si="19"/>
        <v>-100</v>
      </c>
    </row>
    <row r="629" spans="1:3" x14ac:dyDescent="0.25">
      <c r="A629" s="1">
        <v>334.45</v>
      </c>
      <c r="B629">
        <f t="shared" si="18"/>
        <v>2.7391191641314453E-3</v>
      </c>
      <c r="C629">
        <f t="shared" si="19"/>
        <v>-100</v>
      </c>
    </row>
    <row r="630" spans="1:3" x14ac:dyDescent="0.25">
      <c r="A630" s="1">
        <v>334.67</v>
      </c>
      <c r="B630">
        <f t="shared" si="18"/>
        <v>2.7370476469514224E-3</v>
      </c>
      <c r="C630">
        <f t="shared" si="19"/>
        <v>-100</v>
      </c>
    </row>
    <row r="631" spans="1:3" x14ac:dyDescent="0.25">
      <c r="A631" s="1">
        <v>335.32</v>
      </c>
      <c r="B631">
        <f t="shared" si="18"/>
        <v>2.7308917714580624E-3</v>
      </c>
      <c r="C631">
        <f t="shared" si="19"/>
        <v>-100</v>
      </c>
    </row>
    <row r="632" spans="1:3" x14ac:dyDescent="0.25">
      <c r="A632" s="1">
        <v>335.8</v>
      </c>
      <c r="B632">
        <f t="shared" si="18"/>
        <v>2.7263120464928216E-3</v>
      </c>
      <c r="C632">
        <f t="shared" si="19"/>
        <v>-100</v>
      </c>
    </row>
    <row r="633" spans="1:3" x14ac:dyDescent="0.25">
      <c r="A633" s="1">
        <v>336.89</v>
      </c>
      <c r="B633">
        <f t="shared" si="18"/>
        <v>2.7158064380153309E-3</v>
      </c>
      <c r="C633">
        <f t="shared" si="19"/>
        <v>-100</v>
      </c>
    </row>
    <row r="634" spans="1:3" x14ac:dyDescent="0.25">
      <c r="A634" s="1">
        <v>336.96</v>
      </c>
      <c r="B634">
        <f t="shared" si="18"/>
        <v>2.7151267793709515E-3</v>
      </c>
      <c r="C634">
        <f t="shared" si="19"/>
        <v>-100</v>
      </c>
    </row>
    <row r="635" spans="1:3" x14ac:dyDescent="0.25">
      <c r="A635" s="1">
        <v>337.17</v>
      </c>
      <c r="B635">
        <f t="shared" si="18"/>
        <v>2.7130842133860872E-3</v>
      </c>
      <c r="C635">
        <f t="shared" si="19"/>
        <v>-100</v>
      </c>
    </row>
    <row r="636" spans="1:3" x14ac:dyDescent="0.25">
      <c r="A636" s="1">
        <v>337.21</v>
      </c>
      <c r="B636">
        <f t="shared" si="18"/>
        <v>2.7126945434783078E-3</v>
      </c>
      <c r="C636">
        <f t="shared" si="19"/>
        <v>-100</v>
      </c>
    </row>
    <row r="637" spans="1:3" x14ac:dyDescent="0.25">
      <c r="A637" s="1">
        <v>337.33</v>
      </c>
      <c r="B637">
        <f t="shared" si="18"/>
        <v>2.7115243649431151E-3</v>
      </c>
      <c r="C637">
        <f t="shared" si="19"/>
        <v>-100</v>
      </c>
    </row>
    <row r="638" spans="1:3" x14ac:dyDescent="0.25">
      <c r="A638" s="1">
        <v>338.2</v>
      </c>
      <c r="B638">
        <f t="shared" si="18"/>
        <v>2.7029883702397411E-3</v>
      </c>
      <c r="C638">
        <f t="shared" si="19"/>
        <v>-100</v>
      </c>
    </row>
    <row r="639" spans="1:3" x14ac:dyDescent="0.25">
      <c r="A639" s="1">
        <v>338.6</v>
      </c>
      <c r="B639">
        <f t="shared" si="18"/>
        <v>2.6990331720862146E-3</v>
      </c>
      <c r="C639">
        <f t="shared" si="19"/>
        <v>-100</v>
      </c>
    </row>
    <row r="640" spans="1:3" x14ac:dyDescent="0.25">
      <c r="A640" s="1">
        <v>338.89</v>
      </c>
      <c r="B640">
        <f t="shared" si="18"/>
        <v>2.696153681214571E-3</v>
      </c>
      <c r="C640">
        <f t="shared" si="19"/>
        <v>-100</v>
      </c>
    </row>
    <row r="641" spans="1:3" x14ac:dyDescent="0.25">
      <c r="A641" s="1">
        <v>338.96</v>
      </c>
      <c r="B641">
        <f t="shared" si="18"/>
        <v>2.6954571290116903E-3</v>
      </c>
      <c r="C641">
        <f t="shared" si="19"/>
        <v>-100</v>
      </c>
    </row>
    <row r="642" spans="1:3" x14ac:dyDescent="0.25">
      <c r="A642" s="1">
        <v>339.12</v>
      </c>
      <c r="B642">
        <f t="shared" si="18"/>
        <v>2.6938628203670143E-3</v>
      </c>
      <c r="C642">
        <f t="shared" si="19"/>
        <v>-100</v>
      </c>
    </row>
    <row r="643" spans="1:3" x14ac:dyDescent="0.25">
      <c r="A643" s="1">
        <v>339.32</v>
      </c>
      <c r="B643">
        <f t="shared" si="18"/>
        <v>2.6918656593166107E-3</v>
      </c>
      <c r="C643">
        <f t="shared" si="19"/>
        <v>-100</v>
      </c>
    </row>
    <row r="644" spans="1:3" x14ac:dyDescent="0.25">
      <c r="A644" s="1">
        <v>339.63</v>
      </c>
      <c r="B644">
        <f t="shared" ref="B644:B707" si="20">_xlfn.NORM.DIST(A644,$B$1,$D$1,FALSE)</f>
        <v>2.688760700119034E-3</v>
      </c>
      <c r="C644">
        <f t="shared" ref="C644:C707" si="21">IF(A644&gt;=$A$2,B644,-100)</f>
        <v>-100</v>
      </c>
    </row>
    <row r="645" spans="1:3" x14ac:dyDescent="0.25">
      <c r="A645" s="1">
        <v>340.31</v>
      </c>
      <c r="B645">
        <f t="shared" si="20"/>
        <v>2.6819101818163077E-3</v>
      </c>
      <c r="C645">
        <f t="shared" si="21"/>
        <v>-100</v>
      </c>
    </row>
    <row r="646" spans="1:3" x14ac:dyDescent="0.25">
      <c r="A646" s="1">
        <v>340.55</v>
      </c>
      <c r="B646">
        <f t="shared" si="20"/>
        <v>2.6794794230935162E-3</v>
      </c>
      <c r="C646">
        <f t="shared" si="21"/>
        <v>-100</v>
      </c>
    </row>
    <row r="647" spans="1:3" x14ac:dyDescent="0.25">
      <c r="A647" s="1">
        <v>341.24</v>
      </c>
      <c r="B647">
        <f t="shared" si="20"/>
        <v>2.6724536951478139E-3</v>
      </c>
      <c r="C647">
        <f t="shared" si="21"/>
        <v>-100</v>
      </c>
    </row>
    <row r="648" spans="1:3" x14ac:dyDescent="0.25">
      <c r="A648" s="1">
        <v>341.91</v>
      </c>
      <c r="B648">
        <f t="shared" si="20"/>
        <v>2.665579044664921E-3</v>
      </c>
      <c r="C648">
        <f t="shared" si="21"/>
        <v>-100</v>
      </c>
    </row>
    <row r="649" spans="1:3" x14ac:dyDescent="0.25">
      <c r="A649" s="1">
        <v>342.39</v>
      </c>
      <c r="B649">
        <f t="shared" si="20"/>
        <v>2.6606223526247077E-3</v>
      </c>
      <c r="C649">
        <f t="shared" si="21"/>
        <v>-100</v>
      </c>
    </row>
    <row r="650" spans="1:3" x14ac:dyDescent="0.25">
      <c r="A650" s="1">
        <v>342.99</v>
      </c>
      <c r="B650">
        <f t="shared" si="20"/>
        <v>2.6543897369880245E-3</v>
      </c>
      <c r="C650">
        <f t="shared" si="21"/>
        <v>-100</v>
      </c>
    </row>
    <row r="651" spans="1:3" x14ac:dyDescent="0.25">
      <c r="A651" s="1">
        <v>343.77</v>
      </c>
      <c r="B651">
        <f t="shared" si="20"/>
        <v>2.6462268382609986E-3</v>
      </c>
      <c r="C651">
        <f t="shared" si="21"/>
        <v>-100</v>
      </c>
    </row>
    <row r="652" spans="1:3" x14ac:dyDescent="0.25">
      <c r="A652" s="1">
        <v>343.77</v>
      </c>
      <c r="B652">
        <f t="shared" si="20"/>
        <v>2.6462268382609986E-3</v>
      </c>
      <c r="C652">
        <f t="shared" si="21"/>
        <v>-100</v>
      </c>
    </row>
    <row r="653" spans="1:3" x14ac:dyDescent="0.25">
      <c r="A653" s="1">
        <v>343.81</v>
      </c>
      <c r="B653">
        <f t="shared" si="20"/>
        <v>2.6458063973720928E-3</v>
      </c>
      <c r="C653">
        <f t="shared" si="21"/>
        <v>-100</v>
      </c>
    </row>
    <row r="654" spans="1:3" x14ac:dyDescent="0.25">
      <c r="A654" s="1">
        <v>344.43</v>
      </c>
      <c r="B654">
        <f t="shared" si="20"/>
        <v>2.6392668871790355E-3</v>
      </c>
      <c r="C654">
        <f t="shared" si="21"/>
        <v>-100</v>
      </c>
    </row>
    <row r="655" spans="1:3" x14ac:dyDescent="0.25">
      <c r="A655" s="1">
        <v>344.81</v>
      </c>
      <c r="B655">
        <f t="shared" si="20"/>
        <v>2.6352378515014422E-3</v>
      </c>
      <c r="C655">
        <f t="shared" si="21"/>
        <v>-100</v>
      </c>
    </row>
    <row r="656" spans="1:3" x14ac:dyDescent="0.25">
      <c r="A656" s="1">
        <v>345.04</v>
      </c>
      <c r="B656">
        <f t="shared" si="20"/>
        <v>2.6327915380467914E-3</v>
      </c>
      <c r="C656">
        <f t="shared" si="21"/>
        <v>-100</v>
      </c>
    </row>
    <row r="657" spans="1:3" x14ac:dyDescent="0.25">
      <c r="A657" s="1">
        <v>345.49</v>
      </c>
      <c r="B657">
        <f t="shared" si="20"/>
        <v>2.6279885981510165E-3</v>
      </c>
      <c r="C657">
        <f t="shared" si="21"/>
        <v>-100</v>
      </c>
    </row>
    <row r="658" spans="1:3" x14ac:dyDescent="0.25">
      <c r="A658" s="1">
        <v>346.36</v>
      </c>
      <c r="B658">
        <f t="shared" si="20"/>
        <v>2.6186408336497566E-3</v>
      </c>
      <c r="C658">
        <f t="shared" si="21"/>
        <v>-100</v>
      </c>
    </row>
    <row r="659" spans="1:3" x14ac:dyDescent="0.25">
      <c r="A659" s="1">
        <v>346.58</v>
      </c>
      <c r="B659">
        <f t="shared" si="20"/>
        <v>2.6162641714565908E-3</v>
      </c>
      <c r="C659">
        <f t="shared" si="21"/>
        <v>-100</v>
      </c>
    </row>
    <row r="660" spans="1:3" x14ac:dyDescent="0.25">
      <c r="A660" s="1">
        <v>347.09</v>
      </c>
      <c r="B660">
        <f t="shared" si="20"/>
        <v>2.6107348387649975E-3</v>
      </c>
      <c r="C660">
        <f t="shared" si="21"/>
        <v>-100</v>
      </c>
    </row>
    <row r="661" spans="1:3" x14ac:dyDescent="0.25">
      <c r="A661" s="1">
        <v>347.99</v>
      </c>
      <c r="B661">
        <f t="shared" si="20"/>
        <v>2.6009102963245254E-3</v>
      </c>
      <c r="C661">
        <f t="shared" si="21"/>
        <v>-100</v>
      </c>
    </row>
    <row r="662" spans="1:3" x14ac:dyDescent="0.25">
      <c r="A662" s="1">
        <v>348.5</v>
      </c>
      <c r="B662">
        <f t="shared" si="20"/>
        <v>2.5953055390710352E-3</v>
      </c>
      <c r="C662">
        <f t="shared" si="21"/>
        <v>-100</v>
      </c>
    </row>
    <row r="663" spans="1:3" x14ac:dyDescent="0.25">
      <c r="A663" s="1">
        <v>348.63</v>
      </c>
      <c r="B663">
        <f t="shared" si="20"/>
        <v>2.5938725712377621E-3</v>
      </c>
      <c r="C663">
        <f t="shared" si="21"/>
        <v>-100</v>
      </c>
    </row>
    <row r="664" spans="1:3" x14ac:dyDescent="0.25">
      <c r="A664" s="1">
        <v>349</v>
      </c>
      <c r="B664">
        <f t="shared" si="20"/>
        <v>2.5897846069629061E-3</v>
      </c>
      <c r="C664">
        <f t="shared" si="21"/>
        <v>-100</v>
      </c>
    </row>
    <row r="665" spans="1:3" x14ac:dyDescent="0.25">
      <c r="A665" s="1">
        <v>351.36</v>
      </c>
      <c r="B665">
        <f t="shared" si="20"/>
        <v>2.5633838574376012E-3</v>
      </c>
      <c r="C665">
        <f t="shared" si="21"/>
        <v>-100</v>
      </c>
    </row>
    <row r="666" spans="1:3" x14ac:dyDescent="0.25">
      <c r="A666" s="1">
        <v>351.54</v>
      </c>
      <c r="B666">
        <f t="shared" si="20"/>
        <v>2.5613474784761036E-3</v>
      </c>
      <c r="C666">
        <f t="shared" si="21"/>
        <v>-100</v>
      </c>
    </row>
    <row r="667" spans="1:3" x14ac:dyDescent="0.25">
      <c r="A667" s="1">
        <v>351.71</v>
      </c>
      <c r="B667">
        <f t="shared" si="20"/>
        <v>2.5594213160238621E-3</v>
      </c>
      <c r="C667">
        <f t="shared" si="21"/>
        <v>-100</v>
      </c>
    </row>
    <row r="668" spans="1:3" x14ac:dyDescent="0.25">
      <c r="A668" s="1">
        <v>352.35</v>
      </c>
      <c r="B668">
        <f t="shared" si="20"/>
        <v>2.5521446271205297E-3</v>
      </c>
      <c r="C668">
        <f t="shared" si="21"/>
        <v>-100</v>
      </c>
    </row>
    <row r="669" spans="1:3" x14ac:dyDescent="0.25">
      <c r="A669" s="1">
        <v>352.87</v>
      </c>
      <c r="B669">
        <f t="shared" si="20"/>
        <v>2.5462031662079644E-3</v>
      </c>
      <c r="C669">
        <f t="shared" si="21"/>
        <v>-100</v>
      </c>
    </row>
    <row r="670" spans="1:3" x14ac:dyDescent="0.25">
      <c r="A670" s="1">
        <v>353.4</v>
      </c>
      <c r="B670">
        <f t="shared" si="20"/>
        <v>2.5401208266862645E-3</v>
      </c>
      <c r="C670">
        <f t="shared" si="21"/>
        <v>-100</v>
      </c>
    </row>
    <row r="671" spans="1:3" x14ac:dyDescent="0.25">
      <c r="A671" s="1">
        <v>354.16</v>
      </c>
      <c r="B671">
        <f t="shared" si="20"/>
        <v>2.5313526042361808E-3</v>
      </c>
      <c r="C671">
        <f t="shared" si="21"/>
        <v>-100</v>
      </c>
    </row>
    <row r="672" spans="1:3" x14ac:dyDescent="0.25">
      <c r="A672" s="1">
        <v>354.7</v>
      </c>
      <c r="B672">
        <f t="shared" si="20"/>
        <v>2.5250897210546334E-3</v>
      </c>
      <c r="C672">
        <f t="shared" si="21"/>
        <v>-100</v>
      </c>
    </row>
    <row r="673" spans="1:3" x14ac:dyDescent="0.25">
      <c r="A673" s="1">
        <v>354.87</v>
      </c>
      <c r="B673">
        <f t="shared" si="20"/>
        <v>2.5231124800948082E-3</v>
      </c>
      <c r="C673">
        <f t="shared" si="21"/>
        <v>-100</v>
      </c>
    </row>
    <row r="674" spans="1:3" x14ac:dyDescent="0.25">
      <c r="A674" s="1">
        <v>354.92</v>
      </c>
      <c r="B674">
        <f t="shared" si="20"/>
        <v>2.5225304314232936E-3</v>
      </c>
      <c r="C674">
        <f t="shared" si="21"/>
        <v>-100</v>
      </c>
    </row>
    <row r="675" spans="1:3" x14ac:dyDescent="0.25">
      <c r="A675" s="1">
        <v>355.28</v>
      </c>
      <c r="B675">
        <f t="shared" si="20"/>
        <v>2.5183329003852536E-3</v>
      </c>
      <c r="C675">
        <f t="shared" si="21"/>
        <v>-100</v>
      </c>
    </row>
    <row r="676" spans="1:3" x14ac:dyDescent="0.25">
      <c r="A676" s="1">
        <v>355.31</v>
      </c>
      <c r="B676">
        <f t="shared" si="20"/>
        <v>2.5179825701658423E-3</v>
      </c>
      <c r="C676">
        <f t="shared" si="21"/>
        <v>-100</v>
      </c>
    </row>
    <row r="677" spans="1:3" x14ac:dyDescent="0.25">
      <c r="A677" s="1">
        <v>356.22</v>
      </c>
      <c r="B677">
        <f t="shared" si="20"/>
        <v>2.5073170306960111E-3</v>
      </c>
      <c r="C677">
        <f t="shared" si="21"/>
        <v>-100</v>
      </c>
    </row>
    <row r="678" spans="1:3" x14ac:dyDescent="0.25">
      <c r="A678" s="1">
        <v>356.45</v>
      </c>
      <c r="B678">
        <f t="shared" si="20"/>
        <v>2.5046095254737171E-3</v>
      </c>
      <c r="C678">
        <f t="shared" si="21"/>
        <v>-100</v>
      </c>
    </row>
    <row r="679" spans="1:3" x14ac:dyDescent="0.25">
      <c r="A679" s="1">
        <v>356.87</v>
      </c>
      <c r="B679">
        <f t="shared" si="20"/>
        <v>2.4996532056247469E-3</v>
      </c>
      <c r="C679">
        <f t="shared" si="21"/>
        <v>-100</v>
      </c>
    </row>
    <row r="680" spans="1:3" x14ac:dyDescent="0.25">
      <c r="A680" s="1">
        <v>358.11</v>
      </c>
      <c r="B680">
        <f t="shared" si="20"/>
        <v>2.4849295836408625E-3</v>
      </c>
      <c r="C680">
        <f t="shared" si="21"/>
        <v>-100</v>
      </c>
    </row>
    <row r="681" spans="1:3" x14ac:dyDescent="0.25">
      <c r="A681" s="1">
        <v>358.5</v>
      </c>
      <c r="B681">
        <f t="shared" si="20"/>
        <v>2.4802711515199633E-3</v>
      </c>
      <c r="C681">
        <f t="shared" si="21"/>
        <v>-100</v>
      </c>
    </row>
    <row r="682" spans="1:3" x14ac:dyDescent="0.25">
      <c r="A682" s="1">
        <v>358.72</v>
      </c>
      <c r="B682">
        <f t="shared" si="20"/>
        <v>2.4776375624100868E-3</v>
      </c>
      <c r="C682">
        <f t="shared" si="21"/>
        <v>-100</v>
      </c>
    </row>
    <row r="683" spans="1:3" x14ac:dyDescent="0.25">
      <c r="A683" s="1">
        <v>359.45</v>
      </c>
      <c r="B683">
        <f t="shared" si="20"/>
        <v>2.4688693702351076E-3</v>
      </c>
      <c r="C683">
        <f t="shared" si="21"/>
        <v>-100</v>
      </c>
    </row>
    <row r="684" spans="1:3" x14ac:dyDescent="0.25">
      <c r="A684" s="1">
        <v>359.75</v>
      </c>
      <c r="B684">
        <f t="shared" si="20"/>
        <v>2.4652529909801363E-3</v>
      </c>
      <c r="C684">
        <f t="shared" si="21"/>
        <v>-100</v>
      </c>
    </row>
    <row r="685" spans="1:3" x14ac:dyDescent="0.25">
      <c r="A685" s="1">
        <v>359.94</v>
      </c>
      <c r="B685">
        <f t="shared" si="20"/>
        <v>2.4629587309315092E-3</v>
      </c>
      <c r="C685">
        <f t="shared" si="21"/>
        <v>-100</v>
      </c>
    </row>
    <row r="686" spans="1:3" x14ac:dyDescent="0.25">
      <c r="A686" s="1">
        <v>360.91</v>
      </c>
      <c r="B686">
        <f t="shared" si="20"/>
        <v>2.4511994515656436E-3</v>
      </c>
      <c r="C686">
        <f t="shared" si="21"/>
        <v>-100</v>
      </c>
    </row>
    <row r="687" spans="1:3" x14ac:dyDescent="0.25">
      <c r="A687" s="1">
        <v>360.92</v>
      </c>
      <c r="B687">
        <f t="shared" si="20"/>
        <v>2.4510778205305904E-3</v>
      </c>
      <c r="C687">
        <f t="shared" si="21"/>
        <v>-100</v>
      </c>
    </row>
    <row r="688" spans="1:3" x14ac:dyDescent="0.25">
      <c r="A688" s="1">
        <v>361.27</v>
      </c>
      <c r="B688">
        <f t="shared" si="20"/>
        <v>2.4468156245976121E-3</v>
      </c>
      <c r="C688">
        <f t="shared" si="21"/>
        <v>-100</v>
      </c>
    </row>
    <row r="689" spans="1:3" x14ac:dyDescent="0.25">
      <c r="A689" s="1">
        <v>361.4</v>
      </c>
      <c r="B689">
        <f t="shared" si="20"/>
        <v>2.4452300019570761E-3</v>
      </c>
      <c r="C689">
        <f t="shared" si="21"/>
        <v>-100</v>
      </c>
    </row>
    <row r="690" spans="1:3" x14ac:dyDescent="0.25">
      <c r="A690" s="1">
        <v>361.48</v>
      </c>
      <c r="B690">
        <f t="shared" si="20"/>
        <v>2.44425355820859E-3</v>
      </c>
      <c r="C690">
        <f t="shared" si="21"/>
        <v>-100</v>
      </c>
    </row>
    <row r="691" spans="1:3" x14ac:dyDescent="0.25">
      <c r="A691" s="1">
        <v>362.01</v>
      </c>
      <c r="B691">
        <f t="shared" si="20"/>
        <v>2.4377716822611135E-3</v>
      </c>
      <c r="C691">
        <f t="shared" si="21"/>
        <v>-100</v>
      </c>
    </row>
    <row r="692" spans="1:3" x14ac:dyDescent="0.25">
      <c r="A692" s="1">
        <v>362.3</v>
      </c>
      <c r="B692">
        <f t="shared" si="20"/>
        <v>2.4342155450991815E-3</v>
      </c>
      <c r="C692">
        <f t="shared" si="21"/>
        <v>-100</v>
      </c>
    </row>
    <row r="693" spans="1:3" x14ac:dyDescent="0.25">
      <c r="A693" s="1">
        <v>363.84</v>
      </c>
      <c r="B693">
        <f t="shared" si="20"/>
        <v>2.4152212472699822E-3</v>
      </c>
      <c r="C693">
        <f t="shared" si="21"/>
        <v>-100</v>
      </c>
    </row>
    <row r="694" spans="1:3" x14ac:dyDescent="0.25">
      <c r="A694" s="1">
        <v>363.91</v>
      </c>
      <c r="B694">
        <f t="shared" si="20"/>
        <v>2.414353536788046E-3</v>
      </c>
      <c r="C694">
        <f t="shared" si="21"/>
        <v>-100</v>
      </c>
    </row>
    <row r="695" spans="1:3" x14ac:dyDescent="0.25">
      <c r="A695" s="1">
        <v>363.98</v>
      </c>
      <c r="B695">
        <f t="shared" si="20"/>
        <v>2.4134854544945461E-3</v>
      </c>
      <c r="C695">
        <f t="shared" si="21"/>
        <v>-100</v>
      </c>
    </row>
    <row r="696" spans="1:3" x14ac:dyDescent="0.25">
      <c r="A696" s="1">
        <v>364.48</v>
      </c>
      <c r="B696">
        <f t="shared" si="20"/>
        <v>2.4072741092303171E-3</v>
      </c>
      <c r="C696">
        <f t="shared" si="21"/>
        <v>-100</v>
      </c>
    </row>
    <row r="697" spans="1:3" x14ac:dyDescent="0.25">
      <c r="A697" s="1">
        <v>364.98</v>
      </c>
      <c r="B697">
        <f t="shared" si="20"/>
        <v>2.4010440539271221E-3</v>
      </c>
      <c r="C697">
        <f t="shared" si="21"/>
        <v>-100</v>
      </c>
    </row>
    <row r="698" spans="1:3" x14ac:dyDescent="0.25">
      <c r="A698" s="1">
        <v>365.1</v>
      </c>
      <c r="B698">
        <f t="shared" si="20"/>
        <v>2.3995460819541399E-3</v>
      </c>
      <c r="C698">
        <f t="shared" si="21"/>
        <v>-100</v>
      </c>
    </row>
    <row r="699" spans="1:3" x14ac:dyDescent="0.25">
      <c r="A699" s="1">
        <v>365.37</v>
      </c>
      <c r="B699">
        <f t="shared" si="20"/>
        <v>2.3961717690973092E-3</v>
      </c>
      <c r="C699">
        <f t="shared" si="21"/>
        <v>-100</v>
      </c>
    </row>
    <row r="700" spans="1:3" x14ac:dyDescent="0.25">
      <c r="A700" s="1">
        <v>365.38</v>
      </c>
      <c r="B700">
        <f t="shared" si="20"/>
        <v>2.3960466918248528E-3</v>
      </c>
      <c r="C700">
        <f t="shared" si="21"/>
        <v>-100</v>
      </c>
    </row>
    <row r="701" spans="1:3" x14ac:dyDescent="0.25">
      <c r="A701" s="1">
        <v>365.88</v>
      </c>
      <c r="B701">
        <f t="shared" si="20"/>
        <v>2.3897835337495202E-3</v>
      </c>
      <c r="C701">
        <f t="shared" si="21"/>
        <v>-100</v>
      </c>
    </row>
    <row r="702" spans="1:3" x14ac:dyDescent="0.25">
      <c r="A702" s="1">
        <v>365.88</v>
      </c>
      <c r="B702">
        <f t="shared" si="20"/>
        <v>2.3897835337495202E-3</v>
      </c>
      <c r="C702">
        <f t="shared" si="21"/>
        <v>-100</v>
      </c>
    </row>
    <row r="703" spans="1:3" x14ac:dyDescent="0.25">
      <c r="A703" s="1">
        <v>366.16</v>
      </c>
      <c r="B703">
        <f t="shared" si="20"/>
        <v>2.386268257397539E-3</v>
      </c>
      <c r="C703">
        <f t="shared" si="21"/>
        <v>-100</v>
      </c>
    </row>
    <row r="704" spans="1:3" x14ac:dyDescent="0.25">
      <c r="A704" s="1">
        <v>366.77</v>
      </c>
      <c r="B704">
        <f t="shared" si="20"/>
        <v>2.3785905496120563E-3</v>
      </c>
      <c r="C704">
        <f t="shared" si="21"/>
        <v>-100</v>
      </c>
    </row>
    <row r="705" spans="1:3" x14ac:dyDescent="0.25">
      <c r="A705" s="1">
        <v>367.56</v>
      </c>
      <c r="B705">
        <f t="shared" si="20"/>
        <v>2.3686082787367849E-3</v>
      </c>
      <c r="C705">
        <f t="shared" si="21"/>
        <v>-100</v>
      </c>
    </row>
    <row r="706" spans="1:3" x14ac:dyDescent="0.25">
      <c r="A706" s="1">
        <v>367.7</v>
      </c>
      <c r="B706">
        <f t="shared" si="20"/>
        <v>2.3668347376394035E-3</v>
      </c>
      <c r="C706">
        <f t="shared" si="21"/>
        <v>-100</v>
      </c>
    </row>
    <row r="707" spans="1:3" x14ac:dyDescent="0.25">
      <c r="A707" s="1">
        <v>367.99</v>
      </c>
      <c r="B707">
        <f t="shared" si="20"/>
        <v>2.3631566807692851E-3</v>
      </c>
      <c r="C707">
        <f t="shared" si="21"/>
        <v>-100</v>
      </c>
    </row>
    <row r="708" spans="1:3" x14ac:dyDescent="0.25">
      <c r="A708" s="1">
        <v>368.4</v>
      </c>
      <c r="B708">
        <f t="shared" ref="B708:B771" si="22">_xlfn.NORM.DIST(A708,$B$1,$D$1,FALSE)</f>
        <v>2.3579468622185701E-3</v>
      </c>
      <c r="C708">
        <f t="shared" ref="C708:C771" si="23">IF(A708&gt;=$A$2,B708,-100)</f>
        <v>-100</v>
      </c>
    </row>
    <row r="709" spans="1:3" x14ac:dyDescent="0.25">
      <c r="A709" s="1">
        <v>368.91</v>
      </c>
      <c r="B709">
        <f t="shared" si="22"/>
        <v>2.3514504967810882E-3</v>
      </c>
      <c r="C709">
        <f t="shared" si="23"/>
        <v>-100</v>
      </c>
    </row>
    <row r="710" spans="1:3" x14ac:dyDescent="0.25">
      <c r="A710" s="1">
        <v>369.73</v>
      </c>
      <c r="B710">
        <f t="shared" si="22"/>
        <v>2.3409690775449544E-3</v>
      </c>
      <c r="C710">
        <f t="shared" si="23"/>
        <v>-100</v>
      </c>
    </row>
    <row r="711" spans="1:3" x14ac:dyDescent="0.25">
      <c r="A711" s="1">
        <v>370.05</v>
      </c>
      <c r="B711">
        <f t="shared" si="22"/>
        <v>2.3368668155281116E-3</v>
      </c>
      <c r="C711">
        <f t="shared" si="23"/>
        <v>-100</v>
      </c>
    </row>
    <row r="712" spans="1:3" x14ac:dyDescent="0.25">
      <c r="A712" s="1">
        <v>370.17</v>
      </c>
      <c r="B712">
        <f t="shared" si="22"/>
        <v>2.3353267577419612E-3</v>
      </c>
      <c r="C712">
        <f t="shared" si="23"/>
        <v>-100</v>
      </c>
    </row>
    <row r="713" spans="1:3" x14ac:dyDescent="0.25">
      <c r="A713" s="1">
        <v>370.38</v>
      </c>
      <c r="B713">
        <f t="shared" si="22"/>
        <v>2.3326294266573094E-3</v>
      </c>
      <c r="C713">
        <f t="shared" si="23"/>
        <v>-100</v>
      </c>
    </row>
    <row r="714" spans="1:3" x14ac:dyDescent="0.25">
      <c r="A714" s="1">
        <v>370.54</v>
      </c>
      <c r="B714">
        <f t="shared" si="22"/>
        <v>2.3305724211891213E-3</v>
      </c>
      <c r="C714">
        <f t="shared" si="23"/>
        <v>-100</v>
      </c>
    </row>
    <row r="715" spans="1:3" x14ac:dyDescent="0.25">
      <c r="A715" s="1">
        <v>370.73</v>
      </c>
      <c r="B715">
        <f t="shared" si="22"/>
        <v>2.3281276087297287E-3</v>
      </c>
      <c r="C715">
        <f t="shared" si="23"/>
        <v>-100</v>
      </c>
    </row>
    <row r="716" spans="1:3" x14ac:dyDescent="0.25">
      <c r="A716" s="1">
        <v>371.12</v>
      </c>
      <c r="B716">
        <f t="shared" si="22"/>
        <v>2.3231021547950779E-3</v>
      </c>
      <c r="C716">
        <f t="shared" si="23"/>
        <v>-100</v>
      </c>
    </row>
    <row r="717" spans="1:3" x14ac:dyDescent="0.25">
      <c r="A717" s="1">
        <v>371.19</v>
      </c>
      <c r="B717">
        <f t="shared" si="22"/>
        <v>2.3221991381752803E-3</v>
      </c>
      <c r="C717">
        <f t="shared" si="23"/>
        <v>-100</v>
      </c>
    </row>
    <row r="718" spans="1:3" x14ac:dyDescent="0.25">
      <c r="A718" s="1">
        <v>371.32</v>
      </c>
      <c r="B718">
        <f t="shared" si="22"/>
        <v>2.3205212948141578E-3</v>
      </c>
      <c r="C718">
        <f t="shared" si="23"/>
        <v>-100</v>
      </c>
    </row>
    <row r="719" spans="1:3" x14ac:dyDescent="0.25">
      <c r="A719" s="1">
        <v>371.58</v>
      </c>
      <c r="B719">
        <f t="shared" si="22"/>
        <v>2.3171624536551796E-3</v>
      </c>
      <c r="C719">
        <f t="shared" si="23"/>
        <v>-100</v>
      </c>
    </row>
    <row r="720" spans="1:3" x14ac:dyDescent="0.25">
      <c r="A720" s="1">
        <v>371.84</v>
      </c>
      <c r="B720">
        <f t="shared" si="22"/>
        <v>2.3137994335180115E-3</v>
      </c>
      <c r="C720">
        <f t="shared" si="23"/>
        <v>-100</v>
      </c>
    </row>
    <row r="721" spans="1:3" x14ac:dyDescent="0.25">
      <c r="A721" s="1">
        <v>372.26</v>
      </c>
      <c r="B721">
        <f t="shared" si="22"/>
        <v>2.3083581170411107E-3</v>
      </c>
      <c r="C721">
        <f t="shared" si="23"/>
        <v>-100</v>
      </c>
    </row>
    <row r="722" spans="1:3" x14ac:dyDescent="0.25">
      <c r="A722" s="1">
        <v>372.49</v>
      </c>
      <c r="B722">
        <f t="shared" si="22"/>
        <v>2.3053738122935075E-3</v>
      </c>
      <c r="C722">
        <f t="shared" si="23"/>
        <v>-100</v>
      </c>
    </row>
    <row r="723" spans="1:3" x14ac:dyDescent="0.25">
      <c r="A723" s="1">
        <v>372.6</v>
      </c>
      <c r="B723">
        <f t="shared" si="22"/>
        <v>2.3039454100150622E-3</v>
      </c>
      <c r="C723">
        <f t="shared" si="23"/>
        <v>-100</v>
      </c>
    </row>
    <row r="724" spans="1:3" x14ac:dyDescent="0.25">
      <c r="A724" s="1">
        <v>373.01</v>
      </c>
      <c r="B724">
        <f t="shared" si="22"/>
        <v>2.2986149948376472E-3</v>
      </c>
      <c r="C724">
        <f t="shared" si="23"/>
        <v>-100</v>
      </c>
    </row>
    <row r="725" spans="1:3" x14ac:dyDescent="0.25">
      <c r="A725" s="1">
        <v>373.05</v>
      </c>
      <c r="B725">
        <f t="shared" si="22"/>
        <v>2.2980944195907845E-3</v>
      </c>
      <c r="C725">
        <f t="shared" si="23"/>
        <v>-100</v>
      </c>
    </row>
    <row r="726" spans="1:3" x14ac:dyDescent="0.25">
      <c r="A726" s="1">
        <v>373.49</v>
      </c>
      <c r="B726">
        <f t="shared" si="22"/>
        <v>2.2923618751972703E-3</v>
      </c>
      <c r="C726">
        <f t="shared" si="23"/>
        <v>-100</v>
      </c>
    </row>
    <row r="727" spans="1:3" x14ac:dyDescent="0.25">
      <c r="A727" s="1">
        <v>373.69</v>
      </c>
      <c r="B727">
        <f t="shared" si="22"/>
        <v>2.2897524321994719E-3</v>
      </c>
      <c r="C727">
        <f t="shared" si="23"/>
        <v>-100</v>
      </c>
    </row>
    <row r="728" spans="1:3" x14ac:dyDescent="0.25">
      <c r="A728" s="1">
        <v>374.36</v>
      </c>
      <c r="B728">
        <f t="shared" si="22"/>
        <v>2.2809939960626749E-3</v>
      </c>
      <c r="C728">
        <f t="shared" si="23"/>
        <v>-100</v>
      </c>
    </row>
    <row r="729" spans="1:3" x14ac:dyDescent="0.25">
      <c r="A729" s="1">
        <v>375.45</v>
      </c>
      <c r="B729">
        <f t="shared" si="22"/>
        <v>2.2666910514782096E-3</v>
      </c>
      <c r="C729">
        <f t="shared" si="23"/>
        <v>-100</v>
      </c>
    </row>
    <row r="730" spans="1:3" x14ac:dyDescent="0.25">
      <c r="A730" s="1">
        <v>375.7</v>
      </c>
      <c r="B730">
        <f t="shared" si="22"/>
        <v>2.2634013107805393E-3</v>
      </c>
      <c r="C730">
        <f t="shared" si="23"/>
        <v>-100</v>
      </c>
    </row>
    <row r="731" spans="1:3" x14ac:dyDescent="0.25">
      <c r="A731" s="1">
        <v>377.67</v>
      </c>
      <c r="B731">
        <f t="shared" si="22"/>
        <v>2.2373618442191323E-3</v>
      </c>
      <c r="C731">
        <f t="shared" si="23"/>
        <v>-100</v>
      </c>
    </row>
    <row r="732" spans="1:3" x14ac:dyDescent="0.25">
      <c r="A732" s="1">
        <v>377.77</v>
      </c>
      <c r="B732">
        <f t="shared" si="22"/>
        <v>2.2360346857113484E-3</v>
      </c>
      <c r="C732">
        <f t="shared" si="23"/>
        <v>-100</v>
      </c>
    </row>
    <row r="733" spans="1:3" x14ac:dyDescent="0.25">
      <c r="A733" s="1">
        <v>378.14</v>
      </c>
      <c r="B733">
        <f t="shared" si="22"/>
        <v>2.2311198276060624E-3</v>
      </c>
      <c r="C733">
        <f t="shared" si="23"/>
        <v>-100</v>
      </c>
    </row>
    <row r="734" spans="1:3" x14ac:dyDescent="0.25">
      <c r="A734" s="1">
        <v>378.47</v>
      </c>
      <c r="B734">
        <f t="shared" si="22"/>
        <v>2.2267305549328116E-3</v>
      </c>
      <c r="C734">
        <f t="shared" si="23"/>
        <v>-100</v>
      </c>
    </row>
    <row r="735" spans="1:3" x14ac:dyDescent="0.25">
      <c r="A735" s="1">
        <v>378.59</v>
      </c>
      <c r="B735">
        <f t="shared" si="22"/>
        <v>2.2251331250143181E-3</v>
      </c>
      <c r="C735">
        <f t="shared" si="23"/>
        <v>-100</v>
      </c>
    </row>
    <row r="736" spans="1:3" x14ac:dyDescent="0.25">
      <c r="A736" s="1">
        <v>378.71</v>
      </c>
      <c r="B736">
        <f t="shared" si="22"/>
        <v>2.2235349903679601E-3</v>
      </c>
      <c r="C736">
        <f t="shared" si="23"/>
        <v>-100</v>
      </c>
    </row>
    <row r="737" spans="1:3" x14ac:dyDescent="0.25">
      <c r="A737" s="1">
        <v>378.87</v>
      </c>
      <c r="B737">
        <f t="shared" si="22"/>
        <v>2.2214030534006791E-3</v>
      </c>
      <c r="C737">
        <f t="shared" si="23"/>
        <v>-100</v>
      </c>
    </row>
    <row r="738" spans="1:3" x14ac:dyDescent="0.25">
      <c r="A738" s="1">
        <v>378.87</v>
      </c>
      <c r="B738">
        <f t="shared" si="22"/>
        <v>2.2214030534006791E-3</v>
      </c>
      <c r="C738">
        <f t="shared" si="23"/>
        <v>-100</v>
      </c>
    </row>
    <row r="739" spans="1:3" x14ac:dyDescent="0.25">
      <c r="A739" s="1">
        <v>379.2</v>
      </c>
      <c r="B739">
        <f t="shared" si="22"/>
        <v>2.2170020265074946E-3</v>
      </c>
      <c r="C739">
        <f t="shared" si="23"/>
        <v>-100</v>
      </c>
    </row>
    <row r="740" spans="1:3" x14ac:dyDescent="0.25">
      <c r="A740" s="1">
        <v>379.21</v>
      </c>
      <c r="B740">
        <f t="shared" si="22"/>
        <v>2.2168685804262161E-3</v>
      </c>
      <c r="C740">
        <f t="shared" si="23"/>
        <v>-100</v>
      </c>
    </row>
    <row r="741" spans="1:3" x14ac:dyDescent="0.25">
      <c r="A741" s="1">
        <v>380.99</v>
      </c>
      <c r="B741">
        <f t="shared" si="22"/>
        <v>2.1930407406053833E-3</v>
      </c>
      <c r="C741">
        <f t="shared" si="23"/>
        <v>-100</v>
      </c>
    </row>
    <row r="742" spans="1:3" x14ac:dyDescent="0.25">
      <c r="A742" s="1">
        <v>381.3</v>
      </c>
      <c r="B742">
        <f t="shared" si="22"/>
        <v>2.1888762261936868E-3</v>
      </c>
      <c r="C742">
        <f t="shared" si="23"/>
        <v>-100</v>
      </c>
    </row>
    <row r="743" spans="1:3" x14ac:dyDescent="0.25">
      <c r="A743" s="1">
        <v>382.24</v>
      </c>
      <c r="B743">
        <f t="shared" si="22"/>
        <v>2.1762227274851418E-3</v>
      </c>
      <c r="C743">
        <f t="shared" si="23"/>
        <v>-100</v>
      </c>
    </row>
    <row r="744" spans="1:3" x14ac:dyDescent="0.25">
      <c r="A744" s="1">
        <v>382.49</v>
      </c>
      <c r="B744">
        <f t="shared" si="22"/>
        <v>2.1728510849703853E-3</v>
      </c>
      <c r="C744">
        <f t="shared" si="23"/>
        <v>-100</v>
      </c>
    </row>
    <row r="745" spans="1:3" x14ac:dyDescent="0.25">
      <c r="A745" s="1">
        <v>382.94</v>
      </c>
      <c r="B745">
        <f t="shared" si="22"/>
        <v>2.1667755613186835E-3</v>
      </c>
      <c r="C745">
        <f t="shared" si="23"/>
        <v>-100</v>
      </c>
    </row>
    <row r="746" spans="1:3" x14ac:dyDescent="0.25">
      <c r="A746" s="1">
        <v>383.13</v>
      </c>
      <c r="B746">
        <f t="shared" si="22"/>
        <v>2.1642078379025972E-3</v>
      </c>
      <c r="C746">
        <f t="shared" si="23"/>
        <v>-100</v>
      </c>
    </row>
    <row r="747" spans="1:3" x14ac:dyDescent="0.25">
      <c r="A747" s="1">
        <v>383.33</v>
      </c>
      <c r="B747">
        <f t="shared" si="22"/>
        <v>2.1615033858881738E-3</v>
      </c>
      <c r="C747">
        <f t="shared" si="23"/>
        <v>-100</v>
      </c>
    </row>
    <row r="748" spans="1:3" x14ac:dyDescent="0.25">
      <c r="A748" s="1">
        <v>384.26</v>
      </c>
      <c r="B748">
        <f t="shared" si="22"/>
        <v>2.1489067453987249E-3</v>
      </c>
      <c r="C748">
        <f t="shared" si="23"/>
        <v>-100</v>
      </c>
    </row>
    <row r="749" spans="1:3" x14ac:dyDescent="0.25">
      <c r="A749" s="1">
        <v>385.08</v>
      </c>
      <c r="B749">
        <f t="shared" si="22"/>
        <v>2.1377722840415668E-3</v>
      </c>
      <c r="C749">
        <f t="shared" si="23"/>
        <v>-100</v>
      </c>
    </row>
    <row r="750" spans="1:3" x14ac:dyDescent="0.25">
      <c r="A750" s="1">
        <v>385.32</v>
      </c>
      <c r="B750">
        <f t="shared" si="22"/>
        <v>2.1345086511674743E-3</v>
      </c>
      <c r="C750">
        <f t="shared" si="23"/>
        <v>-100</v>
      </c>
    </row>
    <row r="751" spans="1:3" x14ac:dyDescent="0.25">
      <c r="A751" s="1">
        <v>388.01</v>
      </c>
      <c r="B751">
        <f t="shared" si="22"/>
        <v>2.0977899925351002E-3</v>
      </c>
      <c r="C751">
        <f t="shared" si="23"/>
        <v>-100</v>
      </c>
    </row>
    <row r="752" spans="1:3" x14ac:dyDescent="0.25">
      <c r="A752" s="1">
        <v>388.26</v>
      </c>
      <c r="B752">
        <f t="shared" si="22"/>
        <v>2.0943652373824513E-3</v>
      </c>
      <c r="C752">
        <f t="shared" si="23"/>
        <v>-100</v>
      </c>
    </row>
    <row r="753" spans="1:3" x14ac:dyDescent="0.25">
      <c r="A753" s="1">
        <v>388.82</v>
      </c>
      <c r="B753">
        <f t="shared" si="22"/>
        <v>2.0866867063144483E-3</v>
      </c>
      <c r="C753">
        <f t="shared" si="23"/>
        <v>-100</v>
      </c>
    </row>
    <row r="754" spans="1:3" x14ac:dyDescent="0.25">
      <c r="A754" s="1">
        <v>389.47</v>
      </c>
      <c r="B754">
        <f t="shared" si="22"/>
        <v>2.0777621923912153E-3</v>
      </c>
      <c r="C754">
        <f t="shared" si="23"/>
        <v>-100</v>
      </c>
    </row>
    <row r="755" spans="1:3" x14ac:dyDescent="0.25">
      <c r="A755" s="1">
        <v>389.7</v>
      </c>
      <c r="B755">
        <f t="shared" si="22"/>
        <v>2.074601303215014E-3</v>
      </c>
      <c r="C755">
        <f t="shared" si="23"/>
        <v>-100</v>
      </c>
    </row>
    <row r="756" spans="1:3" x14ac:dyDescent="0.25">
      <c r="A756" s="1">
        <v>390.44</v>
      </c>
      <c r="B756">
        <f t="shared" si="22"/>
        <v>2.0644212475106334E-3</v>
      </c>
      <c r="C756">
        <f t="shared" si="23"/>
        <v>-100</v>
      </c>
    </row>
    <row r="757" spans="1:3" x14ac:dyDescent="0.25">
      <c r="A757" s="1">
        <v>390.51</v>
      </c>
      <c r="B757">
        <f t="shared" si="22"/>
        <v>2.0634574779993314E-3</v>
      </c>
      <c r="C757">
        <f t="shared" si="23"/>
        <v>-100</v>
      </c>
    </row>
    <row r="758" spans="1:3" x14ac:dyDescent="0.25">
      <c r="A758" s="1">
        <v>390.83</v>
      </c>
      <c r="B758">
        <f t="shared" si="22"/>
        <v>2.0590499746205768E-3</v>
      </c>
      <c r="C758">
        <f t="shared" si="23"/>
        <v>-100</v>
      </c>
    </row>
    <row r="759" spans="1:3" x14ac:dyDescent="0.25">
      <c r="A759" s="1">
        <v>391.38</v>
      </c>
      <c r="B759">
        <f t="shared" si="22"/>
        <v>2.0514681934225608E-3</v>
      </c>
      <c r="C759">
        <f t="shared" si="23"/>
        <v>-100</v>
      </c>
    </row>
    <row r="760" spans="1:3" x14ac:dyDescent="0.25">
      <c r="A760" s="1">
        <v>391.87</v>
      </c>
      <c r="B760">
        <f t="shared" si="22"/>
        <v>2.0447069203235065E-3</v>
      </c>
      <c r="C760">
        <f t="shared" si="23"/>
        <v>-100</v>
      </c>
    </row>
    <row r="761" spans="1:3" x14ac:dyDescent="0.25">
      <c r="A761" s="1">
        <v>392.08</v>
      </c>
      <c r="B761">
        <f t="shared" si="22"/>
        <v>2.0418073834745946E-3</v>
      </c>
      <c r="C761">
        <f t="shared" si="23"/>
        <v>-100</v>
      </c>
    </row>
    <row r="762" spans="1:3" x14ac:dyDescent="0.25">
      <c r="A762" s="1">
        <v>392.27</v>
      </c>
      <c r="B762">
        <f t="shared" si="22"/>
        <v>2.039183057257565E-3</v>
      </c>
      <c r="C762">
        <f t="shared" si="23"/>
        <v>-100</v>
      </c>
    </row>
    <row r="763" spans="1:3" x14ac:dyDescent="0.25">
      <c r="A763" s="1">
        <v>393.03</v>
      </c>
      <c r="B763">
        <f t="shared" si="22"/>
        <v>2.0286771087375316E-3</v>
      </c>
      <c r="C763">
        <f t="shared" si="23"/>
        <v>-100</v>
      </c>
    </row>
    <row r="764" spans="1:3" x14ac:dyDescent="0.25">
      <c r="A764" s="1">
        <v>393.09</v>
      </c>
      <c r="B764">
        <f t="shared" si="22"/>
        <v>2.0278471173015402E-3</v>
      </c>
      <c r="C764">
        <f t="shared" si="23"/>
        <v>-100</v>
      </c>
    </row>
    <row r="765" spans="1:3" x14ac:dyDescent="0.25">
      <c r="A765" s="1">
        <v>393.35</v>
      </c>
      <c r="B765">
        <f t="shared" si="22"/>
        <v>2.0242495426232897E-3</v>
      </c>
      <c r="C765">
        <f t="shared" si="23"/>
        <v>-100</v>
      </c>
    </row>
    <row r="766" spans="1:3" x14ac:dyDescent="0.25">
      <c r="A766" s="1">
        <v>393.45</v>
      </c>
      <c r="B766">
        <f t="shared" si="22"/>
        <v>2.0228654555273355E-3</v>
      </c>
      <c r="C766">
        <f t="shared" si="23"/>
        <v>-100</v>
      </c>
    </row>
    <row r="767" spans="1:3" x14ac:dyDescent="0.25">
      <c r="A767" s="1">
        <v>393.48</v>
      </c>
      <c r="B767">
        <f t="shared" si="22"/>
        <v>2.0224501860191227E-3</v>
      </c>
      <c r="C767">
        <f t="shared" si="23"/>
        <v>-100</v>
      </c>
    </row>
    <row r="768" spans="1:3" x14ac:dyDescent="0.25">
      <c r="A768" s="1">
        <v>393.78</v>
      </c>
      <c r="B768">
        <f t="shared" si="22"/>
        <v>2.0182964021942329E-3</v>
      </c>
      <c r="C768">
        <f t="shared" si="23"/>
        <v>-100</v>
      </c>
    </row>
    <row r="769" spans="1:3" x14ac:dyDescent="0.25">
      <c r="A769" s="1">
        <v>395.01</v>
      </c>
      <c r="B769">
        <f t="shared" si="22"/>
        <v>2.0012460478495476E-3</v>
      </c>
      <c r="C769">
        <f t="shared" si="23"/>
        <v>-100</v>
      </c>
    </row>
    <row r="770" spans="1:3" x14ac:dyDescent="0.25">
      <c r="A770" s="1">
        <v>395.18</v>
      </c>
      <c r="B770">
        <f t="shared" si="22"/>
        <v>1.9988871032396729E-3</v>
      </c>
      <c r="C770">
        <f t="shared" si="23"/>
        <v>-100</v>
      </c>
    </row>
    <row r="771" spans="1:3" x14ac:dyDescent="0.25">
      <c r="A771" s="1">
        <v>395.97</v>
      </c>
      <c r="B771">
        <f t="shared" si="22"/>
        <v>1.9879178094349436E-3</v>
      </c>
      <c r="C771">
        <f t="shared" si="23"/>
        <v>-100</v>
      </c>
    </row>
    <row r="772" spans="1:3" x14ac:dyDescent="0.25">
      <c r="A772" s="1">
        <v>396.76</v>
      </c>
      <c r="B772">
        <f t="shared" ref="B772:B835" si="24">_xlfn.NORM.DIST(A772,$B$1,$D$1,FALSE)</f>
        <v>1.9769373960729546E-3</v>
      </c>
      <c r="C772">
        <f t="shared" ref="C772:C835" si="25">IF(A772&gt;=$A$2,B772,-100)</f>
        <v>-100</v>
      </c>
    </row>
    <row r="773" spans="1:3" x14ac:dyDescent="0.25">
      <c r="A773" s="1">
        <v>396.82</v>
      </c>
      <c r="B773">
        <f t="shared" si="24"/>
        <v>1.9761030103914753E-3</v>
      </c>
      <c r="C773">
        <f t="shared" si="25"/>
        <v>-100</v>
      </c>
    </row>
    <row r="774" spans="1:3" x14ac:dyDescent="0.25">
      <c r="A774" s="1">
        <v>397.25</v>
      </c>
      <c r="B774">
        <f t="shared" si="24"/>
        <v>1.9701215463587395E-3</v>
      </c>
      <c r="C774">
        <f t="shared" si="25"/>
        <v>-100</v>
      </c>
    </row>
    <row r="775" spans="1:3" x14ac:dyDescent="0.25">
      <c r="A775" s="1">
        <v>397.78</v>
      </c>
      <c r="B775">
        <f t="shared" si="24"/>
        <v>1.9627450877867133E-3</v>
      </c>
      <c r="C775">
        <f t="shared" si="25"/>
        <v>-100</v>
      </c>
    </row>
    <row r="776" spans="1:3" x14ac:dyDescent="0.25">
      <c r="A776" s="1">
        <v>398.97</v>
      </c>
      <c r="B776">
        <f t="shared" si="24"/>
        <v>1.9461681922018153E-3</v>
      </c>
      <c r="C776">
        <f t="shared" si="25"/>
        <v>-100</v>
      </c>
    </row>
    <row r="777" spans="1:3" x14ac:dyDescent="0.25">
      <c r="A777" s="1">
        <v>399.24</v>
      </c>
      <c r="B777">
        <f t="shared" si="24"/>
        <v>1.9424044480842886E-3</v>
      </c>
      <c r="C777">
        <f t="shared" si="25"/>
        <v>-100</v>
      </c>
    </row>
    <row r="778" spans="1:3" x14ac:dyDescent="0.25">
      <c r="A778" s="1">
        <v>399.56</v>
      </c>
      <c r="B778">
        <f t="shared" si="24"/>
        <v>1.9379425645571378E-3</v>
      </c>
      <c r="C778">
        <f t="shared" si="25"/>
        <v>-100</v>
      </c>
    </row>
    <row r="779" spans="1:3" x14ac:dyDescent="0.25">
      <c r="A779" s="1">
        <v>399.58</v>
      </c>
      <c r="B779">
        <f t="shared" si="24"/>
        <v>1.9376636565999839E-3</v>
      </c>
      <c r="C779">
        <f t="shared" si="25"/>
        <v>-100</v>
      </c>
    </row>
    <row r="780" spans="1:3" x14ac:dyDescent="0.25">
      <c r="A780" s="1">
        <v>399.95</v>
      </c>
      <c r="B780">
        <f t="shared" si="24"/>
        <v>1.9325030345025086E-3</v>
      </c>
      <c r="C780">
        <f t="shared" si="25"/>
        <v>-100</v>
      </c>
    </row>
    <row r="781" spans="1:3" x14ac:dyDescent="0.25">
      <c r="A781" s="1">
        <v>400.86</v>
      </c>
      <c r="B781">
        <f t="shared" si="24"/>
        <v>1.9198044620184751E-3</v>
      </c>
      <c r="C781">
        <f t="shared" si="25"/>
        <v>-100</v>
      </c>
    </row>
    <row r="782" spans="1:3" x14ac:dyDescent="0.25">
      <c r="A782" s="1">
        <v>401.43</v>
      </c>
      <c r="B782">
        <f t="shared" si="24"/>
        <v>1.9118463366285111E-3</v>
      </c>
      <c r="C782">
        <f t="shared" si="25"/>
        <v>-100</v>
      </c>
    </row>
    <row r="783" spans="1:3" x14ac:dyDescent="0.25">
      <c r="A783" s="1">
        <v>401.75</v>
      </c>
      <c r="B783">
        <f t="shared" si="24"/>
        <v>1.9073773851877498E-3</v>
      </c>
      <c r="C783">
        <f t="shared" si="25"/>
        <v>-100</v>
      </c>
    </row>
    <row r="784" spans="1:3" x14ac:dyDescent="0.25">
      <c r="A784" s="1">
        <v>402.82</v>
      </c>
      <c r="B784">
        <f t="shared" si="24"/>
        <v>1.8924287083722231E-3</v>
      </c>
      <c r="C784">
        <f t="shared" si="25"/>
        <v>-100</v>
      </c>
    </row>
    <row r="785" spans="1:3" x14ac:dyDescent="0.25">
      <c r="A785" s="1">
        <v>402.86</v>
      </c>
      <c r="B785">
        <f t="shared" si="24"/>
        <v>1.8918697291963188E-3</v>
      </c>
      <c r="C785">
        <f t="shared" si="25"/>
        <v>-100</v>
      </c>
    </row>
    <row r="786" spans="1:3" x14ac:dyDescent="0.25">
      <c r="A786" s="1">
        <v>403.03</v>
      </c>
      <c r="B786">
        <f t="shared" si="24"/>
        <v>1.8894939596500189E-3</v>
      </c>
      <c r="C786">
        <f t="shared" si="25"/>
        <v>-100</v>
      </c>
    </row>
    <row r="787" spans="1:3" x14ac:dyDescent="0.25">
      <c r="A787" s="1">
        <v>403.57</v>
      </c>
      <c r="B787">
        <f t="shared" si="24"/>
        <v>1.881946316649829E-3</v>
      </c>
      <c r="C787">
        <f t="shared" si="25"/>
        <v>-100</v>
      </c>
    </row>
    <row r="788" spans="1:3" x14ac:dyDescent="0.25">
      <c r="A788" s="1">
        <v>404.12</v>
      </c>
      <c r="B788">
        <f t="shared" si="24"/>
        <v>1.8742574206397056E-3</v>
      </c>
      <c r="C788">
        <f t="shared" si="25"/>
        <v>-100</v>
      </c>
    </row>
    <row r="789" spans="1:3" x14ac:dyDescent="0.25">
      <c r="A789" s="1">
        <v>404.57</v>
      </c>
      <c r="B789">
        <f t="shared" si="24"/>
        <v>1.8679655839630891E-3</v>
      </c>
      <c r="C789">
        <f t="shared" si="25"/>
        <v>-100</v>
      </c>
    </row>
    <row r="790" spans="1:3" x14ac:dyDescent="0.25">
      <c r="A790" s="1">
        <v>405.66</v>
      </c>
      <c r="B790">
        <f t="shared" si="24"/>
        <v>1.852722879169253E-3</v>
      </c>
      <c r="C790">
        <f t="shared" si="25"/>
        <v>-100</v>
      </c>
    </row>
    <row r="791" spans="1:3" x14ac:dyDescent="0.25">
      <c r="A791" s="1">
        <v>405.7</v>
      </c>
      <c r="B791">
        <f t="shared" si="24"/>
        <v>1.85216346659688E-3</v>
      </c>
      <c r="C791">
        <f t="shared" si="25"/>
        <v>-100</v>
      </c>
    </row>
    <row r="792" spans="1:3" x14ac:dyDescent="0.25">
      <c r="A792" s="1">
        <v>407.29</v>
      </c>
      <c r="B792">
        <f t="shared" si="24"/>
        <v>1.8299260179697209E-3</v>
      </c>
      <c r="C792">
        <f t="shared" si="25"/>
        <v>-100</v>
      </c>
    </row>
    <row r="793" spans="1:3" x14ac:dyDescent="0.25">
      <c r="A793" s="1">
        <v>407.88</v>
      </c>
      <c r="B793">
        <f t="shared" si="24"/>
        <v>1.8216747588262036E-3</v>
      </c>
      <c r="C793">
        <f t="shared" si="25"/>
        <v>-100</v>
      </c>
    </row>
    <row r="794" spans="1:3" x14ac:dyDescent="0.25">
      <c r="A794" s="1">
        <v>407.91</v>
      </c>
      <c r="B794">
        <f t="shared" si="24"/>
        <v>1.8212552196925308E-3</v>
      </c>
      <c r="C794">
        <f t="shared" si="25"/>
        <v>-100</v>
      </c>
    </row>
    <row r="795" spans="1:3" x14ac:dyDescent="0.25">
      <c r="A795" s="1">
        <v>408.51</v>
      </c>
      <c r="B795">
        <f t="shared" si="24"/>
        <v>1.812864893653874E-3</v>
      </c>
      <c r="C795">
        <f t="shared" si="25"/>
        <v>-100</v>
      </c>
    </row>
    <row r="796" spans="1:3" x14ac:dyDescent="0.25">
      <c r="A796" s="1">
        <v>408.81</v>
      </c>
      <c r="B796">
        <f t="shared" si="24"/>
        <v>1.808670123583867E-3</v>
      </c>
      <c r="C796">
        <f t="shared" si="25"/>
        <v>-100</v>
      </c>
    </row>
    <row r="797" spans="1:3" x14ac:dyDescent="0.25">
      <c r="A797" s="1">
        <v>409.98</v>
      </c>
      <c r="B797">
        <f t="shared" si="24"/>
        <v>1.7923139662516774E-3</v>
      </c>
      <c r="C797">
        <f t="shared" si="25"/>
        <v>-100</v>
      </c>
    </row>
    <row r="798" spans="1:3" x14ac:dyDescent="0.25">
      <c r="A798" s="1">
        <v>410.29</v>
      </c>
      <c r="B798">
        <f t="shared" si="24"/>
        <v>1.7879814180059431E-3</v>
      </c>
      <c r="C798">
        <f t="shared" si="25"/>
        <v>-100</v>
      </c>
    </row>
    <row r="799" spans="1:3" x14ac:dyDescent="0.25">
      <c r="A799" s="1">
        <v>411.4</v>
      </c>
      <c r="B799">
        <f t="shared" si="24"/>
        <v>1.7724730669521173E-3</v>
      </c>
      <c r="C799">
        <f t="shared" si="25"/>
        <v>-100</v>
      </c>
    </row>
    <row r="800" spans="1:3" x14ac:dyDescent="0.25">
      <c r="A800" s="1">
        <v>411.62</v>
      </c>
      <c r="B800">
        <f t="shared" si="24"/>
        <v>1.7694003867027633E-3</v>
      </c>
      <c r="C800">
        <f t="shared" si="25"/>
        <v>-100</v>
      </c>
    </row>
    <row r="801" spans="1:3" x14ac:dyDescent="0.25">
      <c r="A801" s="1">
        <v>411.81</v>
      </c>
      <c r="B801">
        <f t="shared" si="24"/>
        <v>1.7667470177606804E-3</v>
      </c>
      <c r="C801">
        <f t="shared" si="25"/>
        <v>-100</v>
      </c>
    </row>
    <row r="802" spans="1:3" x14ac:dyDescent="0.25">
      <c r="A802" s="1">
        <v>411.83</v>
      </c>
      <c r="B802">
        <f t="shared" si="24"/>
        <v>1.7664677329179898E-3</v>
      </c>
      <c r="C802">
        <f t="shared" si="25"/>
        <v>-100</v>
      </c>
    </row>
    <row r="803" spans="1:3" x14ac:dyDescent="0.25">
      <c r="A803" s="1">
        <v>411.95</v>
      </c>
      <c r="B803">
        <f t="shared" si="24"/>
        <v>1.7647920938981025E-3</v>
      </c>
      <c r="C803">
        <f t="shared" si="25"/>
        <v>-100</v>
      </c>
    </row>
    <row r="804" spans="1:3" x14ac:dyDescent="0.25">
      <c r="A804" s="1">
        <v>413.7</v>
      </c>
      <c r="B804">
        <f t="shared" si="24"/>
        <v>1.7403709235362243E-3</v>
      </c>
      <c r="C804">
        <f t="shared" si="25"/>
        <v>-100</v>
      </c>
    </row>
    <row r="805" spans="1:3" x14ac:dyDescent="0.25">
      <c r="A805" s="1">
        <v>414.06</v>
      </c>
      <c r="B805">
        <f t="shared" si="24"/>
        <v>1.7353511086380781E-3</v>
      </c>
      <c r="C805">
        <f t="shared" si="25"/>
        <v>-100</v>
      </c>
    </row>
    <row r="806" spans="1:3" x14ac:dyDescent="0.25">
      <c r="A806" s="1">
        <v>414.8</v>
      </c>
      <c r="B806">
        <f t="shared" si="24"/>
        <v>1.7250374423400184E-3</v>
      </c>
      <c r="C806">
        <f t="shared" si="25"/>
        <v>-100</v>
      </c>
    </row>
    <row r="807" spans="1:3" x14ac:dyDescent="0.25">
      <c r="A807" s="1">
        <v>414.83</v>
      </c>
      <c r="B807">
        <f t="shared" si="24"/>
        <v>1.724619464729062E-3</v>
      </c>
      <c r="C807">
        <f t="shared" si="25"/>
        <v>-100</v>
      </c>
    </row>
    <row r="808" spans="1:3" x14ac:dyDescent="0.25">
      <c r="A808" s="1">
        <v>415.3</v>
      </c>
      <c r="B808">
        <f t="shared" si="24"/>
        <v>1.7180726869449195E-3</v>
      </c>
      <c r="C808">
        <f t="shared" si="25"/>
        <v>-100</v>
      </c>
    </row>
    <row r="809" spans="1:3" x14ac:dyDescent="0.25">
      <c r="A809" s="1">
        <v>416.96</v>
      </c>
      <c r="B809">
        <f t="shared" si="24"/>
        <v>1.6949750733895109E-3</v>
      </c>
      <c r="C809">
        <f t="shared" si="25"/>
        <v>-100</v>
      </c>
    </row>
    <row r="810" spans="1:3" x14ac:dyDescent="0.25">
      <c r="A810" s="1">
        <v>418.51</v>
      </c>
      <c r="B810">
        <f t="shared" si="24"/>
        <v>1.6734477998268079E-3</v>
      </c>
      <c r="C810">
        <f t="shared" si="25"/>
        <v>-100</v>
      </c>
    </row>
    <row r="811" spans="1:3" x14ac:dyDescent="0.25">
      <c r="A811" s="1">
        <v>418.62</v>
      </c>
      <c r="B811">
        <f t="shared" si="24"/>
        <v>1.6719216660638166E-3</v>
      </c>
      <c r="C811">
        <f t="shared" si="25"/>
        <v>-100</v>
      </c>
    </row>
    <row r="812" spans="1:3" x14ac:dyDescent="0.25">
      <c r="A812" s="1">
        <v>418.83</v>
      </c>
      <c r="B812">
        <f t="shared" si="24"/>
        <v>1.6690087603299815E-3</v>
      </c>
      <c r="C812">
        <f t="shared" si="25"/>
        <v>-100</v>
      </c>
    </row>
    <row r="813" spans="1:3" x14ac:dyDescent="0.25">
      <c r="A813" s="1">
        <v>419.13</v>
      </c>
      <c r="B813">
        <f t="shared" si="24"/>
        <v>1.6648489062974E-3</v>
      </c>
      <c r="C813">
        <f t="shared" si="25"/>
        <v>-100</v>
      </c>
    </row>
    <row r="814" spans="1:3" x14ac:dyDescent="0.25">
      <c r="A814" s="1">
        <v>419.53</v>
      </c>
      <c r="B814">
        <f t="shared" si="24"/>
        <v>1.6593051306457954E-3</v>
      </c>
      <c r="C814">
        <f t="shared" si="25"/>
        <v>-100</v>
      </c>
    </row>
    <row r="815" spans="1:3" x14ac:dyDescent="0.25">
      <c r="A815" s="1">
        <v>419.98</v>
      </c>
      <c r="B815">
        <f t="shared" si="24"/>
        <v>1.6530721719965208E-3</v>
      </c>
      <c r="C815">
        <f t="shared" si="25"/>
        <v>-100</v>
      </c>
    </row>
    <row r="816" spans="1:3" x14ac:dyDescent="0.25">
      <c r="A816" s="1">
        <v>421.5</v>
      </c>
      <c r="B816">
        <f t="shared" si="24"/>
        <v>1.6320499744153305E-3</v>
      </c>
      <c r="C816">
        <f t="shared" si="25"/>
        <v>-100</v>
      </c>
    </row>
    <row r="817" spans="1:3" x14ac:dyDescent="0.25">
      <c r="A817" s="1">
        <v>421.95</v>
      </c>
      <c r="B817">
        <f t="shared" si="24"/>
        <v>1.6258360861190707E-3</v>
      </c>
      <c r="C817">
        <f t="shared" si="25"/>
        <v>-100</v>
      </c>
    </row>
    <row r="818" spans="1:3" x14ac:dyDescent="0.25">
      <c r="A818" s="1">
        <v>422.09</v>
      </c>
      <c r="B818">
        <f t="shared" si="24"/>
        <v>1.6239038293724918E-3</v>
      </c>
      <c r="C818">
        <f t="shared" si="25"/>
        <v>-100</v>
      </c>
    </row>
    <row r="819" spans="1:3" x14ac:dyDescent="0.25">
      <c r="A819" s="1">
        <v>422.31</v>
      </c>
      <c r="B819">
        <f t="shared" si="24"/>
        <v>1.6208683545851127E-3</v>
      </c>
      <c r="C819">
        <f t="shared" si="25"/>
        <v>-100</v>
      </c>
    </row>
    <row r="820" spans="1:3" x14ac:dyDescent="0.25">
      <c r="A820" s="1">
        <v>422.92</v>
      </c>
      <c r="B820">
        <f t="shared" si="24"/>
        <v>1.6124578615488851E-3</v>
      </c>
      <c r="C820">
        <f t="shared" si="25"/>
        <v>-100</v>
      </c>
    </row>
    <row r="821" spans="1:3" x14ac:dyDescent="0.25">
      <c r="A821" s="1">
        <v>423.23</v>
      </c>
      <c r="B821">
        <f t="shared" si="24"/>
        <v>1.6081871601231954E-3</v>
      </c>
      <c r="C821">
        <f t="shared" si="25"/>
        <v>-100</v>
      </c>
    </row>
    <row r="822" spans="1:3" x14ac:dyDescent="0.25">
      <c r="A822" s="1">
        <v>423.92</v>
      </c>
      <c r="B822">
        <f t="shared" si="24"/>
        <v>1.5986900888542261E-3</v>
      </c>
      <c r="C822">
        <f t="shared" si="25"/>
        <v>-100</v>
      </c>
    </row>
    <row r="823" spans="1:3" x14ac:dyDescent="0.25">
      <c r="A823" s="1">
        <v>424.18</v>
      </c>
      <c r="B823">
        <f t="shared" si="24"/>
        <v>1.5951146619374963E-3</v>
      </c>
      <c r="C823">
        <f t="shared" si="25"/>
        <v>-100</v>
      </c>
    </row>
    <row r="824" spans="1:3" x14ac:dyDescent="0.25">
      <c r="A824" s="1">
        <v>424.27</v>
      </c>
      <c r="B824">
        <f t="shared" si="24"/>
        <v>1.5938774271252885E-3</v>
      </c>
      <c r="C824">
        <f t="shared" si="25"/>
        <v>-100</v>
      </c>
    </row>
    <row r="825" spans="1:3" x14ac:dyDescent="0.25">
      <c r="A825" s="1">
        <v>424.39</v>
      </c>
      <c r="B825">
        <f t="shared" si="24"/>
        <v>1.5922281137718873E-3</v>
      </c>
      <c r="C825">
        <f t="shared" si="25"/>
        <v>-100</v>
      </c>
    </row>
    <row r="826" spans="1:3" x14ac:dyDescent="0.25">
      <c r="A826" s="1">
        <v>425.18</v>
      </c>
      <c r="B826">
        <f t="shared" si="24"/>
        <v>1.5813797983708921E-3</v>
      </c>
      <c r="C826">
        <f t="shared" si="25"/>
        <v>-100</v>
      </c>
    </row>
    <row r="827" spans="1:3" x14ac:dyDescent="0.25">
      <c r="A827" s="1">
        <v>425.21</v>
      </c>
      <c r="B827">
        <f t="shared" si="24"/>
        <v>1.5809681729393734E-3</v>
      </c>
      <c r="C827">
        <f t="shared" si="25"/>
        <v>-100</v>
      </c>
    </row>
    <row r="828" spans="1:3" x14ac:dyDescent="0.25">
      <c r="A828" s="1">
        <v>425.69</v>
      </c>
      <c r="B828">
        <f t="shared" si="24"/>
        <v>1.5743855802372898E-3</v>
      </c>
      <c r="C828">
        <f t="shared" si="25"/>
        <v>-100</v>
      </c>
    </row>
    <row r="829" spans="1:3" x14ac:dyDescent="0.25">
      <c r="A829" s="1">
        <v>425.82</v>
      </c>
      <c r="B829">
        <f t="shared" si="24"/>
        <v>1.5726039120497089E-3</v>
      </c>
      <c r="C829">
        <f t="shared" si="25"/>
        <v>-100</v>
      </c>
    </row>
    <row r="830" spans="1:3" x14ac:dyDescent="0.25">
      <c r="A830" s="1">
        <v>426.21</v>
      </c>
      <c r="B830">
        <f t="shared" si="24"/>
        <v>1.5672618101310958E-3</v>
      </c>
      <c r="C830">
        <f t="shared" si="25"/>
        <v>-100</v>
      </c>
    </row>
    <row r="831" spans="1:3" x14ac:dyDescent="0.25">
      <c r="A831" s="1">
        <v>426.22</v>
      </c>
      <c r="B831">
        <f t="shared" si="24"/>
        <v>1.567124890881159E-3</v>
      </c>
      <c r="C831">
        <f t="shared" si="25"/>
        <v>-100</v>
      </c>
    </row>
    <row r="832" spans="1:3" x14ac:dyDescent="0.25">
      <c r="A832" s="1">
        <v>426.87</v>
      </c>
      <c r="B832">
        <f t="shared" si="24"/>
        <v>1.5582314300579142E-3</v>
      </c>
      <c r="C832">
        <f t="shared" si="25"/>
        <v>-100</v>
      </c>
    </row>
    <row r="833" spans="1:3" x14ac:dyDescent="0.25">
      <c r="A833" s="1">
        <v>426.89</v>
      </c>
      <c r="B833">
        <f t="shared" si="24"/>
        <v>1.5579579836036337E-3</v>
      </c>
      <c r="C833">
        <f t="shared" si="25"/>
        <v>-100</v>
      </c>
    </row>
    <row r="834" spans="1:3" x14ac:dyDescent="0.25">
      <c r="A834" s="1">
        <v>427.1</v>
      </c>
      <c r="B834">
        <f t="shared" si="24"/>
        <v>1.5550875206511543E-3</v>
      </c>
      <c r="C834">
        <f t="shared" si="25"/>
        <v>-100</v>
      </c>
    </row>
    <row r="835" spans="1:3" x14ac:dyDescent="0.25">
      <c r="A835" s="1">
        <v>427.48</v>
      </c>
      <c r="B835">
        <f t="shared" si="24"/>
        <v>1.5498967440318585E-3</v>
      </c>
      <c r="C835">
        <f t="shared" si="25"/>
        <v>-100</v>
      </c>
    </row>
    <row r="836" spans="1:3" x14ac:dyDescent="0.25">
      <c r="A836" s="1">
        <v>427.82</v>
      </c>
      <c r="B836">
        <f t="shared" ref="B836:B899" si="26">_xlfn.NORM.DIST(A836,$B$1,$D$1,FALSE)</f>
        <v>1.5452561210062565E-3</v>
      </c>
      <c r="C836">
        <f t="shared" ref="C836:C899" si="27">IF(A836&gt;=$A$2,B836,-100)</f>
        <v>-100</v>
      </c>
    </row>
    <row r="837" spans="1:3" x14ac:dyDescent="0.25">
      <c r="A837" s="1">
        <v>427.86</v>
      </c>
      <c r="B837">
        <f t="shared" si="26"/>
        <v>1.5447104010907192E-3</v>
      </c>
      <c r="C837">
        <f t="shared" si="27"/>
        <v>-100</v>
      </c>
    </row>
    <row r="838" spans="1:3" x14ac:dyDescent="0.25">
      <c r="A838" s="1">
        <v>427.94</v>
      </c>
      <c r="B838">
        <f t="shared" si="26"/>
        <v>1.5436191111035885E-3</v>
      </c>
      <c r="C838">
        <f t="shared" si="27"/>
        <v>-100</v>
      </c>
    </row>
    <row r="839" spans="1:3" x14ac:dyDescent="0.25">
      <c r="A839" s="1">
        <v>429.24</v>
      </c>
      <c r="B839">
        <f t="shared" si="26"/>
        <v>1.5259142009443453E-3</v>
      </c>
      <c r="C839">
        <f t="shared" si="27"/>
        <v>-100</v>
      </c>
    </row>
    <row r="840" spans="1:3" x14ac:dyDescent="0.25">
      <c r="A840" s="1">
        <v>429.24</v>
      </c>
      <c r="B840">
        <f t="shared" si="26"/>
        <v>1.5259142009443453E-3</v>
      </c>
      <c r="C840">
        <f t="shared" si="27"/>
        <v>-100</v>
      </c>
    </row>
    <row r="841" spans="1:3" x14ac:dyDescent="0.25">
      <c r="A841" s="1">
        <v>430.75</v>
      </c>
      <c r="B841">
        <f t="shared" si="26"/>
        <v>1.5054194194416462E-3</v>
      </c>
      <c r="C841">
        <f t="shared" si="27"/>
        <v>-100</v>
      </c>
    </row>
    <row r="842" spans="1:3" x14ac:dyDescent="0.25">
      <c r="A842" s="1">
        <v>430.75</v>
      </c>
      <c r="B842">
        <f t="shared" si="26"/>
        <v>1.5054194194416462E-3</v>
      </c>
      <c r="C842">
        <f t="shared" si="27"/>
        <v>-100</v>
      </c>
    </row>
    <row r="843" spans="1:3" x14ac:dyDescent="0.25">
      <c r="A843" s="1">
        <v>430.9</v>
      </c>
      <c r="B843">
        <f t="shared" si="26"/>
        <v>1.5033877868040634E-3</v>
      </c>
      <c r="C843">
        <f t="shared" si="27"/>
        <v>-100</v>
      </c>
    </row>
    <row r="844" spans="1:3" x14ac:dyDescent="0.25">
      <c r="A844" s="1">
        <v>431.78</v>
      </c>
      <c r="B844">
        <f t="shared" si="26"/>
        <v>1.491484910013311E-3</v>
      </c>
      <c r="C844">
        <f t="shared" si="27"/>
        <v>-100</v>
      </c>
    </row>
    <row r="845" spans="1:3" x14ac:dyDescent="0.25">
      <c r="A845" s="1">
        <v>432.42</v>
      </c>
      <c r="B845">
        <f t="shared" si="26"/>
        <v>1.4828458173392165E-3</v>
      </c>
      <c r="C845">
        <f t="shared" si="27"/>
        <v>-100</v>
      </c>
    </row>
    <row r="846" spans="1:3" x14ac:dyDescent="0.25">
      <c r="A846" s="1">
        <v>432.84</v>
      </c>
      <c r="B846">
        <f t="shared" si="26"/>
        <v>1.4771846193398531E-3</v>
      </c>
      <c r="C846">
        <f t="shared" si="27"/>
        <v>-100</v>
      </c>
    </row>
    <row r="847" spans="1:3" x14ac:dyDescent="0.25">
      <c r="A847" s="1">
        <v>433.14</v>
      </c>
      <c r="B847">
        <f t="shared" si="26"/>
        <v>1.473144947874857E-3</v>
      </c>
      <c r="C847">
        <f t="shared" si="27"/>
        <v>-100</v>
      </c>
    </row>
    <row r="848" spans="1:3" x14ac:dyDescent="0.25">
      <c r="A848" s="1">
        <v>433.82</v>
      </c>
      <c r="B848">
        <f t="shared" si="26"/>
        <v>1.4640010160887169E-3</v>
      </c>
      <c r="C848">
        <f t="shared" si="27"/>
        <v>-100</v>
      </c>
    </row>
    <row r="849" spans="1:3" x14ac:dyDescent="0.25">
      <c r="A849" s="1">
        <v>433.99</v>
      </c>
      <c r="B849">
        <f t="shared" si="26"/>
        <v>1.4617178109861005E-3</v>
      </c>
      <c r="C849">
        <f t="shared" si="27"/>
        <v>-100</v>
      </c>
    </row>
    <row r="850" spans="1:3" x14ac:dyDescent="0.25">
      <c r="A850" s="1">
        <v>434.86</v>
      </c>
      <c r="B850">
        <f t="shared" si="26"/>
        <v>1.4500508770313504E-3</v>
      </c>
      <c r="C850">
        <f t="shared" si="27"/>
        <v>-100</v>
      </c>
    </row>
    <row r="851" spans="1:3" x14ac:dyDescent="0.25">
      <c r="A851" s="1">
        <v>435.23</v>
      </c>
      <c r="B851">
        <f t="shared" si="26"/>
        <v>1.4450981826664236E-3</v>
      </c>
      <c r="C851">
        <f t="shared" si="27"/>
        <v>-100</v>
      </c>
    </row>
    <row r="852" spans="1:3" x14ac:dyDescent="0.25">
      <c r="A852" s="1">
        <v>435.37</v>
      </c>
      <c r="B852">
        <f t="shared" si="26"/>
        <v>1.4432256265497977E-3</v>
      </c>
      <c r="C852">
        <f t="shared" si="27"/>
        <v>-100</v>
      </c>
    </row>
    <row r="853" spans="1:3" x14ac:dyDescent="0.25">
      <c r="A853" s="1">
        <v>435.52</v>
      </c>
      <c r="B853">
        <f t="shared" si="26"/>
        <v>1.4412201971220661E-3</v>
      </c>
      <c r="C853">
        <f t="shared" si="27"/>
        <v>-100</v>
      </c>
    </row>
    <row r="854" spans="1:3" x14ac:dyDescent="0.25">
      <c r="A854" s="1">
        <v>436.54</v>
      </c>
      <c r="B854">
        <f t="shared" si="26"/>
        <v>1.4276077421545529E-3</v>
      </c>
      <c r="C854">
        <f t="shared" si="27"/>
        <v>-100</v>
      </c>
    </row>
    <row r="855" spans="1:3" x14ac:dyDescent="0.25">
      <c r="A855" s="1">
        <v>436.57</v>
      </c>
      <c r="B855">
        <f t="shared" si="26"/>
        <v>1.4272080288981355E-3</v>
      </c>
      <c r="C855">
        <f t="shared" si="27"/>
        <v>-100</v>
      </c>
    </row>
    <row r="856" spans="1:3" x14ac:dyDescent="0.25">
      <c r="A856" s="1">
        <v>437.06</v>
      </c>
      <c r="B856">
        <f t="shared" si="26"/>
        <v>1.4206847369530576E-3</v>
      </c>
      <c r="C856">
        <f t="shared" si="27"/>
        <v>-100</v>
      </c>
    </row>
    <row r="857" spans="1:3" x14ac:dyDescent="0.25">
      <c r="A857" s="1">
        <v>437.3</v>
      </c>
      <c r="B857">
        <f t="shared" si="26"/>
        <v>1.4174933646571002E-3</v>
      </c>
      <c r="C857">
        <f t="shared" si="27"/>
        <v>-100</v>
      </c>
    </row>
    <row r="858" spans="1:3" x14ac:dyDescent="0.25">
      <c r="A858" s="1">
        <v>437.4</v>
      </c>
      <c r="B858">
        <f t="shared" si="26"/>
        <v>1.4161643514370573E-3</v>
      </c>
      <c r="C858">
        <f t="shared" si="27"/>
        <v>-100</v>
      </c>
    </row>
    <row r="859" spans="1:3" x14ac:dyDescent="0.25">
      <c r="A859" s="1">
        <v>437.59</v>
      </c>
      <c r="B859">
        <f t="shared" si="26"/>
        <v>1.4136404071549479E-3</v>
      </c>
      <c r="C859">
        <f t="shared" si="27"/>
        <v>-100</v>
      </c>
    </row>
    <row r="860" spans="1:3" x14ac:dyDescent="0.25">
      <c r="A860" s="1">
        <v>437.97</v>
      </c>
      <c r="B860">
        <f t="shared" si="26"/>
        <v>1.4085971878595273E-3</v>
      </c>
      <c r="C860">
        <f t="shared" si="27"/>
        <v>-100</v>
      </c>
    </row>
    <row r="861" spans="1:3" x14ac:dyDescent="0.25">
      <c r="A861" s="1">
        <v>438.26</v>
      </c>
      <c r="B861">
        <f t="shared" si="26"/>
        <v>1.404752635169064E-3</v>
      </c>
      <c r="C861">
        <f t="shared" si="27"/>
        <v>-100</v>
      </c>
    </row>
    <row r="862" spans="1:3" x14ac:dyDescent="0.25">
      <c r="A862" s="1">
        <v>438.42</v>
      </c>
      <c r="B862">
        <f t="shared" si="26"/>
        <v>1.4026330775696279E-3</v>
      </c>
      <c r="C862">
        <f t="shared" si="27"/>
        <v>-100</v>
      </c>
    </row>
    <row r="863" spans="1:3" x14ac:dyDescent="0.25">
      <c r="A863" s="1">
        <v>439.24</v>
      </c>
      <c r="B863">
        <f t="shared" si="26"/>
        <v>1.3917881123479969E-3</v>
      </c>
      <c r="C863">
        <f t="shared" si="27"/>
        <v>-100</v>
      </c>
    </row>
    <row r="864" spans="1:3" x14ac:dyDescent="0.25">
      <c r="A864" s="1">
        <v>439.31</v>
      </c>
      <c r="B864">
        <f t="shared" si="26"/>
        <v>1.3908637121654716E-3</v>
      </c>
      <c r="C864">
        <f t="shared" si="27"/>
        <v>-100</v>
      </c>
    </row>
    <row r="865" spans="1:3" x14ac:dyDescent="0.25">
      <c r="A865" s="1">
        <v>439.91</v>
      </c>
      <c r="B865">
        <f t="shared" si="26"/>
        <v>1.3829493581218823E-3</v>
      </c>
      <c r="C865">
        <f t="shared" si="27"/>
        <v>-100</v>
      </c>
    </row>
    <row r="866" spans="1:3" x14ac:dyDescent="0.25">
      <c r="A866" s="1">
        <v>440.62</v>
      </c>
      <c r="B866">
        <f t="shared" si="26"/>
        <v>1.3736052717852538E-3</v>
      </c>
      <c r="C866">
        <f t="shared" si="27"/>
        <v>-100</v>
      </c>
    </row>
    <row r="867" spans="1:3" x14ac:dyDescent="0.25">
      <c r="A867" s="1">
        <v>441.15</v>
      </c>
      <c r="B867">
        <f t="shared" si="26"/>
        <v>1.3666453296694561E-3</v>
      </c>
      <c r="C867">
        <f t="shared" si="27"/>
        <v>-100</v>
      </c>
    </row>
    <row r="868" spans="1:3" x14ac:dyDescent="0.25">
      <c r="A868" s="1">
        <v>441.73</v>
      </c>
      <c r="B868">
        <f t="shared" si="26"/>
        <v>1.3590439090370521E-3</v>
      </c>
      <c r="C868">
        <f t="shared" si="27"/>
        <v>-100</v>
      </c>
    </row>
    <row r="869" spans="1:3" x14ac:dyDescent="0.25">
      <c r="A869" s="1">
        <v>441.87</v>
      </c>
      <c r="B869">
        <f t="shared" si="26"/>
        <v>1.3572114729884831E-3</v>
      </c>
      <c r="C869">
        <f t="shared" si="27"/>
        <v>-100</v>
      </c>
    </row>
    <row r="870" spans="1:3" x14ac:dyDescent="0.25">
      <c r="A870" s="1">
        <v>442.15</v>
      </c>
      <c r="B870">
        <f t="shared" si="26"/>
        <v>1.3535494094670001E-3</v>
      </c>
      <c r="C870">
        <f t="shared" si="27"/>
        <v>-100</v>
      </c>
    </row>
    <row r="871" spans="1:3" x14ac:dyDescent="0.25">
      <c r="A871" s="1">
        <v>442.18</v>
      </c>
      <c r="B871">
        <f t="shared" si="26"/>
        <v>1.3531572683577896E-3</v>
      </c>
      <c r="C871">
        <f t="shared" si="27"/>
        <v>-100</v>
      </c>
    </row>
    <row r="872" spans="1:3" x14ac:dyDescent="0.25">
      <c r="A872" s="1">
        <v>442.29</v>
      </c>
      <c r="B872">
        <f t="shared" si="26"/>
        <v>1.3517197877568252E-3</v>
      </c>
      <c r="C872">
        <f t="shared" si="27"/>
        <v>-100</v>
      </c>
    </row>
    <row r="873" spans="1:3" x14ac:dyDescent="0.25">
      <c r="A873" s="1">
        <v>443.11</v>
      </c>
      <c r="B873">
        <f t="shared" si="26"/>
        <v>1.3410224792346234E-3</v>
      </c>
      <c r="C873">
        <f t="shared" si="27"/>
        <v>-100</v>
      </c>
    </row>
    <row r="874" spans="1:3" x14ac:dyDescent="0.25">
      <c r="A874" s="1">
        <v>443.52</v>
      </c>
      <c r="B874">
        <f t="shared" si="26"/>
        <v>1.3356861463947049E-3</v>
      </c>
      <c r="C874">
        <f t="shared" si="27"/>
        <v>-100</v>
      </c>
    </row>
    <row r="875" spans="1:3" x14ac:dyDescent="0.25">
      <c r="A875" s="1">
        <v>444.05</v>
      </c>
      <c r="B875">
        <f t="shared" si="26"/>
        <v>1.3288002825497436E-3</v>
      </c>
      <c r="C875">
        <f t="shared" si="27"/>
        <v>1.3288002825497436E-3</v>
      </c>
    </row>
    <row r="876" spans="1:3" x14ac:dyDescent="0.25">
      <c r="A876" s="1">
        <v>444.87</v>
      </c>
      <c r="B876">
        <f t="shared" si="26"/>
        <v>1.318174392192311E-3</v>
      </c>
      <c r="C876">
        <f t="shared" si="27"/>
        <v>1.318174392192311E-3</v>
      </c>
    </row>
    <row r="877" spans="1:3" x14ac:dyDescent="0.25">
      <c r="A877" s="1">
        <v>445.34</v>
      </c>
      <c r="B877">
        <f t="shared" si="26"/>
        <v>1.3120993045097947E-3</v>
      </c>
      <c r="C877">
        <f t="shared" si="27"/>
        <v>1.3120993045097947E-3</v>
      </c>
    </row>
    <row r="878" spans="1:3" x14ac:dyDescent="0.25">
      <c r="A878" s="1">
        <v>445.93</v>
      </c>
      <c r="B878">
        <f t="shared" si="26"/>
        <v>1.304489170954848E-3</v>
      </c>
      <c r="C878">
        <f t="shared" si="27"/>
        <v>1.304489170954848E-3</v>
      </c>
    </row>
    <row r="879" spans="1:3" x14ac:dyDescent="0.25">
      <c r="A879" s="1">
        <v>446.03</v>
      </c>
      <c r="B879">
        <f t="shared" si="26"/>
        <v>1.3032011006657478E-3</v>
      </c>
      <c r="C879">
        <f t="shared" si="27"/>
        <v>1.3032011006657478E-3</v>
      </c>
    </row>
    <row r="880" spans="1:3" x14ac:dyDescent="0.25">
      <c r="A880" s="1">
        <v>446.11</v>
      </c>
      <c r="B880">
        <f t="shared" si="26"/>
        <v>1.302171018317569E-3</v>
      </c>
      <c r="C880">
        <f t="shared" si="27"/>
        <v>1.302171018317569E-3</v>
      </c>
    </row>
    <row r="881" spans="1:3" x14ac:dyDescent="0.25">
      <c r="A881" s="1">
        <v>446.69</v>
      </c>
      <c r="B881">
        <f t="shared" si="26"/>
        <v>1.2947129075079724E-3</v>
      </c>
      <c r="C881">
        <f t="shared" si="27"/>
        <v>1.2947129075079724E-3</v>
      </c>
    </row>
    <row r="882" spans="1:3" x14ac:dyDescent="0.25">
      <c r="A882" s="1">
        <v>446.86</v>
      </c>
      <c r="B882">
        <f t="shared" si="26"/>
        <v>1.2925302527178821E-3</v>
      </c>
      <c r="C882">
        <f t="shared" si="27"/>
        <v>1.2925302527178821E-3</v>
      </c>
    </row>
    <row r="883" spans="1:3" x14ac:dyDescent="0.25">
      <c r="A883" s="1">
        <v>446.92</v>
      </c>
      <c r="B883">
        <f t="shared" si="26"/>
        <v>1.2917602676172917E-3</v>
      </c>
      <c r="C883">
        <f t="shared" si="27"/>
        <v>1.2917602676172917E-3</v>
      </c>
    </row>
    <row r="884" spans="1:3" x14ac:dyDescent="0.25">
      <c r="A884" s="1">
        <v>447.53</v>
      </c>
      <c r="B884">
        <f t="shared" si="26"/>
        <v>1.2839429103451475E-3</v>
      </c>
      <c r="C884">
        <f t="shared" si="27"/>
        <v>1.2839429103451475E-3</v>
      </c>
    </row>
    <row r="885" spans="1:3" x14ac:dyDescent="0.25">
      <c r="A885" s="1">
        <v>448.68</v>
      </c>
      <c r="B885">
        <f t="shared" si="26"/>
        <v>1.2692594581225922E-3</v>
      </c>
      <c r="C885">
        <f t="shared" si="27"/>
        <v>1.2692594581225922E-3</v>
      </c>
    </row>
    <row r="886" spans="1:3" x14ac:dyDescent="0.25">
      <c r="A886" s="1">
        <v>449.13</v>
      </c>
      <c r="B886">
        <f t="shared" si="26"/>
        <v>1.2635332846013866E-3</v>
      </c>
      <c r="C886">
        <f t="shared" si="27"/>
        <v>1.2635332846013866E-3</v>
      </c>
    </row>
    <row r="887" spans="1:3" x14ac:dyDescent="0.25">
      <c r="A887" s="1">
        <v>449.18</v>
      </c>
      <c r="B887">
        <f t="shared" si="26"/>
        <v>1.2628977274289374E-3</v>
      </c>
      <c r="C887">
        <f t="shared" si="27"/>
        <v>1.2628977274289374E-3</v>
      </c>
    </row>
    <row r="888" spans="1:3" x14ac:dyDescent="0.25">
      <c r="A888" s="1">
        <v>449.72</v>
      </c>
      <c r="B888">
        <f t="shared" si="26"/>
        <v>1.2560424816875488E-3</v>
      </c>
      <c r="C888">
        <f t="shared" si="27"/>
        <v>1.2560424816875488E-3</v>
      </c>
    </row>
    <row r="889" spans="1:3" x14ac:dyDescent="0.25">
      <c r="A889" s="1">
        <v>450.47</v>
      </c>
      <c r="B889">
        <f t="shared" si="26"/>
        <v>1.2465481405857369E-3</v>
      </c>
      <c r="C889">
        <f t="shared" si="27"/>
        <v>1.2465481405857369E-3</v>
      </c>
    </row>
    <row r="890" spans="1:3" x14ac:dyDescent="0.25">
      <c r="A890" s="1">
        <v>450.52</v>
      </c>
      <c r="B890">
        <f t="shared" si="26"/>
        <v>1.2459163019647227E-3</v>
      </c>
      <c r="C890">
        <f t="shared" si="27"/>
        <v>1.2459163019647227E-3</v>
      </c>
    </row>
    <row r="891" spans="1:3" x14ac:dyDescent="0.25">
      <c r="A891" s="1">
        <v>450.66</v>
      </c>
      <c r="B891">
        <f t="shared" si="26"/>
        <v>1.2441479006606354E-3</v>
      </c>
      <c r="C891">
        <f t="shared" si="27"/>
        <v>1.2441479006606354E-3</v>
      </c>
    </row>
    <row r="892" spans="1:3" x14ac:dyDescent="0.25">
      <c r="A892" s="1">
        <v>453.37</v>
      </c>
      <c r="B892">
        <f t="shared" si="26"/>
        <v>1.2101368290981641E-3</v>
      </c>
      <c r="C892">
        <f t="shared" si="27"/>
        <v>1.2101368290981641E-3</v>
      </c>
    </row>
    <row r="893" spans="1:3" x14ac:dyDescent="0.25">
      <c r="A893" s="1">
        <v>454.15</v>
      </c>
      <c r="B893">
        <f t="shared" si="26"/>
        <v>1.200426666146906E-3</v>
      </c>
      <c r="C893">
        <f t="shared" si="27"/>
        <v>1.200426666146906E-3</v>
      </c>
    </row>
    <row r="894" spans="1:3" x14ac:dyDescent="0.25">
      <c r="A894" s="1">
        <v>454.36</v>
      </c>
      <c r="B894">
        <f t="shared" si="26"/>
        <v>1.1978185330079427E-3</v>
      </c>
      <c r="C894">
        <f t="shared" si="27"/>
        <v>1.1978185330079427E-3</v>
      </c>
    </row>
    <row r="895" spans="1:3" x14ac:dyDescent="0.25">
      <c r="A895" s="1">
        <v>454.38</v>
      </c>
      <c r="B895">
        <f t="shared" si="26"/>
        <v>1.1975702759013727E-3</v>
      </c>
      <c r="C895">
        <f t="shared" si="27"/>
        <v>1.1975702759013727E-3</v>
      </c>
    </row>
    <row r="896" spans="1:3" x14ac:dyDescent="0.25">
      <c r="A896" s="1">
        <v>454.39</v>
      </c>
      <c r="B896">
        <f t="shared" si="26"/>
        <v>1.1974461562617798E-3</v>
      </c>
      <c r="C896">
        <f t="shared" si="27"/>
        <v>1.1974461562617798E-3</v>
      </c>
    </row>
    <row r="897" spans="1:3" x14ac:dyDescent="0.25">
      <c r="A897" s="1">
        <v>454.57</v>
      </c>
      <c r="B897">
        <f t="shared" si="26"/>
        <v>1.1952130198891735E-3</v>
      </c>
      <c r="C897">
        <f t="shared" si="27"/>
        <v>1.1952130198891735E-3</v>
      </c>
    </row>
    <row r="898" spans="1:3" x14ac:dyDescent="0.25">
      <c r="A898" s="1">
        <v>454.93</v>
      </c>
      <c r="B898">
        <f t="shared" si="26"/>
        <v>1.190752543312824E-3</v>
      </c>
      <c r="C898">
        <f t="shared" si="27"/>
        <v>1.190752543312824E-3</v>
      </c>
    </row>
    <row r="899" spans="1:3" x14ac:dyDescent="0.25">
      <c r="A899" s="1">
        <v>455.44</v>
      </c>
      <c r="B899">
        <f t="shared" si="26"/>
        <v>1.1844468269760131E-3</v>
      </c>
      <c r="C899">
        <f t="shared" si="27"/>
        <v>1.1844468269760131E-3</v>
      </c>
    </row>
    <row r="900" spans="1:3" x14ac:dyDescent="0.25">
      <c r="A900" s="1">
        <v>455.55</v>
      </c>
      <c r="B900">
        <f t="shared" ref="B900:B963" si="28">_xlfn.NORM.DIST(A900,$B$1,$D$1,FALSE)</f>
        <v>1.1830888225801825E-3</v>
      </c>
      <c r="C900">
        <f t="shared" ref="C900:C963" si="29">IF(A900&gt;=$A$2,B900,-100)</f>
        <v>1.1830888225801825E-3</v>
      </c>
    </row>
    <row r="901" spans="1:3" x14ac:dyDescent="0.25">
      <c r="A901" s="1">
        <v>455.81</v>
      </c>
      <c r="B901">
        <f t="shared" si="28"/>
        <v>1.1798818998443898E-3</v>
      </c>
      <c r="C901">
        <f t="shared" si="29"/>
        <v>1.1798818998443898E-3</v>
      </c>
    </row>
    <row r="902" spans="1:3" x14ac:dyDescent="0.25">
      <c r="A902" s="1">
        <v>456.83</v>
      </c>
      <c r="B902">
        <f t="shared" si="28"/>
        <v>1.1673405714938327E-3</v>
      </c>
      <c r="C902">
        <f t="shared" si="29"/>
        <v>1.1673405714938327E-3</v>
      </c>
    </row>
    <row r="903" spans="1:3" x14ac:dyDescent="0.25">
      <c r="A903" s="1">
        <v>457.18</v>
      </c>
      <c r="B903">
        <f t="shared" si="28"/>
        <v>1.1630518480401199E-3</v>
      </c>
      <c r="C903">
        <f t="shared" si="29"/>
        <v>1.1630518480401199E-3</v>
      </c>
    </row>
    <row r="904" spans="1:3" x14ac:dyDescent="0.25">
      <c r="A904" s="1">
        <v>457.39</v>
      </c>
      <c r="B904">
        <f t="shared" si="28"/>
        <v>1.1604822366829853E-3</v>
      </c>
      <c r="C904">
        <f t="shared" si="29"/>
        <v>1.1604822366829853E-3</v>
      </c>
    </row>
    <row r="905" spans="1:3" x14ac:dyDescent="0.25">
      <c r="A905" s="1">
        <v>459.3</v>
      </c>
      <c r="B905">
        <f t="shared" si="28"/>
        <v>1.1372370087830246E-3</v>
      </c>
      <c r="C905">
        <f t="shared" si="29"/>
        <v>1.1372370087830246E-3</v>
      </c>
    </row>
    <row r="906" spans="1:3" x14ac:dyDescent="0.25">
      <c r="A906" s="1">
        <v>459.39</v>
      </c>
      <c r="B906">
        <f t="shared" si="28"/>
        <v>1.1361473343780026E-3</v>
      </c>
      <c r="C906">
        <f t="shared" si="29"/>
        <v>1.1361473343780026E-3</v>
      </c>
    </row>
    <row r="907" spans="1:3" x14ac:dyDescent="0.25">
      <c r="A907" s="1">
        <v>459.51</v>
      </c>
      <c r="B907">
        <f t="shared" si="28"/>
        <v>1.1346952327741635E-3</v>
      </c>
      <c r="C907">
        <f t="shared" si="29"/>
        <v>1.1346952327741635E-3</v>
      </c>
    </row>
    <row r="908" spans="1:3" x14ac:dyDescent="0.25">
      <c r="A908" s="1">
        <v>460.37</v>
      </c>
      <c r="B908">
        <f t="shared" si="28"/>
        <v>1.1243152882490575E-3</v>
      </c>
      <c r="C908">
        <f t="shared" si="29"/>
        <v>1.1243152882490575E-3</v>
      </c>
    </row>
    <row r="909" spans="1:3" x14ac:dyDescent="0.25">
      <c r="A909" s="1">
        <v>460.88</v>
      </c>
      <c r="B909">
        <f t="shared" si="28"/>
        <v>1.1181820676715261E-3</v>
      </c>
      <c r="C909">
        <f t="shared" si="29"/>
        <v>1.1181820676715261E-3</v>
      </c>
    </row>
    <row r="910" spans="1:3" x14ac:dyDescent="0.25">
      <c r="A910" s="1">
        <v>461</v>
      </c>
      <c r="B910">
        <f t="shared" si="28"/>
        <v>1.1167413860915475E-3</v>
      </c>
      <c r="C910">
        <f t="shared" si="29"/>
        <v>1.1167413860915475E-3</v>
      </c>
    </row>
    <row r="911" spans="1:3" x14ac:dyDescent="0.25">
      <c r="A911" s="1">
        <v>461.09</v>
      </c>
      <c r="B911">
        <f t="shared" si="28"/>
        <v>1.1156614837756042E-3</v>
      </c>
      <c r="C911">
        <f t="shared" si="29"/>
        <v>1.1156614837756042E-3</v>
      </c>
    </row>
    <row r="912" spans="1:3" x14ac:dyDescent="0.25">
      <c r="A912" s="1">
        <v>461.16</v>
      </c>
      <c r="B912">
        <f t="shared" si="28"/>
        <v>1.1148219209262582E-3</v>
      </c>
      <c r="C912">
        <f t="shared" si="29"/>
        <v>1.1148219209262582E-3</v>
      </c>
    </row>
    <row r="913" spans="1:3" x14ac:dyDescent="0.25">
      <c r="A913" s="1">
        <v>461.34</v>
      </c>
      <c r="B913">
        <f t="shared" si="28"/>
        <v>1.1126644979391224E-3</v>
      </c>
      <c r="C913">
        <f t="shared" si="29"/>
        <v>1.1126644979391224E-3</v>
      </c>
    </row>
    <row r="914" spans="1:3" x14ac:dyDescent="0.25">
      <c r="A914" s="1">
        <v>461.71</v>
      </c>
      <c r="B914">
        <f t="shared" si="28"/>
        <v>1.1082363800046266E-3</v>
      </c>
      <c r="C914">
        <f t="shared" si="29"/>
        <v>1.1082363800046266E-3</v>
      </c>
    </row>
    <row r="915" spans="1:3" x14ac:dyDescent="0.25">
      <c r="A915" s="1">
        <v>461.81</v>
      </c>
      <c r="B915">
        <f t="shared" si="28"/>
        <v>1.1070411156944395E-3</v>
      </c>
      <c r="C915">
        <f t="shared" si="29"/>
        <v>1.1070411156944395E-3</v>
      </c>
    </row>
    <row r="916" spans="1:3" x14ac:dyDescent="0.25">
      <c r="A916" s="1">
        <v>462.24</v>
      </c>
      <c r="B916">
        <f t="shared" si="28"/>
        <v>1.101908893756294E-3</v>
      </c>
      <c r="C916">
        <f t="shared" si="29"/>
        <v>1.101908893756294E-3</v>
      </c>
    </row>
    <row r="917" spans="1:3" x14ac:dyDescent="0.25">
      <c r="A917" s="1">
        <v>462.3</v>
      </c>
      <c r="B917">
        <f t="shared" si="28"/>
        <v>1.1011937282313538E-3</v>
      </c>
      <c r="C917">
        <f t="shared" si="29"/>
        <v>1.1011937282313538E-3</v>
      </c>
    </row>
    <row r="918" spans="1:3" x14ac:dyDescent="0.25">
      <c r="A918" s="1">
        <v>462.48</v>
      </c>
      <c r="B918">
        <f t="shared" si="28"/>
        <v>1.0990496432591093E-3</v>
      </c>
      <c r="C918">
        <f t="shared" si="29"/>
        <v>1.0990496432591093E-3</v>
      </c>
    </row>
    <row r="919" spans="1:3" x14ac:dyDescent="0.25">
      <c r="A919" s="1">
        <v>462.96</v>
      </c>
      <c r="B919">
        <f t="shared" si="28"/>
        <v>1.0933424604448775E-3</v>
      </c>
      <c r="C919">
        <f t="shared" si="29"/>
        <v>1.0933424604448775E-3</v>
      </c>
    </row>
    <row r="920" spans="1:3" x14ac:dyDescent="0.25">
      <c r="A920" s="1">
        <v>463.07</v>
      </c>
      <c r="B920">
        <f t="shared" si="28"/>
        <v>1.0920366957737869E-3</v>
      </c>
      <c r="C920">
        <f t="shared" si="29"/>
        <v>1.0920366957737869E-3</v>
      </c>
    </row>
    <row r="921" spans="1:3" x14ac:dyDescent="0.25">
      <c r="A921" s="1">
        <v>463.15</v>
      </c>
      <c r="B921">
        <f t="shared" si="28"/>
        <v>1.0910875490447284E-3</v>
      </c>
      <c r="C921">
        <f t="shared" si="29"/>
        <v>1.0910875490447284E-3</v>
      </c>
    </row>
    <row r="922" spans="1:3" x14ac:dyDescent="0.25">
      <c r="A922" s="1">
        <v>463.67</v>
      </c>
      <c r="B922">
        <f t="shared" si="28"/>
        <v>1.0849283888499871E-3</v>
      </c>
      <c r="C922">
        <f t="shared" si="29"/>
        <v>1.0849283888499871E-3</v>
      </c>
    </row>
    <row r="923" spans="1:3" x14ac:dyDescent="0.25">
      <c r="A923" s="1">
        <v>464.76</v>
      </c>
      <c r="B923">
        <f t="shared" si="28"/>
        <v>1.0720760584352351E-3</v>
      </c>
      <c r="C923">
        <f t="shared" si="29"/>
        <v>1.0720760584352351E-3</v>
      </c>
    </row>
    <row r="924" spans="1:3" x14ac:dyDescent="0.25">
      <c r="A924" s="1">
        <v>465.07</v>
      </c>
      <c r="B924">
        <f t="shared" si="28"/>
        <v>1.0684352943344192E-3</v>
      </c>
      <c r="C924">
        <f t="shared" si="29"/>
        <v>1.0684352943344192E-3</v>
      </c>
    </row>
    <row r="925" spans="1:3" x14ac:dyDescent="0.25">
      <c r="A925" s="1">
        <v>465.48</v>
      </c>
      <c r="B925">
        <f t="shared" si="28"/>
        <v>1.0636299989319458E-3</v>
      </c>
      <c r="C925">
        <f t="shared" si="29"/>
        <v>1.0636299989319458E-3</v>
      </c>
    </row>
    <row r="926" spans="1:3" x14ac:dyDescent="0.25">
      <c r="A926" s="1">
        <v>465.85</v>
      </c>
      <c r="B926">
        <f t="shared" si="28"/>
        <v>1.059303232293645E-3</v>
      </c>
      <c r="C926">
        <f t="shared" si="29"/>
        <v>1.059303232293645E-3</v>
      </c>
    </row>
    <row r="927" spans="1:3" x14ac:dyDescent="0.25">
      <c r="A927" s="1">
        <v>466.74</v>
      </c>
      <c r="B927">
        <f t="shared" si="28"/>
        <v>1.0489335601101117E-3</v>
      </c>
      <c r="C927">
        <f t="shared" si="29"/>
        <v>1.0489335601101117E-3</v>
      </c>
    </row>
    <row r="928" spans="1:3" x14ac:dyDescent="0.25">
      <c r="A928" s="1">
        <v>467.32</v>
      </c>
      <c r="B928">
        <f t="shared" si="28"/>
        <v>1.0422048097093557E-3</v>
      </c>
      <c r="C928">
        <f t="shared" si="29"/>
        <v>1.0422048097093557E-3</v>
      </c>
    </row>
    <row r="929" spans="1:3" x14ac:dyDescent="0.25">
      <c r="A929" s="1">
        <v>467.5</v>
      </c>
      <c r="B929">
        <f t="shared" si="28"/>
        <v>1.0401212541221608E-3</v>
      </c>
      <c r="C929">
        <f t="shared" si="29"/>
        <v>1.0401212541221608E-3</v>
      </c>
    </row>
    <row r="930" spans="1:3" x14ac:dyDescent="0.25">
      <c r="A930" s="1">
        <v>467.58</v>
      </c>
      <c r="B930">
        <f t="shared" si="28"/>
        <v>1.0391959422697526E-3</v>
      </c>
      <c r="C930">
        <f t="shared" si="29"/>
        <v>1.0391959422697526E-3</v>
      </c>
    </row>
    <row r="931" spans="1:3" x14ac:dyDescent="0.25">
      <c r="A931" s="1">
        <v>468.16</v>
      </c>
      <c r="B931">
        <f t="shared" si="28"/>
        <v>1.0325005812437929E-3</v>
      </c>
      <c r="C931">
        <f t="shared" si="29"/>
        <v>1.0325005812437929E-3</v>
      </c>
    </row>
    <row r="932" spans="1:3" x14ac:dyDescent="0.25">
      <c r="A932" s="1">
        <v>468.6</v>
      </c>
      <c r="B932">
        <f t="shared" si="28"/>
        <v>1.0274368055757895E-3</v>
      </c>
      <c r="C932">
        <f t="shared" si="29"/>
        <v>1.0274368055757895E-3</v>
      </c>
    </row>
    <row r="933" spans="1:3" x14ac:dyDescent="0.25">
      <c r="A933" s="1">
        <v>469.22</v>
      </c>
      <c r="B933">
        <f t="shared" si="28"/>
        <v>1.0203242299554E-3</v>
      </c>
      <c r="C933">
        <f t="shared" si="29"/>
        <v>1.0203242299554E-3</v>
      </c>
    </row>
    <row r="934" spans="1:3" x14ac:dyDescent="0.25">
      <c r="A934" s="1">
        <v>469.9</v>
      </c>
      <c r="B934">
        <f t="shared" si="28"/>
        <v>1.0125540748725005E-3</v>
      </c>
      <c r="C934">
        <f t="shared" si="29"/>
        <v>1.0125540748725005E-3</v>
      </c>
    </row>
    <row r="935" spans="1:3" x14ac:dyDescent="0.25">
      <c r="A935" s="1">
        <v>470.38</v>
      </c>
      <c r="B935">
        <f t="shared" si="28"/>
        <v>1.0070887068169253E-3</v>
      </c>
      <c r="C935">
        <f t="shared" si="29"/>
        <v>1.0070887068169253E-3</v>
      </c>
    </row>
    <row r="936" spans="1:3" x14ac:dyDescent="0.25">
      <c r="A936" s="1">
        <v>471.31</v>
      </c>
      <c r="B936">
        <f t="shared" si="28"/>
        <v>9.9654559595447256E-4</v>
      </c>
      <c r="C936">
        <f t="shared" si="29"/>
        <v>9.9654559595447256E-4</v>
      </c>
    </row>
    <row r="937" spans="1:3" x14ac:dyDescent="0.25">
      <c r="A937" s="1">
        <v>472.52</v>
      </c>
      <c r="B937">
        <f t="shared" si="28"/>
        <v>9.8291970652920261E-4</v>
      </c>
      <c r="C937">
        <f t="shared" si="29"/>
        <v>9.8291970652920261E-4</v>
      </c>
    </row>
    <row r="938" spans="1:3" x14ac:dyDescent="0.25">
      <c r="A938" s="1">
        <v>472.53</v>
      </c>
      <c r="B938">
        <f t="shared" si="28"/>
        <v>9.8280752911714423E-4</v>
      </c>
      <c r="C938">
        <f t="shared" si="29"/>
        <v>9.8280752911714423E-4</v>
      </c>
    </row>
    <row r="939" spans="1:3" x14ac:dyDescent="0.25">
      <c r="A939" s="1">
        <v>472.61</v>
      </c>
      <c r="B939">
        <f t="shared" si="28"/>
        <v>9.8191036626863685E-4</v>
      </c>
      <c r="C939">
        <f t="shared" si="29"/>
        <v>9.8191036626863685E-4</v>
      </c>
    </row>
    <row r="940" spans="1:3" x14ac:dyDescent="0.25">
      <c r="A940" s="1">
        <v>473.28</v>
      </c>
      <c r="B940">
        <f t="shared" si="28"/>
        <v>9.744145559046159E-4</v>
      </c>
      <c r="C940">
        <f t="shared" si="29"/>
        <v>9.744145559046159E-4</v>
      </c>
    </row>
    <row r="941" spans="1:3" x14ac:dyDescent="0.25">
      <c r="A941" s="1">
        <v>473.5</v>
      </c>
      <c r="B941">
        <f t="shared" si="28"/>
        <v>9.7196024596753357E-4</v>
      </c>
      <c r="C941">
        <f t="shared" si="29"/>
        <v>9.7196024596753357E-4</v>
      </c>
    </row>
    <row r="942" spans="1:3" x14ac:dyDescent="0.25">
      <c r="A942" s="1">
        <v>473.77</v>
      </c>
      <c r="B942">
        <f t="shared" si="28"/>
        <v>9.6895288079959562E-4</v>
      </c>
      <c r="C942">
        <f t="shared" si="29"/>
        <v>9.6895288079959562E-4</v>
      </c>
    </row>
    <row r="943" spans="1:3" x14ac:dyDescent="0.25">
      <c r="A943" s="1">
        <v>473.96</v>
      </c>
      <c r="B943">
        <f t="shared" si="28"/>
        <v>9.6683972436871989E-4</v>
      </c>
      <c r="C943">
        <f t="shared" si="29"/>
        <v>9.6683972436871989E-4</v>
      </c>
    </row>
    <row r="944" spans="1:3" x14ac:dyDescent="0.25">
      <c r="A944" s="1">
        <v>474.03</v>
      </c>
      <c r="B944">
        <f t="shared" si="28"/>
        <v>9.6606184715564039E-4</v>
      </c>
      <c r="C944">
        <f t="shared" si="29"/>
        <v>9.6606184715564039E-4</v>
      </c>
    </row>
    <row r="945" spans="1:3" x14ac:dyDescent="0.25">
      <c r="A945" s="1">
        <v>474.42</v>
      </c>
      <c r="B945">
        <f t="shared" si="28"/>
        <v>9.6173441629661155E-4</v>
      </c>
      <c r="C945">
        <f t="shared" si="29"/>
        <v>9.6173441629661155E-4</v>
      </c>
    </row>
    <row r="946" spans="1:3" x14ac:dyDescent="0.25">
      <c r="A946" s="1">
        <v>474.56</v>
      </c>
      <c r="B946">
        <f t="shared" si="28"/>
        <v>9.6018365334395791E-4</v>
      </c>
      <c r="C946">
        <f t="shared" si="29"/>
        <v>9.6018365334395791E-4</v>
      </c>
    </row>
    <row r="947" spans="1:3" x14ac:dyDescent="0.25">
      <c r="A947" s="1">
        <v>474.99</v>
      </c>
      <c r="B947">
        <f t="shared" si="28"/>
        <v>9.5542944537934499E-4</v>
      </c>
      <c r="C947">
        <f t="shared" si="29"/>
        <v>9.5542944537934499E-4</v>
      </c>
    </row>
    <row r="948" spans="1:3" x14ac:dyDescent="0.25">
      <c r="A948" s="1">
        <v>475.64</v>
      </c>
      <c r="B948">
        <f t="shared" si="28"/>
        <v>9.4826826167419527E-4</v>
      </c>
      <c r="C948">
        <f t="shared" si="29"/>
        <v>9.4826826167419527E-4</v>
      </c>
    </row>
    <row r="949" spans="1:3" x14ac:dyDescent="0.25">
      <c r="A949" s="1">
        <v>475.65</v>
      </c>
      <c r="B949">
        <f t="shared" si="28"/>
        <v>9.481583290351631E-4</v>
      </c>
      <c r="C949">
        <f t="shared" si="29"/>
        <v>9.481583290351631E-4</v>
      </c>
    </row>
    <row r="950" spans="1:3" x14ac:dyDescent="0.25">
      <c r="A950" s="1">
        <v>476.11</v>
      </c>
      <c r="B950">
        <f t="shared" si="28"/>
        <v>9.4310928772314536E-4</v>
      </c>
      <c r="C950">
        <f t="shared" si="29"/>
        <v>9.4310928772314536E-4</v>
      </c>
    </row>
    <row r="951" spans="1:3" x14ac:dyDescent="0.25">
      <c r="A951" s="1">
        <v>476.42</v>
      </c>
      <c r="B951">
        <f t="shared" si="28"/>
        <v>9.3971536414196217E-4</v>
      </c>
      <c r="C951">
        <f t="shared" si="29"/>
        <v>9.3971536414196217E-4</v>
      </c>
    </row>
    <row r="952" spans="1:3" x14ac:dyDescent="0.25">
      <c r="A952" s="1">
        <v>476.48</v>
      </c>
      <c r="B952">
        <f t="shared" si="28"/>
        <v>9.3905928531100291E-4</v>
      </c>
      <c r="C952">
        <f t="shared" si="29"/>
        <v>9.3905928531100291E-4</v>
      </c>
    </row>
    <row r="953" spans="1:3" x14ac:dyDescent="0.25">
      <c r="A953" s="1">
        <v>476.63</v>
      </c>
      <c r="B953">
        <f t="shared" si="28"/>
        <v>9.3742023812968633E-4</v>
      </c>
      <c r="C953">
        <f t="shared" si="29"/>
        <v>9.3742023812968633E-4</v>
      </c>
    </row>
    <row r="954" spans="1:3" x14ac:dyDescent="0.25">
      <c r="A954" s="1">
        <v>477.35</v>
      </c>
      <c r="B954">
        <f t="shared" si="28"/>
        <v>9.2957571795124108E-4</v>
      </c>
      <c r="C954">
        <f t="shared" si="29"/>
        <v>9.2957571795124108E-4</v>
      </c>
    </row>
    <row r="955" spans="1:3" x14ac:dyDescent="0.25">
      <c r="A955" s="1">
        <v>478.85</v>
      </c>
      <c r="B955">
        <f t="shared" si="28"/>
        <v>9.1335526463792347E-4</v>
      </c>
      <c r="C955">
        <f t="shared" si="29"/>
        <v>9.1335526463792347E-4</v>
      </c>
    </row>
    <row r="956" spans="1:3" x14ac:dyDescent="0.25">
      <c r="A956" s="1">
        <v>479.62</v>
      </c>
      <c r="B956">
        <f t="shared" si="28"/>
        <v>9.05093294249537E-4</v>
      </c>
      <c r="C956">
        <f t="shared" si="29"/>
        <v>9.05093294249537E-4</v>
      </c>
    </row>
    <row r="957" spans="1:3" x14ac:dyDescent="0.25">
      <c r="A957" s="1">
        <v>480.52</v>
      </c>
      <c r="B957">
        <f t="shared" si="28"/>
        <v>8.9549222639403558E-4</v>
      </c>
      <c r="C957">
        <f t="shared" si="29"/>
        <v>8.9549222639403558E-4</v>
      </c>
    </row>
    <row r="958" spans="1:3" x14ac:dyDescent="0.25">
      <c r="A958" s="1">
        <v>481.21</v>
      </c>
      <c r="B958">
        <f t="shared" si="28"/>
        <v>8.8817227626896182E-4</v>
      </c>
      <c r="C958">
        <f t="shared" si="29"/>
        <v>8.8817227626896182E-4</v>
      </c>
    </row>
    <row r="959" spans="1:3" x14ac:dyDescent="0.25">
      <c r="A959" s="1">
        <v>481.78</v>
      </c>
      <c r="B959">
        <f t="shared" si="28"/>
        <v>8.8215220280350108E-4</v>
      </c>
      <c r="C959">
        <f t="shared" si="29"/>
        <v>8.8215220280350108E-4</v>
      </c>
    </row>
    <row r="960" spans="1:3" x14ac:dyDescent="0.25">
      <c r="A960" s="1">
        <v>481.84</v>
      </c>
      <c r="B960">
        <f t="shared" si="28"/>
        <v>8.8151992633681226E-4</v>
      </c>
      <c r="C960">
        <f t="shared" si="29"/>
        <v>8.8151992633681226E-4</v>
      </c>
    </row>
    <row r="961" spans="1:3" x14ac:dyDescent="0.25">
      <c r="A961" s="1">
        <v>482.5</v>
      </c>
      <c r="B961">
        <f t="shared" si="28"/>
        <v>8.745827126769815E-4</v>
      </c>
      <c r="C961">
        <f t="shared" si="29"/>
        <v>8.745827126769815E-4</v>
      </c>
    </row>
    <row r="962" spans="1:3" x14ac:dyDescent="0.25">
      <c r="A962" s="1">
        <v>483.23</v>
      </c>
      <c r="B962">
        <f t="shared" si="28"/>
        <v>8.6694787803642424E-4</v>
      </c>
      <c r="C962">
        <f t="shared" si="29"/>
        <v>8.6694787803642424E-4</v>
      </c>
    </row>
    <row r="963" spans="1:3" x14ac:dyDescent="0.25">
      <c r="A963" s="1">
        <v>483.38</v>
      </c>
      <c r="B963">
        <f t="shared" si="28"/>
        <v>8.6538404887414797E-4</v>
      </c>
      <c r="C963">
        <f t="shared" si="29"/>
        <v>8.6538404887414797E-4</v>
      </c>
    </row>
    <row r="964" spans="1:3" x14ac:dyDescent="0.25">
      <c r="A964" s="1">
        <v>483.66</v>
      </c>
      <c r="B964">
        <f t="shared" ref="B964:B1027" si="30">_xlfn.NORM.DIST(A964,$B$1,$D$1,FALSE)</f>
        <v>8.624694435718903E-4</v>
      </c>
      <c r="C964">
        <f t="shared" ref="C964:C1003" si="31">IF(A964&gt;=$A$2,B964,-100)</f>
        <v>8.624694435718903E-4</v>
      </c>
    </row>
    <row r="965" spans="1:3" x14ac:dyDescent="0.25">
      <c r="A965" s="1">
        <v>483.77</v>
      </c>
      <c r="B965">
        <f t="shared" si="30"/>
        <v>8.6132603973231438E-4</v>
      </c>
      <c r="C965">
        <f t="shared" si="31"/>
        <v>8.6132603973231438E-4</v>
      </c>
    </row>
    <row r="966" spans="1:3" x14ac:dyDescent="0.25">
      <c r="A966" s="1">
        <v>485.42</v>
      </c>
      <c r="B966">
        <f t="shared" si="30"/>
        <v>8.4428490278291282E-4</v>
      </c>
      <c r="C966">
        <f t="shared" si="31"/>
        <v>8.4428490278291282E-4</v>
      </c>
    </row>
    <row r="967" spans="1:3" x14ac:dyDescent="0.25">
      <c r="A967" s="1">
        <v>485.76</v>
      </c>
      <c r="B967">
        <f t="shared" si="30"/>
        <v>8.4079907121667084E-4</v>
      </c>
      <c r="C967">
        <f t="shared" si="31"/>
        <v>8.4079907121667084E-4</v>
      </c>
    </row>
    <row r="968" spans="1:3" x14ac:dyDescent="0.25">
      <c r="A968" s="1">
        <v>485.77</v>
      </c>
      <c r="B968">
        <f t="shared" si="30"/>
        <v>8.4069667988674352E-4</v>
      </c>
      <c r="C968">
        <f t="shared" si="31"/>
        <v>8.4069667988674352E-4</v>
      </c>
    </row>
    <row r="969" spans="1:3" x14ac:dyDescent="0.25">
      <c r="A969" s="1">
        <v>486.07</v>
      </c>
      <c r="B969">
        <f t="shared" si="30"/>
        <v>8.376284799766578E-4</v>
      </c>
      <c r="C969">
        <f t="shared" si="31"/>
        <v>8.376284799766578E-4</v>
      </c>
    </row>
    <row r="970" spans="1:3" x14ac:dyDescent="0.25">
      <c r="A970" s="1">
        <v>486.4</v>
      </c>
      <c r="B970">
        <f t="shared" si="30"/>
        <v>8.3426137927146437E-4</v>
      </c>
      <c r="C970">
        <f t="shared" si="31"/>
        <v>8.3426137927146437E-4</v>
      </c>
    </row>
    <row r="971" spans="1:3" x14ac:dyDescent="0.25">
      <c r="A971" s="1">
        <v>487.25</v>
      </c>
      <c r="B971">
        <f t="shared" si="30"/>
        <v>8.2562681086056997E-4</v>
      </c>
      <c r="C971">
        <f t="shared" si="31"/>
        <v>8.2562681086056997E-4</v>
      </c>
    </row>
    <row r="972" spans="1:3" x14ac:dyDescent="0.25">
      <c r="A972" s="1">
        <v>487.95</v>
      </c>
      <c r="B972">
        <f t="shared" si="30"/>
        <v>8.1855746599286813E-4</v>
      </c>
      <c r="C972">
        <f t="shared" si="31"/>
        <v>8.1855746599286813E-4</v>
      </c>
    </row>
    <row r="973" spans="1:3" x14ac:dyDescent="0.25">
      <c r="A973" s="1">
        <v>487.96</v>
      </c>
      <c r="B973">
        <f t="shared" si="30"/>
        <v>8.1845674718831259E-4</v>
      </c>
      <c r="C973">
        <f t="shared" si="31"/>
        <v>8.1845674718831259E-4</v>
      </c>
    </row>
    <row r="974" spans="1:3" x14ac:dyDescent="0.25">
      <c r="A974" s="1">
        <v>489.05</v>
      </c>
      <c r="B974">
        <f t="shared" si="30"/>
        <v>8.0752438247129194E-4</v>
      </c>
      <c r="C974">
        <f t="shared" si="31"/>
        <v>8.0752438247129194E-4</v>
      </c>
    </row>
    <row r="975" spans="1:3" x14ac:dyDescent="0.25">
      <c r="A975" s="1">
        <v>489.1</v>
      </c>
      <c r="B975">
        <f t="shared" si="30"/>
        <v>8.0702508628083616E-4</v>
      </c>
      <c r="C975">
        <f t="shared" si="31"/>
        <v>8.0702508628083616E-4</v>
      </c>
    </row>
    <row r="976" spans="1:3" x14ac:dyDescent="0.25">
      <c r="A976" s="1">
        <v>489.27</v>
      </c>
      <c r="B976">
        <f t="shared" si="30"/>
        <v>8.0532891684239466E-4</v>
      </c>
      <c r="C976">
        <f t="shared" si="31"/>
        <v>8.0532891684239466E-4</v>
      </c>
    </row>
    <row r="977" spans="1:3" x14ac:dyDescent="0.25">
      <c r="A977" s="1">
        <v>489.66</v>
      </c>
      <c r="B977">
        <f t="shared" si="30"/>
        <v>8.0144610407507618E-4</v>
      </c>
      <c r="C977">
        <f t="shared" si="31"/>
        <v>8.0144610407507618E-4</v>
      </c>
    </row>
    <row r="978" spans="1:3" x14ac:dyDescent="0.25">
      <c r="A978" s="1">
        <v>489.67</v>
      </c>
      <c r="B978">
        <f t="shared" si="30"/>
        <v>8.0134669868512135E-4</v>
      </c>
      <c r="C978">
        <f t="shared" si="31"/>
        <v>8.0134669868512135E-4</v>
      </c>
    </row>
    <row r="979" spans="1:3" x14ac:dyDescent="0.25">
      <c r="A979" s="1">
        <v>489.81</v>
      </c>
      <c r="B979">
        <f t="shared" si="30"/>
        <v>7.9995583163155158E-4</v>
      </c>
      <c r="C979">
        <f t="shared" si="31"/>
        <v>7.9995583163155158E-4</v>
      </c>
    </row>
    <row r="980" spans="1:3" x14ac:dyDescent="0.25">
      <c r="A980" s="1">
        <v>490.11</v>
      </c>
      <c r="B980">
        <f t="shared" si="30"/>
        <v>7.9698048553901012E-4</v>
      </c>
      <c r="C980">
        <f t="shared" si="31"/>
        <v>7.9698048553901012E-4</v>
      </c>
    </row>
    <row r="981" spans="1:3" x14ac:dyDescent="0.25">
      <c r="A981" s="1">
        <v>490.34</v>
      </c>
      <c r="B981">
        <f t="shared" si="30"/>
        <v>7.9470408380214049E-4</v>
      </c>
      <c r="C981">
        <f t="shared" si="31"/>
        <v>7.9470408380214049E-4</v>
      </c>
    </row>
    <row r="982" spans="1:3" x14ac:dyDescent="0.25">
      <c r="A982" s="1">
        <v>490.41</v>
      </c>
      <c r="B982">
        <f t="shared" si="30"/>
        <v>7.9401207542545578E-4</v>
      </c>
      <c r="C982">
        <f t="shared" si="31"/>
        <v>7.9401207542545578E-4</v>
      </c>
    </row>
    <row r="983" spans="1:3" x14ac:dyDescent="0.25">
      <c r="A983" s="1">
        <v>490.41</v>
      </c>
      <c r="B983">
        <f t="shared" si="30"/>
        <v>7.9401207542545578E-4</v>
      </c>
      <c r="C983">
        <f t="shared" si="31"/>
        <v>7.9401207542545578E-4</v>
      </c>
    </row>
    <row r="984" spans="1:3" x14ac:dyDescent="0.25">
      <c r="A984" s="1">
        <v>490.75</v>
      </c>
      <c r="B984">
        <f t="shared" si="30"/>
        <v>7.9065626842283944E-4</v>
      </c>
      <c r="C984">
        <f t="shared" si="31"/>
        <v>7.9065626842283944E-4</v>
      </c>
    </row>
    <row r="985" spans="1:3" x14ac:dyDescent="0.25">
      <c r="A985" s="1">
        <v>491.18</v>
      </c>
      <c r="B985">
        <f t="shared" si="30"/>
        <v>7.8642493809019198E-4</v>
      </c>
      <c r="C985">
        <f t="shared" si="31"/>
        <v>7.8642493809019198E-4</v>
      </c>
    </row>
    <row r="986" spans="1:3" x14ac:dyDescent="0.25">
      <c r="A986" s="1">
        <v>491.49</v>
      </c>
      <c r="B986">
        <f t="shared" si="30"/>
        <v>7.8338330481317407E-4</v>
      </c>
      <c r="C986">
        <f t="shared" si="31"/>
        <v>7.8338330481317407E-4</v>
      </c>
    </row>
    <row r="987" spans="1:3" x14ac:dyDescent="0.25">
      <c r="A987" s="1">
        <v>491.51</v>
      </c>
      <c r="B987">
        <f t="shared" si="30"/>
        <v>7.8318732547823461E-4</v>
      </c>
      <c r="C987">
        <f t="shared" si="31"/>
        <v>7.8318732547823461E-4</v>
      </c>
    </row>
    <row r="988" spans="1:3" x14ac:dyDescent="0.25">
      <c r="A988" s="1">
        <v>491.92</v>
      </c>
      <c r="B988">
        <f t="shared" si="30"/>
        <v>7.7917656616568738E-4</v>
      </c>
      <c r="C988">
        <f t="shared" si="31"/>
        <v>7.7917656616568738E-4</v>
      </c>
    </row>
    <row r="989" spans="1:3" x14ac:dyDescent="0.25">
      <c r="A989" s="1">
        <v>492.51</v>
      </c>
      <c r="B989">
        <f t="shared" si="30"/>
        <v>7.734278154827945E-4</v>
      </c>
      <c r="C989">
        <f t="shared" si="31"/>
        <v>7.734278154827945E-4</v>
      </c>
    </row>
    <row r="990" spans="1:3" x14ac:dyDescent="0.25">
      <c r="A990" s="1">
        <v>492.74</v>
      </c>
      <c r="B990">
        <f t="shared" si="30"/>
        <v>7.7119408087809069E-4</v>
      </c>
      <c r="C990">
        <f t="shared" si="31"/>
        <v>7.7119408087809069E-4</v>
      </c>
    </row>
    <row r="991" spans="1:3" x14ac:dyDescent="0.25">
      <c r="A991" s="1">
        <v>492.83</v>
      </c>
      <c r="B991">
        <f t="shared" si="30"/>
        <v>7.7032112679145052E-4</v>
      </c>
      <c r="C991">
        <f t="shared" si="31"/>
        <v>7.7032112679145052E-4</v>
      </c>
    </row>
    <row r="992" spans="1:3" x14ac:dyDescent="0.25">
      <c r="A992" s="1">
        <v>494.18</v>
      </c>
      <c r="B992">
        <f t="shared" si="30"/>
        <v>7.5730222047587948E-4</v>
      </c>
      <c r="C992">
        <f t="shared" si="31"/>
        <v>7.5730222047587948E-4</v>
      </c>
    </row>
    <row r="993" spans="1:3" x14ac:dyDescent="0.25">
      <c r="A993" s="1">
        <v>494.34</v>
      </c>
      <c r="B993">
        <f t="shared" si="30"/>
        <v>7.5576861897860435E-4</v>
      </c>
      <c r="C993">
        <f t="shared" si="31"/>
        <v>7.5576861897860435E-4</v>
      </c>
    </row>
    <row r="994" spans="1:3" x14ac:dyDescent="0.25">
      <c r="A994" s="1">
        <v>494.81</v>
      </c>
      <c r="B994">
        <f t="shared" si="30"/>
        <v>7.5127517289545807E-4</v>
      </c>
      <c r="C994">
        <f t="shared" si="31"/>
        <v>7.5127517289545807E-4</v>
      </c>
    </row>
    <row r="995" spans="1:3" x14ac:dyDescent="0.25">
      <c r="A995" s="1">
        <v>494.97</v>
      </c>
      <c r="B995">
        <f t="shared" si="30"/>
        <v>7.4974940842275674E-4</v>
      </c>
      <c r="C995">
        <f t="shared" si="31"/>
        <v>7.4974940842275674E-4</v>
      </c>
    </row>
    <row r="996" spans="1:3" x14ac:dyDescent="0.25">
      <c r="A996" s="1">
        <v>495.8</v>
      </c>
      <c r="B996">
        <f t="shared" si="30"/>
        <v>7.4186647704907677E-4</v>
      </c>
      <c r="C996">
        <f t="shared" si="31"/>
        <v>7.4186647704907677E-4</v>
      </c>
    </row>
    <row r="997" spans="1:3" x14ac:dyDescent="0.25">
      <c r="A997" s="1">
        <v>495.95</v>
      </c>
      <c r="B997">
        <f t="shared" si="30"/>
        <v>7.4044757355452829E-4</v>
      </c>
      <c r="C997">
        <f t="shared" si="31"/>
        <v>7.4044757355452829E-4</v>
      </c>
    </row>
    <row r="998" spans="1:3" x14ac:dyDescent="0.25">
      <c r="A998" s="1">
        <v>496.11</v>
      </c>
      <c r="B998">
        <f t="shared" si="30"/>
        <v>7.3893600836399931E-4</v>
      </c>
      <c r="C998">
        <f t="shared" si="31"/>
        <v>7.3893600836399931E-4</v>
      </c>
    </row>
    <row r="999" spans="1:3" x14ac:dyDescent="0.25">
      <c r="A999" s="1">
        <v>497.75</v>
      </c>
      <c r="B999">
        <f t="shared" si="30"/>
        <v>7.2355753052138095E-4</v>
      </c>
      <c r="C999">
        <f t="shared" si="31"/>
        <v>7.2355753052138095E-4</v>
      </c>
    </row>
    <row r="1000" spans="1:3" x14ac:dyDescent="0.25">
      <c r="A1000" s="1">
        <v>497.76</v>
      </c>
      <c r="B1000">
        <f t="shared" si="30"/>
        <v>7.234644028853175E-4</v>
      </c>
      <c r="C1000">
        <f t="shared" si="31"/>
        <v>7.234644028853175E-4</v>
      </c>
    </row>
    <row r="1001" spans="1:3" x14ac:dyDescent="0.25">
      <c r="A1001" s="1">
        <v>497.8</v>
      </c>
      <c r="B1001">
        <f t="shared" si="30"/>
        <v>7.2309197039336606E-4</v>
      </c>
      <c r="C1001">
        <f t="shared" si="31"/>
        <v>7.2309197039336606E-4</v>
      </c>
    </row>
    <row r="1002" spans="1:3" x14ac:dyDescent="0.25">
      <c r="A1002" s="1">
        <v>498.23</v>
      </c>
      <c r="B1002">
        <f t="shared" si="30"/>
        <v>7.1909620942257749E-4</v>
      </c>
      <c r="C1002">
        <f t="shared" si="31"/>
        <v>7.1909620942257749E-4</v>
      </c>
    </row>
    <row r="1003" spans="1:3" x14ac:dyDescent="0.25">
      <c r="A1003" s="1">
        <v>498.33</v>
      </c>
      <c r="B1003">
        <f t="shared" si="30"/>
        <v>7.1816903171031325E-4</v>
      </c>
      <c r="C1003">
        <f t="shared" si="31"/>
        <v>7.1816903171031325E-4</v>
      </c>
    </row>
  </sheetData>
  <sortState xmlns:xlrd2="http://schemas.microsoft.com/office/spreadsheetml/2017/richdata2" ref="A4:A1003">
    <sortCondition ref="A4:A1003"/>
  </sortState>
  <pageMargins left="0.7" right="0.7" top="0.75" bottom="0.75" header="0.3" footer="0.3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C116-61EA-4007-B781-837A5C5309BC}">
  <dimension ref="A1:F29"/>
  <sheetViews>
    <sheetView workbookViewId="0">
      <selection activeCell="C14" sqref="C14"/>
    </sheetView>
  </sheetViews>
  <sheetFormatPr defaultRowHeight="15" x14ac:dyDescent="0.25"/>
  <cols>
    <col min="1" max="1" width="38.42578125" bestFit="1" customWidth="1"/>
    <col min="2" max="2" width="12" customWidth="1"/>
    <col min="3" max="3" width="18.7109375" bestFit="1" customWidth="1"/>
    <col min="4" max="4" width="57.28515625" bestFit="1" customWidth="1"/>
    <col min="5" max="5" width="37.5703125" bestFit="1" customWidth="1"/>
  </cols>
  <sheetData>
    <row r="1" spans="1:6" x14ac:dyDescent="0.25">
      <c r="A1" t="s">
        <v>2067</v>
      </c>
      <c r="B1" t="s">
        <v>2068</v>
      </c>
      <c r="C1" t="s">
        <v>2069</v>
      </c>
      <c r="D1" t="s">
        <v>2070</v>
      </c>
      <c r="E1" t="s">
        <v>2071</v>
      </c>
    </row>
    <row r="2" spans="1:6" x14ac:dyDescent="0.25">
      <c r="A2" s="3" t="s">
        <v>0</v>
      </c>
      <c r="B2" s="3" t="s">
        <v>2064</v>
      </c>
      <c r="C2" s="3" t="s">
        <v>2065</v>
      </c>
      <c r="D2" s="3" t="s">
        <v>2072</v>
      </c>
      <c r="E2" s="3" t="s">
        <v>2073</v>
      </c>
      <c r="F2" s="3"/>
    </row>
    <row r="3" spans="1:6" x14ac:dyDescent="0.25">
      <c r="A3" s="3" t="s">
        <v>1</v>
      </c>
      <c r="B3" s="3" t="s">
        <v>2062</v>
      </c>
      <c r="C3" s="3" t="s">
        <v>2063</v>
      </c>
      <c r="D3" s="3" t="s">
        <v>2074</v>
      </c>
      <c r="E3" s="3" t="s">
        <v>2075</v>
      </c>
      <c r="F3" s="3"/>
    </row>
    <row r="4" spans="1:6" x14ac:dyDescent="0.25">
      <c r="A4" s="3" t="s">
        <v>2</v>
      </c>
      <c r="B4" s="3" t="s">
        <v>2064</v>
      </c>
      <c r="C4" s="3" t="s">
        <v>2065</v>
      </c>
      <c r="D4" s="3" t="s">
        <v>2076</v>
      </c>
      <c r="E4" s="3" t="s">
        <v>2077</v>
      </c>
      <c r="F4" s="3"/>
    </row>
    <row r="5" spans="1:6" x14ac:dyDescent="0.25">
      <c r="A5" s="3" t="s">
        <v>3</v>
      </c>
      <c r="B5" s="3" t="s">
        <v>2064</v>
      </c>
      <c r="C5" s="3" t="s">
        <v>2065</v>
      </c>
      <c r="D5" s="3" t="s">
        <v>2119</v>
      </c>
      <c r="E5" s="3" t="s">
        <v>2078</v>
      </c>
      <c r="F5" s="3"/>
    </row>
    <row r="6" spans="1:6" x14ac:dyDescent="0.25">
      <c r="A6" s="3" t="s">
        <v>4</v>
      </c>
      <c r="B6" s="3" t="s">
        <v>2064</v>
      </c>
      <c r="C6" s="3" t="s">
        <v>2065</v>
      </c>
      <c r="D6" s="3" t="s">
        <v>2079</v>
      </c>
      <c r="E6" s="3" t="s">
        <v>2080</v>
      </c>
      <c r="F6" s="3"/>
    </row>
    <row r="7" spans="1:6" x14ac:dyDescent="0.25">
      <c r="A7" s="3" t="s">
        <v>5</v>
      </c>
      <c r="B7" s="3" t="s">
        <v>2064</v>
      </c>
      <c r="C7" s="3" t="s">
        <v>2065</v>
      </c>
      <c r="D7" s="3" t="s">
        <v>2081</v>
      </c>
      <c r="E7" s="3" t="s">
        <v>2082</v>
      </c>
      <c r="F7" s="3"/>
    </row>
    <row r="8" spans="1:6" x14ac:dyDescent="0.25">
      <c r="A8" s="3" t="s">
        <v>6</v>
      </c>
      <c r="B8" s="3" t="s">
        <v>2064</v>
      </c>
      <c r="C8" s="3" t="s">
        <v>2065</v>
      </c>
      <c r="D8" s="3" t="s">
        <v>2083</v>
      </c>
      <c r="E8" s="3" t="s">
        <v>2078</v>
      </c>
      <c r="F8" s="3"/>
    </row>
    <row r="9" spans="1:6" x14ac:dyDescent="0.25">
      <c r="A9" s="3" t="s">
        <v>7</v>
      </c>
      <c r="B9" s="3" t="s">
        <v>2064</v>
      </c>
      <c r="C9" s="3" t="s">
        <v>2065</v>
      </c>
      <c r="D9" s="3" t="s">
        <v>2084</v>
      </c>
      <c r="E9" s="3" t="s">
        <v>2085</v>
      </c>
      <c r="F9" s="3"/>
    </row>
    <row r="10" spans="1:6" x14ac:dyDescent="0.25">
      <c r="A10" s="3" t="s">
        <v>8</v>
      </c>
      <c r="B10" s="3" t="s">
        <v>2064</v>
      </c>
      <c r="C10" s="3" t="s">
        <v>2065</v>
      </c>
      <c r="D10" s="3" t="s">
        <v>2086</v>
      </c>
      <c r="E10" s="3" t="s">
        <v>2087</v>
      </c>
      <c r="F10" s="3"/>
    </row>
    <row r="11" spans="1:6" x14ac:dyDescent="0.25">
      <c r="A11" s="3" t="s">
        <v>9</v>
      </c>
      <c r="B11" s="3" t="s">
        <v>2088</v>
      </c>
      <c r="C11" s="3" t="s">
        <v>2063</v>
      </c>
      <c r="D11" s="3" t="s">
        <v>2089</v>
      </c>
      <c r="E11" s="3" t="s">
        <v>2090</v>
      </c>
      <c r="F11" s="3"/>
    </row>
    <row r="12" spans="1:6" x14ac:dyDescent="0.25">
      <c r="A12" s="3" t="s">
        <v>10</v>
      </c>
      <c r="B12" s="3" t="s">
        <v>2062</v>
      </c>
      <c r="C12" s="3" t="s">
        <v>2063</v>
      </c>
      <c r="D12" s="3" t="s">
        <v>2091</v>
      </c>
      <c r="E12" s="4" t="s">
        <v>2122</v>
      </c>
      <c r="F12" s="3"/>
    </row>
    <row r="13" spans="1:6" x14ac:dyDescent="0.25">
      <c r="A13" s="3" t="s">
        <v>11</v>
      </c>
      <c r="B13" s="3" t="s">
        <v>2064</v>
      </c>
      <c r="C13" s="3" t="s">
        <v>2065</v>
      </c>
      <c r="D13" s="3" t="s">
        <v>2120</v>
      </c>
      <c r="E13" s="3" t="s">
        <v>2092</v>
      </c>
      <c r="F13" s="3"/>
    </row>
    <row r="14" spans="1:6" x14ac:dyDescent="0.25">
      <c r="A14" s="3" t="s">
        <v>12</v>
      </c>
      <c r="B14" s="3" t="s">
        <v>2064</v>
      </c>
      <c r="C14" s="3" t="s">
        <v>2065</v>
      </c>
      <c r="D14" s="3" t="s">
        <v>2093</v>
      </c>
      <c r="E14" s="3" t="s">
        <v>2094</v>
      </c>
      <c r="F14" s="3"/>
    </row>
    <row r="15" spans="1:6" x14ac:dyDescent="0.25">
      <c r="A15" s="3" t="s">
        <v>13</v>
      </c>
      <c r="B15" s="3" t="s">
        <v>2062</v>
      </c>
      <c r="C15" s="3" t="s">
        <v>2063</v>
      </c>
      <c r="D15" s="3" t="s">
        <v>2095</v>
      </c>
      <c r="E15" s="4" t="s">
        <v>2123</v>
      </c>
      <c r="F15" s="3"/>
    </row>
    <row r="16" spans="1:6" x14ac:dyDescent="0.25">
      <c r="A16" s="3" t="s">
        <v>14</v>
      </c>
      <c r="B16" s="3" t="s">
        <v>2062</v>
      </c>
      <c r="C16" s="3" t="s">
        <v>2063</v>
      </c>
      <c r="D16" s="3" t="s">
        <v>2096</v>
      </c>
      <c r="E16" s="4" t="s">
        <v>2124</v>
      </c>
      <c r="F16" s="3"/>
    </row>
    <row r="17" spans="1:6" x14ac:dyDescent="0.25">
      <c r="A17" s="3" t="s">
        <v>15</v>
      </c>
      <c r="B17" s="3" t="s">
        <v>2064</v>
      </c>
      <c r="C17" s="3" t="s">
        <v>2065</v>
      </c>
      <c r="D17" s="3" t="s">
        <v>2097</v>
      </c>
      <c r="E17" s="3" t="s">
        <v>2098</v>
      </c>
      <c r="F17" s="3"/>
    </row>
    <row r="18" spans="1:6" x14ac:dyDescent="0.25">
      <c r="A18" s="3" t="s">
        <v>16</v>
      </c>
      <c r="B18" s="3" t="s">
        <v>2064</v>
      </c>
      <c r="C18" s="3" t="s">
        <v>2065</v>
      </c>
      <c r="D18" s="3" t="s">
        <v>2099</v>
      </c>
      <c r="E18" s="3" t="s">
        <v>2100</v>
      </c>
      <c r="F18" s="3"/>
    </row>
    <row r="19" spans="1:6" x14ac:dyDescent="0.25">
      <c r="A19" s="3" t="s">
        <v>17</v>
      </c>
      <c r="B19" s="3" t="s">
        <v>2062</v>
      </c>
      <c r="C19" s="3" t="s">
        <v>2063</v>
      </c>
      <c r="D19" s="3" t="s">
        <v>2117</v>
      </c>
      <c r="E19" s="3" t="s">
        <v>2125</v>
      </c>
      <c r="F19" s="3"/>
    </row>
    <row r="20" spans="1:6" x14ac:dyDescent="0.25">
      <c r="A20" s="3" t="s">
        <v>18</v>
      </c>
      <c r="B20" s="3" t="s">
        <v>2062</v>
      </c>
      <c r="C20" s="3" t="s">
        <v>2063</v>
      </c>
      <c r="D20" s="3" t="s">
        <v>2101</v>
      </c>
      <c r="E20" s="4" t="s">
        <v>2126</v>
      </c>
      <c r="F20" s="3"/>
    </row>
    <row r="21" spans="1:6" x14ac:dyDescent="0.25">
      <c r="A21" s="3" t="s">
        <v>19</v>
      </c>
      <c r="B21" s="3" t="s">
        <v>2064</v>
      </c>
      <c r="C21" s="3" t="s">
        <v>2065</v>
      </c>
      <c r="D21" s="3" t="s">
        <v>2102</v>
      </c>
      <c r="E21" s="3" t="s">
        <v>2103</v>
      </c>
      <c r="F21" s="3"/>
    </row>
    <row r="22" spans="1:6" x14ac:dyDescent="0.25">
      <c r="A22" s="3" t="s">
        <v>20</v>
      </c>
      <c r="B22" s="3" t="s">
        <v>2064</v>
      </c>
      <c r="C22" s="3" t="s">
        <v>2065</v>
      </c>
      <c r="D22" s="3" t="s">
        <v>2104</v>
      </c>
      <c r="E22" s="3" t="s">
        <v>2105</v>
      </c>
      <c r="F22" s="3"/>
    </row>
    <row r="23" spans="1:6" x14ac:dyDescent="0.25">
      <c r="A23" s="3" t="s">
        <v>21</v>
      </c>
      <c r="B23" s="3" t="s">
        <v>2064</v>
      </c>
      <c r="C23" s="3" t="s">
        <v>2065</v>
      </c>
      <c r="D23" s="3" t="s">
        <v>2106</v>
      </c>
      <c r="E23" s="3" t="s">
        <v>2107</v>
      </c>
      <c r="F23" s="3"/>
    </row>
    <row r="24" spans="1:6" x14ac:dyDescent="0.25">
      <c r="A24" s="3" t="s">
        <v>22</v>
      </c>
      <c r="B24" s="3" t="s">
        <v>2108</v>
      </c>
      <c r="C24" s="3" t="s">
        <v>2065</v>
      </c>
      <c r="D24" s="3" t="s">
        <v>2109</v>
      </c>
      <c r="E24" s="3" t="s">
        <v>2110</v>
      </c>
      <c r="F24" s="3"/>
    </row>
    <row r="25" spans="1:6" x14ac:dyDescent="0.25">
      <c r="A25" s="3" t="s">
        <v>23</v>
      </c>
      <c r="B25" s="3" t="s">
        <v>2064</v>
      </c>
      <c r="C25" s="3" t="s">
        <v>2066</v>
      </c>
      <c r="D25" s="3" t="s">
        <v>2111</v>
      </c>
      <c r="E25" s="3" t="s">
        <v>2118</v>
      </c>
      <c r="F25" s="3"/>
    </row>
    <row r="26" spans="1:6" x14ac:dyDescent="0.25">
      <c r="A26" s="3" t="s">
        <v>24</v>
      </c>
      <c r="B26" s="3" t="s">
        <v>2064</v>
      </c>
      <c r="C26" s="3" t="s">
        <v>2066</v>
      </c>
      <c r="D26" s="3" t="s">
        <v>2112</v>
      </c>
      <c r="E26" s="3" t="s">
        <v>2118</v>
      </c>
      <c r="F26" s="3"/>
    </row>
    <row r="27" spans="1:6" x14ac:dyDescent="0.25">
      <c r="A27" s="3" t="s">
        <v>25</v>
      </c>
      <c r="B27" s="3" t="s">
        <v>2064</v>
      </c>
      <c r="C27" s="3" t="s">
        <v>2065</v>
      </c>
      <c r="D27" s="3" t="s">
        <v>2121</v>
      </c>
      <c r="E27" s="3" t="s">
        <v>2113</v>
      </c>
      <c r="F27" s="3"/>
    </row>
    <row r="28" spans="1:6" x14ac:dyDescent="0.25">
      <c r="A28" s="3" t="s">
        <v>26</v>
      </c>
      <c r="B28" s="3" t="s">
        <v>2064</v>
      </c>
      <c r="C28" s="3" t="s">
        <v>2065</v>
      </c>
      <c r="D28" s="3" t="s">
        <v>2114</v>
      </c>
      <c r="E28" s="3" t="s">
        <v>2115</v>
      </c>
      <c r="F28" s="3"/>
    </row>
    <row r="29" spans="1:6" x14ac:dyDescent="0.25">
      <c r="A29" s="3" t="s">
        <v>27</v>
      </c>
      <c r="B29" s="3" t="s">
        <v>2062</v>
      </c>
      <c r="C29" s="3" t="s">
        <v>2063</v>
      </c>
      <c r="D29" s="3" t="s">
        <v>2116</v>
      </c>
      <c r="E29" s="4" t="s">
        <v>2127</v>
      </c>
      <c r="F29" s="3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D15-4307-45AB-B44B-6B93363664C5}">
  <dimension ref="A1"/>
  <sheetViews>
    <sheetView showGridLines="0" tabSelected="1" topLeftCell="A3" zoomScale="65" zoomScaleNormal="65" workbookViewId="0">
      <selection activeCell="AD55" sqref="AD55"/>
    </sheetView>
  </sheetViews>
  <sheetFormatPr defaultRowHeight="15" x14ac:dyDescent="0.25"/>
  <cols>
    <col min="1" max="16384" width="9.140625" style="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Ecommerce_Consumer_Behavior_Ana</vt:lpstr>
      <vt:lpstr>Customers</vt:lpstr>
      <vt:lpstr>Data Dictionary</vt:lpstr>
      <vt:lpstr>Cusromer_Dashboard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Hardware</dc:creator>
  <cp:lastModifiedBy>mohamed alassy</cp:lastModifiedBy>
  <dcterms:created xsi:type="dcterms:W3CDTF">2025-08-16T21:27:22Z</dcterms:created>
  <dcterms:modified xsi:type="dcterms:W3CDTF">2025-09-02T00:29:43Z</dcterms:modified>
</cp:coreProperties>
</file>